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cr20\Downloads\"/>
    </mc:Choice>
  </mc:AlternateContent>
  <xr:revisionPtr revIDLastSave="0" documentId="13_ncr:1_{4C42A4BA-909F-43A7-974F-41470C80E7D6}" xr6:coauthVersionLast="47" xr6:coauthVersionMax="47" xr10:uidLastSave="{00000000-0000-0000-0000-000000000000}"/>
  <bookViews>
    <workbookView xWindow="4890" yWindow="435" windowWidth="28500" windowHeight="19980" tabRatio="796" activeTab="5" xr2:uid="{00000000-000D-0000-FFFF-FFFF00000000}"/>
  </bookViews>
  <sheets>
    <sheet name="Summary &amp; Method" sheetId="1" r:id="rId1"/>
    <sheet name="Normalised Rates" sheetId="2" r:id="rId2"/>
    <sheet name="Instrument League Table" sheetId="3" r:id="rId3"/>
    <sheet name="Instrument x Year (harm)" sheetId="4" r:id="rId4"/>
    <sheet name="Failure x Instrument" sheetId="5" r:id="rId5"/>
    <sheet name="Failure Mode Deep Dive" sheetId="8" r:id="rId6"/>
    <sheet name="Failure Mode Deep Dive (2)" sheetId="7" r:id="rId7"/>
  </sheets>
  <definedNames>
    <definedName name="_xlnm._FilterDatabase" localSheetId="6" hidden="1">'Failure Mode Deep Dive (2)'!$A$5:$M$1273</definedName>
    <definedName name="_xlnm._FilterDatabase" localSheetId="4" hidden="1">'Failure x Instrument'!$A$3:$Z$35</definedName>
    <definedName name="_xlnm._FilterDatabase" localSheetId="2" hidden="1">'Instrument League Table'!$A$5:$AA$37</definedName>
    <definedName name="_xlnm._FilterDatabase" localSheetId="3" hidden="1">'Instrument x Year (harm)'!$A$4:$F$36</definedName>
    <definedName name="_xlnm._FilterDatabase" localSheetId="1" hidden="1">'Normalised Rates'!$A$6:$M$11</definedName>
  </definedNames>
  <calcPr calcId="191029"/>
  <pivotCaches>
    <pivotCache cacheId="2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273" i="7" l="1"/>
  <c r="J1273" i="7"/>
  <c r="I1273" i="7"/>
  <c r="K1272" i="7"/>
  <c r="J1272" i="7"/>
  <c r="I1272" i="7"/>
  <c r="K1271" i="7"/>
  <c r="J1271" i="7"/>
  <c r="I1271" i="7"/>
  <c r="K1270" i="7"/>
  <c r="J1270" i="7"/>
  <c r="I1270" i="7"/>
  <c r="K1269" i="7"/>
  <c r="J1269" i="7"/>
  <c r="I1269" i="7"/>
  <c r="K1268" i="7"/>
  <c r="J1268" i="7"/>
  <c r="I1268" i="7"/>
  <c r="K1267" i="7"/>
  <c r="J1267" i="7"/>
  <c r="I1267" i="7"/>
  <c r="K1266" i="7"/>
  <c r="J1266" i="7"/>
  <c r="I1266" i="7"/>
  <c r="K1265" i="7"/>
  <c r="J1265" i="7"/>
  <c r="I1265" i="7"/>
  <c r="K1264" i="7"/>
  <c r="J1264" i="7"/>
  <c r="I1264" i="7"/>
  <c r="K1263" i="7"/>
  <c r="J1263" i="7"/>
  <c r="I1263" i="7"/>
  <c r="K1262" i="7"/>
  <c r="J1262" i="7"/>
  <c r="I1262" i="7"/>
  <c r="K1261" i="7"/>
  <c r="J1261" i="7"/>
  <c r="I1261" i="7"/>
  <c r="K1260" i="7"/>
  <c r="J1260" i="7"/>
  <c r="I1260" i="7"/>
  <c r="K1259" i="7"/>
  <c r="J1259" i="7"/>
  <c r="I1259" i="7"/>
  <c r="K1258" i="7"/>
  <c r="J1258" i="7"/>
  <c r="I1258" i="7"/>
  <c r="K1257" i="7"/>
  <c r="J1257" i="7"/>
  <c r="I1257" i="7"/>
  <c r="K1256" i="7"/>
  <c r="J1256" i="7"/>
  <c r="I1256" i="7"/>
  <c r="K1255" i="7"/>
  <c r="J1255" i="7"/>
  <c r="I1255" i="7"/>
  <c r="K1254" i="7"/>
  <c r="J1254" i="7"/>
  <c r="I1254" i="7"/>
  <c r="K1253" i="7"/>
  <c r="J1253" i="7"/>
  <c r="I1253" i="7"/>
  <c r="K1252" i="7"/>
  <c r="J1252" i="7"/>
  <c r="I1252" i="7"/>
  <c r="K1251" i="7"/>
  <c r="J1251" i="7"/>
  <c r="I1251" i="7"/>
  <c r="K1250" i="7"/>
  <c r="J1250" i="7"/>
  <c r="I1250" i="7"/>
  <c r="K1249" i="7"/>
  <c r="J1249" i="7"/>
  <c r="I1249" i="7"/>
  <c r="K1248" i="7"/>
  <c r="J1248" i="7"/>
  <c r="I1248" i="7"/>
  <c r="K1247" i="7"/>
  <c r="J1247" i="7"/>
  <c r="I1247" i="7"/>
  <c r="K1246" i="7"/>
  <c r="J1246" i="7"/>
  <c r="I1246" i="7"/>
  <c r="K1245" i="7"/>
  <c r="J1245" i="7"/>
  <c r="I1245" i="7"/>
  <c r="K1244" i="7"/>
  <c r="J1244" i="7"/>
  <c r="I1244" i="7"/>
  <c r="K1243" i="7"/>
  <c r="J1243" i="7"/>
  <c r="I1243" i="7"/>
  <c r="K1242" i="7"/>
  <c r="J1242" i="7"/>
  <c r="I1242" i="7"/>
  <c r="K1241" i="7"/>
  <c r="J1241" i="7"/>
  <c r="I1241" i="7"/>
  <c r="K1240" i="7"/>
  <c r="J1240" i="7"/>
  <c r="I1240" i="7"/>
  <c r="K1239" i="7"/>
  <c r="J1239" i="7"/>
  <c r="I1239" i="7"/>
  <c r="K1238" i="7"/>
  <c r="J1238" i="7"/>
  <c r="I1238" i="7"/>
  <c r="K1237" i="7"/>
  <c r="J1237" i="7"/>
  <c r="I1237" i="7"/>
  <c r="K1236" i="7"/>
  <c r="J1236" i="7"/>
  <c r="I1236" i="7"/>
  <c r="K1235" i="7"/>
  <c r="J1235" i="7"/>
  <c r="I1235" i="7"/>
  <c r="K1234" i="7"/>
  <c r="J1234" i="7"/>
  <c r="I1234" i="7"/>
  <c r="K1233" i="7"/>
  <c r="J1233" i="7"/>
  <c r="I1233" i="7"/>
  <c r="K1232" i="7"/>
  <c r="J1232" i="7"/>
  <c r="I1232" i="7"/>
  <c r="K1231" i="7"/>
  <c r="J1231" i="7"/>
  <c r="I1231" i="7"/>
  <c r="K1230" i="7"/>
  <c r="J1230" i="7"/>
  <c r="I1230" i="7"/>
  <c r="K1229" i="7"/>
  <c r="J1229" i="7"/>
  <c r="I1229" i="7"/>
  <c r="K1228" i="7"/>
  <c r="J1228" i="7"/>
  <c r="I1228" i="7"/>
  <c r="K1227" i="7"/>
  <c r="J1227" i="7"/>
  <c r="I1227" i="7"/>
  <c r="K1226" i="7"/>
  <c r="J1226" i="7"/>
  <c r="I1226" i="7"/>
  <c r="K1225" i="7"/>
  <c r="J1225" i="7"/>
  <c r="I1225" i="7"/>
  <c r="K1224" i="7"/>
  <c r="J1224" i="7"/>
  <c r="I1224" i="7"/>
  <c r="K1223" i="7"/>
  <c r="J1223" i="7"/>
  <c r="I1223" i="7"/>
  <c r="K1222" i="7"/>
  <c r="J1222" i="7"/>
  <c r="I1222" i="7"/>
  <c r="K1221" i="7"/>
  <c r="J1221" i="7"/>
  <c r="I1221" i="7"/>
  <c r="K1220" i="7"/>
  <c r="J1220" i="7"/>
  <c r="I1220" i="7"/>
  <c r="K1219" i="7"/>
  <c r="J1219" i="7"/>
  <c r="I1219" i="7"/>
  <c r="K1218" i="7"/>
  <c r="J1218" i="7"/>
  <c r="I1218" i="7"/>
  <c r="K1217" i="7"/>
  <c r="J1217" i="7"/>
  <c r="I1217" i="7"/>
  <c r="K1216" i="7"/>
  <c r="J1216" i="7"/>
  <c r="I1216" i="7"/>
  <c r="K1215" i="7"/>
  <c r="J1215" i="7"/>
  <c r="I1215" i="7"/>
  <c r="K1214" i="7"/>
  <c r="J1214" i="7"/>
  <c r="I1214" i="7"/>
  <c r="K1213" i="7"/>
  <c r="J1213" i="7"/>
  <c r="I1213" i="7"/>
  <c r="K1212" i="7"/>
  <c r="J1212" i="7"/>
  <c r="I1212" i="7"/>
  <c r="K1211" i="7"/>
  <c r="J1211" i="7"/>
  <c r="I1211" i="7"/>
  <c r="K1210" i="7"/>
  <c r="J1210" i="7"/>
  <c r="I1210" i="7"/>
  <c r="K1209" i="7"/>
  <c r="J1209" i="7"/>
  <c r="I1209" i="7"/>
  <c r="K1208" i="7"/>
  <c r="J1208" i="7"/>
  <c r="I1208" i="7"/>
  <c r="K1207" i="7"/>
  <c r="J1207" i="7"/>
  <c r="I1207" i="7"/>
  <c r="K1206" i="7"/>
  <c r="J1206" i="7"/>
  <c r="I1206" i="7"/>
  <c r="K1205" i="7"/>
  <c r="J1205" i="7"/>
  <c r="I1205" i="7"/>
  <c r="K1204" i="7"/>
  <c r="J1204" i="7"/>
  <c r="I1204" i="7"/>
  <c r="K1203" i="7"/>
  <c r="J1203" i="7"/>
  <c r="I1203" i="7"/>
  <c r="K1202" i="7"/>
  <c r="J1202" i="7"/>
  <c r="I1202" i="7"/>
  <c r="K1201" i="7"/>
  <c r="J1201" i="7"/>
  <c r="I1201" i="7"/>
  <c r="K1200" i="7"/>
  <c r="J1200" i="7"/>
  <c r="I1200" i="7"/>
  <c r="K1199" i="7"/>
  <c r="J1199" i="7"/>
  <c r="I1199" i="7"/>
  <c r="K1198" i="7"/>
  <c r="J1198" i="7"/>
  <c r="I1198" i="7"/>
  <c r="K1197" i="7"/>
  <c r="J1197" i="7"/>
  <c r="I1197" i="7"/>
  <c r="K1196" i="7"/>
  <c r="J1196" i="7"/>
  <c r="I1196" i="7"/>
  <c r="K1195" i="7"/>
  <c r="J1195" i="7"/>
  <c r="I1195" i="7"/>
  <c r="K1194" i="7"/>
  <c r="J1194" i="7"/>
  <c r="I1194" i="7"/>
  <c r="K1193" i="7"/>
  <c r="J1193" i="7"/>
  <c r="I1193" i="7"/>
  <c r="K1192" i="7"/>
  <c r="J1192" i="7"/>
  <c r="I1192" i="7"/>
  <c r="K1191" i="7"/>
  <c r="J1191" i="7"/>
  <c r="I1191" i="7"/>
  <c r="K1190" i="7"/>
  <c r="J1190" i="7"/>
  <c r="I1190" i="7"/>
  <c r="K1189" i="7"/>
  <c r="J1189" i="7"/>
  <c r="I1189" i="7"/>
  <c r="K1188" i="7"/>
  <c r="J1188" i="7"/>
  <c r="I1188" i="7"/>
  <c r="K1187" i="7"/>
  <c r="J1187" i="7"/>
  <c r="I1187" i="7"/>
  <c r="K1186" i="7"/>
  <c r="J1186" i="7"/>
  <c r="I1186" i="7"/>
  <c r="K1185" i="7"/>
  <c r="J1185" i="7"/>
  <c r="I1185" i="7"/>
  <c r="K1184" i="7"/>
  <c r="J1184" i="7"/>
  <c r="I1184" i="7"/>
  <c r="K1183" i="7"/>
  <c r="J1183" i="7"/>
  <c r="I1183" i="7"/>
  <c r="K1182" i="7"/>
  <c r="J1182" i="7"/>
  <c r="I1182" i="7"/>
  <c r="K1181" i="7"/>
  <c r="J1181" i="7"/>
  <c r="I1181" i="7"/>
  <c r="K1180" i="7"/>
  <c r="J1180" i="7"/>
  <c r="I1180" i="7"/>
  <c r="K1179" i="7"/>
  <c r="J1179" i="7"/>
  <c r="I1179" i="7"/>
  <c r="K1178" i="7"/>
  <c r="J1178" i="7"/>
  <c r="I1178" i="7"/>
  <c r="K1177" i="7"/>
  <c r="J1177" i="7"/>
  <c r="I1177" i="7"/>
  <c r="K1176" i="7"/>
  <c r="J1176" i="7"/>
  <c r="I1176" i="7"/>
  <c r="K1175" i="7"/>
  <c r="J1175" i="7"/>
  <c r="I1175" i="7"/>
  <c r="K1174" i="7"/>
  <c r="J1174" i="7"/>
  <c r="I1174" i="7"/>
  <c r="K1173" i="7"/>
  <c r="J1173" i="7"/>
  <c r="I1173" i="7"/>
  <c r="K1172" i="7"/>
  <c r="J1172" i="7"/>
  <c r="I1172" i="7"/>
  <c r="K1171" i="7"/>
  <c r="J1171" i="7"/>
  <c r="I1171" i="7"/>
  <c r="K1170" i="7"/>
  <c r="J1170" i="7"/>
  <c r="I1170" i="7"/>
  <c r="K1169" i="7"/>
  <c r="J1169" i="7"/>
  <c r="I1169" i="7"/>
  <c r="K1168" i="7"/>
  <c r="J1168" i="7"/>
  <c r="I1168" i="7"/>
  <c r="K1167" i="7"/>
  <c r="J1167" i="7"/>
  <c r="I1167" i="7"/>
  <c r="K1166" i="7"/>
  <c r="J1166" i="7"/>
  <c r="I1166" i="7"/>
  <c r="K1165" i="7"/>
  <c r="J1165" i="7"/>
  <c r="I1165" i="7"/>
  <c r="K1164" i="7"/>
  <c r="J1164" i="7"/>
  <c r="I1164" i="7"/>
  <c r="K1163" i="7"/>
  <c r="J1163" i="7"/>
  <c r="I1163" i="7"/>
  <c r="K1162" i="7"/>
  <c r="J1162" i="7"/>
  <c r="I1162" i="7"/>
  <c r="K1161" i="7"/>
  <c r="J1161" i="7"/>
  <c r="I1161" i="7"/>
  <c r="K1160" i="7"/>
  <c r="J1160" i="7"/>
  <c r="I1160" i="7"/>
  <c r="K1159" i="7"/>
  <c r="J1159" i="7"/>
  <c r="I1159" i="7"/>
  <c r="K1158" i="7"/>
  <c r="J1158" i="7"/>
  <c r="I1158" i="7"/>
  <c r="K1157" i="7"/>
  <c r="J1157" i="7"/>
  <c r="I1157" i="7"/>
  <c r="K1156" i="7"/>
  <c r="J1156" i="7"/>
  <c r="I1156" i="7"/>
  <c r="K1155" i="7"/>
  <c r="J1155" i="7"/>
  <c r="I1155" i="7"/>
  <c r="K1154" i="7"/>
  <c r="J1154" i="7"/>
  <c r="I1154" i="7"/>
  <c r="K1153" i="7"/>
  <c r="J1153" i="7"/>
  <c r="I1153" i="7"/>
  <c r="K1152" i="7"/>
  <c r="J1152" i="7"/>
  <c r="I1152" i="7"/>
  <c r="K1151" i="7"/>
  <c r="J1151" i="7"/>
  <c r="I1151" i="7"/>
  <c r="K1150" i="7"/>
  <c r="J1150" i="7"/>
  <c r="I1150" i="7"/>
  <c r="K1149" i="7"/>
  <c r="J1149" i="7"/>
  <c r="I1149" i="7"/>
  <c r="K1148" i="7"/>
  <c r="J1148" i="7"/>
  <c r="I1148" i="7"/>
  <c r="K1147" i="7"/>
  <c r="J1147" i="7"/>
  <c r="I1147" i="7"/>
  <c r="K1146" i="7"/>
  <c r="J1146" i="7"/>
  <c r="I1146" i="7"/>
  <c r="K1145" i="7"/>
  <c r="J1145" i="7"/>
  <c r="I1145" i="7"/>
  <c r="K1144" i="7"/>
  <c r="J1144" i="7"/>
  <c r="I1144" i="7"/>
  <c r="K1143" i="7"/>
  <c r="J1143" i="7"/>
  <c r="I1143" i="7"/>
  <c r="K1142" i="7"/>
  <c r="J1142" i="7"/>
  <c r="I1142" i="7"/>
  <c r="K1141" i="7"/>
  <c r="J1141" i="7"/>
  <c r="I1141" i="7"/>
  <c r="K1140" i="7"/>
  <c r="J1140" i="7"/>
  <c r="I1140" i="7"/>
  <c r="K1139" i="7"/>
  <c r="J1139" i="7"/>
  <c r="I1139" i="7"/>
  <c r="K1138" i="7"/>
  <c r="J1138" i="7"/>
  <c r="I1138" i="7"/>
  <c r="K1137" i="7"/>
  <c r="J1137" i="7"/>
  <c r="I1137" i="7"/>
  <c r="K1136" i="7"/>
  <c r="J1136" i="7"/>
  <c r="I1136" i="7"/>
  <c r="K1135" i="7"/>
  <c r="J1135" i="7"/>
  <c r="I1135" i="7"/>
  <c r="K1134" i="7"/>
  <c r="J1134" i="7"/>
  <c r="I1134" i="7"/>
  <c r="K1133" i="7"/>
  <c r="J1133" i="7"/>
  <c r="I1133" i="7"/>
  <c r="K1132" i="7"/>
  <c r="J1132" i="7"/>
  <c r="I1132" i="7"/>
  <c r="K1131" i="7"/>
  <c r="J1131" i="7"/>
  <c r="I1131" i="7"/>
  <c r="K1130" i="7"/>
  <c r="J1130" i="7"/>
  <c r="I1130" i="7"/>
  <c r="K1129" i="7"/>
  <c r="J1129" i="7"/>
  <c r="I1129" i="7"/>
  <c r="K1128" i="7"/>
  <c r="J1128" i="7"/>
  <c r="I1128" i="7"/>
  <c r="K1127" i="7"/>
  <c r="J1127" i="7"/>
  <c r="I1127" i="7"/>
  <c r="K1126" i="7"/>
  <c r="J1126" i="7"/>
  <c r="I1126" i="7"/>
  <c r="K1125" i="7"/>
  <c r="J1125" i="7"/>
  <c r="I1125" i="7"/>
  <c r="K1124" i="7"/>
  <c r="J1124" i="7"/>
  <c r="I1124" i="7"/>
  <c r="K1123" i="7"/>
  <c r="J1123" i="7"/>
  <c r="I1123" i="7"/>
  <c r="K1122" i="7"/>
  <c r="J1122" i="7"/>
  <c r="I1122" i="7"/>
  <c r="K1121" i="7"/>
  <c r="J1121" i="7"/>
  <c r="I1121" i="7"/>
  <c r="K1120" i="7"/>
  <c r="J1120" i="7"/>
  <c r="I1120" i="7"/>
  <c r="K1119" i="7"/>
  <c r="J1119" i="7"/>
  <c r="I1119" i="7"/>
  <c r="K1118" i="7"/>
  <c r="J1118" i="7"/>
  <c r="I1118" i="7"/>
  <c r="K1117" i="7"/>
  <c r="J1117" i="7"/>
  <c r="I1117" i="7"/>
  <c r="K1116" i="7"/>
  <c r="J1116" i="7"/>
  <c r="I1116" i="7"/>
  <c r="K1115" i="7"/>
  <c r="J1115" i="7"/>
  <c r="I1115" i="7"/>
  <c r="K1114" i="7"/>
  <c r="J1114" i="7"/>
  <c r="I1114" i="7"/>
  <c r="K1113" i="7"/>
  <c r="J1113" i="7"/>
  <c r="I1113" i="7"/>
  <c r="K1112" i="7"/>
  <c r="J1112" i="7"/>
  <c r="I1112" i="7"/>
  <c r="K1111" i="7"/>
  <c r="J1111" i="7"/>
  <c r="I1111" i="7"/>
  <c r="K1110" i="7"/>
  <c r="J1110" i="7"/>
  <c r="I1110" i="7"/>
  <c r="K1109" i="7"/>
  <c r="J1109" i="7"/>
  <c r="I1109" i="7"/>
  <c r="K1108" i="7"/>
  <c r="J1108" i="7"/>
  <c r="I1108" i="7"/>
  <c r="K1107" i="7"/>
  <c r="J1107" i="7"/>
  <c r="I1107" i="7"/>
  <c r="K1106" i="7"/>
  <c r="J1106" i="7"/>
  <c r="I1106" i="7"/>
  <c r="K1105" i="7"/>
  <c r="J1105" i="7"/>
  <c r="I1105" i="7"/>
  <c r="K1104" i="7"/>
  <c r="J1104" i="7"/>
  <c r="I1104" i="7"/>
  <c r="K1103" i="7"/>
  <c r="J1103" i="7"/>
  <c r="I1103" i="7"/>
  <c r="K1102" i="7"/>
  <c r="J1102" i="7"/>
  <c r="I1102" i="7"/>
  <c r="K1101" i="7"/>
  <c r="J1101" i="7"/>
  <c r="I1101" i="7"/>
  <c r="K1100" i="7"/>
  <c r="J1100" i="7"/>
  <c r="I1100" i="7"/>
  <c r="K1099" i="7"/>
  <c r="J1099" i="7"/>
  <c r="I1099" i="7"/>
  <c r="K1098" i="7"/>
  <c r="J1098" i="7"/>
  <c r="I1098" i="7"/>
  <c r="K1097" i="7"/>
  <c r="J1097" i="7"/>
  <c r="I1097" i="7"/>
  <c r="K1096" i="7"/>
  <c r="J1096" i="7"/>
  <c r="I1096" i="7"/>
  <c r="K1095" i="7"/>
  <c r="J1095" i="7"/>
  <c r="I1095" i="7"/>
  <c r="K1094" i="7"/>
  <c r="J1094" i="7"/>
  <c r="I1094" i="7"/>
  <c r="K1093" i="7"/>
  <c r="J1093" i="7"/>
  <c r="I1093" i="7"/>
  <c r="K1092" i="7"/>
  <c r="J1092" i="7"/>
  <c r="I1092" i="7"/>
  <c r="K1091" i="7"/>
  <c r="J1091" i="7"/>
  <c r="I1091" i="7"/>
  <c r="K1090" i="7"/>
  <c r="J1090" i="7"/>
  <c r="I1090" i="7"/>
  <c r="K1089" i="7"/>
  <c r="J1089" i="7"/>
  <c r="I1089" i="7"/>
  <c r="K1088" i="7"/>
  <c r="J1088" i="7"/>
  <c r="I1088" i="7"/>
  <c r="K1087" i="7"/>
  <c r="J1087" i="7"/>
  <c r="I1087" i="7"/>
  <c r="K1086" i="7"/>
  <c r="J1086" i="7"/>
  <c r="I1086" i="7"/>
  <c r="K1085" i="7"/>
  <c r="J1085" i="7"/>
  <c r="I1085" i="7"/>
  <c r="K1084" i="7"/>
  <c r="J1084" i="7"/>
  <c r="I1084" i="7"/>
  <c r="K1083" i="7"/>
  <c r="J1083" i="7"/>
  <c r="I1083" i="7"/>
  <c r="K1082" i="7"/>
  <c r="J1082" i="7"/>
  <c r="I1082" i="7"/>
  <c r="K1081" i="7"/>
  <c r="J1081" i="7"/>
  <c r="I1081" i="7"/>
  <c r="K1080" i="7"/>
  <c r="J1080" i="7"/>
  <c r="I1080" i="7"/>
  <c r="K1079" i="7"/>
  <c r="J1079" i="7"/>
  <c r="I1079" i="7"/>
  <c r="K1078" i="7"/>
  <c r="J1078" i="7"/>
  <c r="I1078" i="7"/>
  <c r="K1077" i="7"/>
  <c r="J1077" i="7"/>
  <c r="I1077" i="7"/>
  <c r="K1076" i="7"/>
  <c r="J1076" i="7"/>
  <c r="I1076" i="7"/>
  <c r="K1075" i="7"/>
  <c r="J1075" i="7"/>
  <c r="I1075" i="7"/>
  <c r="K1074" i="7"/>
  <c r="J1074" i="7"/>
  <c r="I1074" i="7"/>
  <c r="K1073" i="7"/>
  <c r="J1073" i="7"/>
  <c r="I1073" i="7"/>
  <c r="K1072" i="7"/>
  <c r="J1072" i="7"/>
  <c r="I1072" i="7"/>
  <c r="K1071" i="7"/>
  <c r="J1071" i="7"/>
  <c r="I1071" i="7"/>
  <c r="K1070" i="7"/>
  <c r="J1070" i="7"/>
  <c r="I1070" i="7"/>
  <c r="K1069" i="7"/>
  <c r="J1069" i="7"/>
  <c r="I1069" i="7"/>
  <c r="K1068" i="7"/>
  <c r="J1068" i="7"/>
  <c r="I1068" i="7"/>
  <c r="K1067" i="7"/>
  <c r="J1067" i="7"/>
  <c r="I1067" i="7"/>
  <c r="K1066" i="7"/>
  <c r="J1066" i="7"/>
  <c r="I1066" i="7"/>
  <c r="K1065" i="7"/>
  <c r="J1065" i="7"/>
  <c r="I1065" i="7"/>
  <c r="K1064" i="7"/>
  <c r="J1064" i="7"/>
  <c r="I1064" i="7"/>
  <c r="K1063" i="7"/>
  <c r="J1063" i="7"/>
  <c r="I1063" i="7"/>
  <c r="K1062" i="7"/>
  <c r="J1062" i="7"/>
  <c r="I1062" i="7"/>
  <c r="K1061" i="7"/>
  <c r="J1061" i="7"/>
  <c r="I1061" i="7"/>
  <c r="K1060" i="7"/>
  <c r="J1060" i="7"/>
  <c r="I1060" i="7"/>
  <c r="K1059" i="7"/>
  <c r="J1059" i="7"/>
  <c r="I1059" i="7"/>
  <c r="K1058" i="7"/>
  <c r="J1058" i="7"/>
  <c r="I1058" i="7"/>
  <c r="K1057" i="7"/>
  <c r="J1057" i="7"/>
  <c r="I1057" i="7"/>
  <c r="K1056" i="7"/>
  <c r="J1056" i="7"/>
  <c r="I1056" i="7"/>
  <c r="K1055" i="7"/>
  <c r="J1055" i="7"/>
  <c r="I1055" i="7"/>
  <c r="K1054" i="7"/>
  <c r="J1054" i="7"/>
  <c r="I1054" i="7"/>
  <c r="K1053" i="7"/>
  <c r="J1053" i="7"/>
  <c r="I1053" i="7"/>
  <c r="K1052" i="7"/>
  <c r="J1052" i="7"/>
  <c r="I1052" i="7"/>
  <c r="K1051" i="7"/>
  <c r="J1051" i="7"/>
  <c r="I1051" i="7"/>
  <c r="K1050" i="7"/>
  <c r="J1050" i="7"/>
  <c r="I1050" i="7"/>
  <c r="K1049" i="7"/>
  <c r="J1049" i="7"/>
  <c r="I1049" i="7"/>
  <c r="K1048" i="7"/>
  <c r="J1048" i="7"/>
  <c r="I1048" i="7"/>
  <c r="K1047" i="7"/>
  <c r="J1047" i="7"/>
  <c r="I1047" i="7"/>
  <c r="K1046" i="7"/>
  <c r="J1046" i="7"/>
  <c r="I1046" i="7"/>
  <c r="K1045" i="7"/>
  <c r="J1045" i="7"/>
  <c r="I1045" i="7"/>
  <c r="K1044" i="7"/>
  <c r="J1044" i="7"/>
  <c r="I1044" i="7"/>
  <c r="K1043" i="7"/>
  <c r="J1043" i="7"/>
  <c r="I1043" i="7"/>
  <c r="K1042" i="7"/>
  <c r="J1042" i="7"/>
  <c r="I1042" i="7"/>
  <c r="K1041" i="7"/>
  <c r="J1041" i="7"/>
  <c r="I1041" i="7"/>
  <c r="K1040" i="7"/>
  <c r="J1040" i="7"/>
  <c r="I1040" i="7"/>
  <c r="K1039" i="7"/>
  <c r="J1039" i="7"/>
  <c r="I1039" i="7"/>
  <c r="K1038" i="7"/>
  <c r="J1038" i="7"/>
  <c r="I1038" i="7"/>
  <c r="K1037" i="7"/>
  <c r="J1037" i="7"/>
  <c r="I1037" i="7"/>
  <c r="K1036" i="7"/>
  <c r="J1036" i="7"/>
  <c r="I1036" i="7"/>
  <c r="K1035" i="7"/>
  <c r="J1035" i="7"/>
  <c r="I1035" i="7"/>
  <c r="K1034" i="7"/>
  <c r="J1034" i="7"/>
  <c r="I1034" i="7"/>
  <c r="K1033" i="7"/>
  <c r="J1033" i="7"/>
  <c r="I1033" i="7"/>
  <c r="K1032" i="7"/>
  <c r="J1032" i="7"/>
  <c r="I1032" i="7"/>
  <c r="K1031" i="7"/>
  <c r="J1031" i="7"/>
  <c r="I1031" i="7"/>
  <c r="K1030" i="7"/>
  <c r="J1030" i="7"/>
  <c r="I1030" i="7"/>
  <c r="K1029" i="7"/>
  <c r="J1029" i="7"/>
  <c r="I1029" i="7"/>
  <c r="K1028" i="7"/>
  <c r="J1028" i="7"/>
  <c r="I1028" i="7"/>
  <c r="K1027" i="7"/>
  <c r="J1027" i="7"/>
  <c r="I1027" i="7"/>
  <c r="K1026" i="7"/>
  <c r="J1026" i="7"/>
  <c r="I1026" i="7"/>
  <c r="K1025" i="7"/>
  <c r="J1025" i="7"/>
  <c r="I1025" i="7"/>
  <c r="K1024" i="7"/>
  <c r="J1024" i="7"/>
  <c r="I1024" i="7"/>
  <c r="K1023" i="7"/>
  <c r="J1023" i="7"/>
  <c r="I1023" i="7"/>
  <c r="K1022" i="7"/>
  <c r="J1022" i="7"/>
  <c r="I1022" i="7"/>
  <c r="K1021" i="7"/>
  <c r="J1021" i="7"/>
  <c r="I1021" i="7"/>
  <c r="K1020" i="7"/>
  <c r="J1020" i="7"/>
  <c r="I1020" i="7"/>
  <c r="K1019" i="7"/>
  <c r="J1019" i="7"/>
  <c r="I1019" i="7"/>
  <c r="K1018" i="7"/>
  <c r="J1018" i="7"/>
  <c r="I1018" i="7"/>
  <c r="K1017" i="7"/>
  <c r="J1017" i="7"/>
  <c r="I1017" i="7"/>
  <c r="K1016" i="7"/>
  <c r="J1016" i="7"/>
  <c r="I1016" i="7"/>
  <c r="K1015" i="7"/>
  <c r="J1015" i="7"/>
  <c r="I1015" i="7"/>
  <c r="K1014" i="7"/>
  <c r="J1014" i="7"/>
  <c r="I1014" i="7"/>
  <c r="K1013" i="7"/>
  <c r="J1013" i="7"/>
  <c r="I1013" i="7"/>
  <c r="K1012" i="7"/>
  <c r="J1012" i="7"/>
  <c r="I1012" i="7"/>
  <c r="K1011" i="7"/>
  <c r="J1011" i="7"/>
  <c r="I1011" i="7"/>
  <c r="K1010" i="7"/>
  <c r="J1010" i="7"/>
  <c r="I1010" i="7"/>
  <c r="K1009" i="7"/>
  <c r="J1009" i="7"/>
  <c r="I1009" i="7"/>
  <c r="K1008" i="7"/>
  <c r="J1008" i="7"/>
  <c r="I1008" i="7"/>
  <c r="K1007" i="7"/>
  <c r="J1007" i="7"/>
  <c r="I1007" i="7"/>
  <c r="K1006" i="7"/>
  <c r="J1006" i="7"/>
  <c r="I1006" i="7"/>
  <c r="K1005" i="7"/>
  <c r="J1005" i="7"/>
  <c r="I1005" i="7"/>
  <c r="K1004" i="7"/>
  <c r="J1004" i="7"/>
  <c r="I1004" i="7"/>
  <c r="K1003" i="7"/>
  <c r="J1003" i="7"/>
  <c r="I1003" i="7"/>
  <c r="K1002" i="7"/>
  <c r="J1002" i="7"/>
  <c r="I1002" i="7"/>
  <c r="K1001" i="7"/>
  <c r="J1001" i="7"/>
  <c r="I1001" i="7"/>
  <c r="K1000" i="7"/>
  <c r="J1000" i="7"/>
  <c r="I1000" i="7"/>
  <c r="K999" i="7"/>
  <c r="J999" i="7"/>
  <c r="I999" i="7"/>
  <c r="K998" i="7"/>
  <c r="J998" i="7"/>
  <c r="I998" i="7"/>
  <c r="K997" i="7"/>
  <c r="J997" i="7"/>
  <c r="I997" i="7"/>
  <c r="K996" i="7"/>
  <c r="J996" i="7"/>
  <c r="I996" i="7"/>
  <c r="K995" i="7"/>
  <c r="J995" i="7"/>
  <c r="I995" i="7"/>
  <c r="K994" i="7"/>
  <c r="J994" i="7"/>
  <c r="I994" i="7"/>
  <c r="K993" i="7"/>
  <c r="J993" i="7"/>
  <c r="I993" i="7"/>
  <c r="K992" i="7"/>
  <c r="J992" i="7"/>
  <c r="I992" i="7"/>
  <c r="K991" i="7"/>
  <c r="J991" i="7"/>
  <c r="I991" i="7"/>
  <c r="K990" i="7"/>
  <c r="J990" i="7"/>
  <c r="I990" i="7"/>
  <c r="K989" i="7"/>
  <c r="J989" i="7"/>
  <c r="I989" i="7"/>
  <c r="K988" i="7"/>
  <c r="J988" i="7"/>
  <c r="I988" i="7"/>
  <c r="K987" i="7"/>
  <c r="J987" i="7"/>
  <c r="I987" i="7"/>
  <c r="K986" i="7"/>
  <c r="J986" i="7"/>
  <c r="I986" i="7"/>
  <c r="K985" i="7"/>
  <c r="J985" i="7"/>
  <c r="I985" i="7"/>
  <c r="K984" i="7"/>
  <c r="J984" i="7"/>
  <c r="I984" i="7"/>
  <c r="K983" i="7"/>
  <c r="J983" i="7"/>
  <c r="I983" i="7"/>
  <c r="K982" i="7"/>
  <c r="J982" i="7"/>
  <c r="I982" i="7"/>
  <c r="K981" i="7"/>
  <c r="J981" i="7"/>
  <c r="I981" i="7"/>
  <c r="K980" i="7"/>
  <c r="J980" i="7"/>
  <c r="I980" i="7"/>
  <c r="K979" i="7"/>
  <c r="J979" i="7"/>
  <c r="I979" i="7"/>
  <c r="K978" i="7"/>
  <c r="J978" i="7"/>
  <c r="I978" i="7"/>
  <c r="K977" i="7"/>
  <c r="J977" i="7"/>
  <c r="I977" i="7"/>
  <c r="K976" i="7"/>
  <c r="J976" i="7"/>
  <c r="I976" i="7"/>
  <c r="K975" i="7"/>
  <c r="J975" i="7"/>
  <c r="I975" i="7"/>
  <c r="K974" i="7"/>
  <c r="J974" i="7"/>
  <c r="I974" i="7"/>
  <c r="K973" i="7"/>
  <c r="J973" i="7"/>
  <c r="I973" i="7"/>
  <c r="K972" i="7"/>
  <c r="J972" i="7"/>
  <c r="I972" i="7"/>
  <c r="K971" i="7"/>
  <c r="J971" i="7"/>
  <c r="I971" i="7"/>
  <c r="K970" i="7"/>
  <c r="J970" i="7"/>
  <c r="I970" i="7"/>
  <c r="K969" i="7"/>
  <c r="J969" i="7"/>
  <c r="I969" i="7"/>
  <c r="K968" i="7"/>
  <c r="J968" i="7"/>
  <c r="I968" i="7"/>
  <c r="K967" i="7"/>
  <c r="J967" i="7"/>
  <c r="I967" i="7"/>
  <c r="K966" i="7"/>
  <c r="J966" i="7"/>
  <c r="I966" i="7"/>
  <c r="K965" i="7"/>
  <c r="J965" i="7"/>
  <c r="I965" i="7"/>
  <c r="K964" i="7"/>
  <c r="J964" i="7"/>
  <c r="I964" i="7"/>
  <c r="K963" i="7"/>
  <c r="J963" i="7"/>
  <c r="I963" i="7"/>
  <c r="K962" i="7"/>
  <c r="J962" i="7"/>
  <c r="I962" i="7"/>
  <c r="K961" i="7"/>
  <c r="J961" i="7"/>
  <c r="I961" i="7"/>
  <c r="K960" i="7"/>
  <c r="J960" i="7"/>
  <c r="I960" i="7"/>
  <c r="K959" i="7"/>
  <c r="J959" i="7"/>
  <c r="I959" i="7"/>
  <c r="K958" i="7"/>
  <c r="J958" i="7"/>
  <c r="I958" i="7"/>
  <c r="K957" i="7"/>
  <c r="J957" i="7"/>
  <c r="I957" i="7"/>
  <c r="K956" i="7"/>
  <c r="J956" i="7"/>
  <c r="I956" i="7"/>
  <c r="K955" i="7"/>
  <c r="J955" i="7"/>
  <c r="I955" i="7"/>
  <c r="K954" i="7"/>
  <c r="J954" i="7"/>
  <c r="I954" i="7"/>
  <c r="K953" i="7"/>
  <c r="J953" i="7"/>
  <c r="I953" i="7"/>
  <c r="K952" i="7"/>
  <c r="J952" i="7"/>
  <c r="I952" i="7"/>
  <c r="K951" i="7"/>
  <c r="J951" i="7"/>
  <c r="I951" i="7"/>
  <c r="K950" i="7"/>
  <c r="J950" i="7"/>
  <c r="I950" i="7"/>
  <c r="K949" i="7"/>
  <c r="J949" i="7"/>
  <c r="I949" i="7"/>
  <c r="K948" i="7"/>
  <c r="J948" i="7"/>
  <c r="I948" i="7"/>
  <c r="K947" i="7"/>
  <c r="J947" i="7"/>
  <c r="I947" i="7"/>
  <c r="K946" i="7"/>
  <c r="J946" i="7"/>
  <c r="I946" i="7"/>
  <c r="K945" i="7"/>
  <c r="J945" i="7"/>
  <c r="I945" i="7"/>
  <c r="K944" i="7"/>
  <c r="J944" i="7"/>
  <c r="I944" i="7"/>
  <c r="K943" i="7"/>
  <c r="J943" i="7"/>
  <c r="I943" i="7"/>
  <c r="K942" i="7"/>
  <c r="J942" i="7"/>
  <c r="I942" i="7"/>
  <c r="K941" i="7"/>
  <c r="J941" i="7"/>
  <c r="I941" i="7"/>
  <c r="K940" i="7"/>
  <c r="J940" i="7"/>
  <c r="I940" i="7"/>
  <c r="K939" i="7"/>
  <c r="J939" i="7"/>
  <c r="I939" i="7"/>
  <c r="K938" i="7"/>
  <c r="J938" i="7"/>
  <c r="I938" i="7"/>
  <c r="K937" i="7"/>
  <c r="J937" i="7"/>
  <c r="I937" i="7"/>
  <c r="K936" i="7"/>
  <c r="J936" i="7"/>
  <c r="I936" i="7"/>
  <c r="K935" i="7"/>
  <c r="J935" i="7"/>
  <c r="I935" i="7"/>
  <c r="K934" i="7"/>
  <c r="J934" i="7"/>
  <c r="I934" i="7"/>
  <c r="K933" i="7"/>
  <c r="J933" i="7"/>
  <c r="I933" i="7"/>
  <c r="K932" i="7"/>
  <c r="J932" i="7"/>
  <c r="I932" i="7"/>
  <c r="K931" i="7"/>
  <c r="J931" i="7"/>
  <c r="I931" i="7"/>
  <c r="K930" i="7"/>
  <c r="J930" i="7"/>
  <c r="I930" i="7"/>
  <c r="K929" i="7"/>
  <c r="J929" i="7"/>
  <c r="I929" i="7"/>
  <c r="K928" i="7"/>
  <c r="J928" i="7"/>
  <c r="I928" i="7"/>
  <c r="K927" i="7"/>
  <c r="J927" i="7"/>
  <c r="I927" i="7"/>
  <c r="K926" i="7"/>
  <c r="J926" i="7"/>
  <c r="I926" i="7"/>
  <c r="K925" i="7"/>
  <c r="J925" i="7"/>
  <c r="I925" i="7"/>
  <c r="K924" i="7"/>
  <c r="J924" i="7"/>
  <c r="I924" i="7"/>
  <c r="K923" i="7"/>
  <c r="J923" i="7"/>
  <c r="I923" i="7"/>
  <c r="K922" i="7"/>
  <c r="J922" i="7"/>
  <c r="I922" i="7"/>
  <c r="K921" i="7"/>
  <c r="J921" i="7"/>
  <c r="I921" i="7"/>
  <c r="K920" i="7"/>
  <c r="J920" i="7"/>
  <c r="I920" i="7"/>
  <c r="K919" i="7"/>
  <c r="J919" i="7"/>
  <c r="I919" i="7"/>
  <c r="K918" i="7"/>
  <c r="J918" i="7"/>
  <c r="I918" i="7"/>
  <c r="K917" i="7"/>
  <c r="J917" i="7"/>
  <c r="I917" i="7"/>
  <c r="K916" i="7"/>
  <c r="J916" i="7"/>
  <c r="I916" i="7"/>
  <c r="K915" i="7"/>
  <c r="J915" i="7"/>
  <c r="I915" i="7"/>
  <c r="K914" i="7"/>
  <c r="J914" i="7"/>
  <c r="I914" i="7"/>
  <c r="K913" i="7"/>
  <c r="J913" i="7"/>
  <c r="I913" i="7"/>
  <c r="K912" i="7"/>
  <c r="J912" i="7"/>
  <c r="I912" i="7"/>
  <c r="K911" i="7"/>
  <c r="J911" i="7"/>
  <c r="I911" i="7"/>
  <c r="K910" i="7"/>
  <c r="J910" i="7"/>
  <c r="I910" i="7"/>
  <c r="K909" i="7"/>
  <c r="J909" i="7"/>
  <c r="I909" i="7"/>
  <c r="K908" i="7"/>
  <c r="J908" i="7"/>
  <c r="I908" i="7"/>
  <c r="K907" i="7"/>
  <c r="J907" i="7"/>
  <c r="I907" i="7"/>
  <c r="K906" i="7"/>
  <c r="J906" i="7"/>
  <c r="I906" i="7"/>
  <c r="K905" i="7"/>
  <c r="J905" i="7"/>
  <c r="I905" i="7"/>
  <c r="K904" i="7"/>
  <c r="J904" i="7"/>
  <c r="I904" i="7"/>
  <c r="K903" i="7"/>
  <c r="J903" i="7"/>
  <c r="I903" i="7"/>
  <c r="K902" i="7"/>
  <c r="J902" i="7"/>
  <c r="I902" i="7"/>
  <c r="K901" i="7"/>
  <c r="J901" i="7"/>
  <c r="I901" i="7"/>
  <c r="K900" i="7"/>
  <c r="J900" i="7"/>
  <c r="I900" i="7"/>
  <c r="K899" i="7"/>
  <c r="J899" i="7"/>
  <c r="I899" i="7"/>
  <c r="K898" i="7"/>
  <c r="J898" i="7"/>
  <c r="I898" i="7"/>
  <c r="K897" i="7"/>
  <c r="J897" i="7"/>
  <c r="I897" i="7"/>
  <c r="K896" i="7"/>
  <c r="J896" i="7"/>
  <c r="I896" i="7"/>
  <c r="K895" i="7"/>
  <c r="J895" i="7"/>
  <c r="I895" i="7"/>
  <c r="K894" i="7"/>
  <c r="J894" i="7"/>
  <c r="I894" i="7"/>
  <c r="K893" i="7"/>
  <c r="J893" i="7"/>
  <c r="I893" i="7"/>
  <c r="K892" i="7"/>
  <c r="J892" i="7"/>
  <c r="I892" i="7"/>
  <c r="K891" i="7"/>
  <c r="J891" i="7"/>
  <c r="I891" i="7"/>
  <c r="K890" i="7"/>
  <c r="J890" i="7"/>
  <c r="I890" i="7"/>
  <c r="K889" i="7"/>
  <c r="J889" i="7"/>
  <c r="I889" i="7"/>
  <c r="K888" i="7"/>
  <c r="J888" i="7"/>
  <c r="I888" i="7"/>
  <c r="K887" i="7"/>
  <c r="J887" i="7"/>
  <c r="I887" i="7"/>
  <c r="K886" i="7"/>
  <c r="J886" i="7"/>
  <c r="I886" i="7"/>
  <c r="K885" i="7"/>
  <c r="J885" i="7"/>
  <c r="I885" i="7"/>
  <c r="K884" i="7"/>
  <c r="J884" i="7"/>
  <c r="I884" i="7"/>
  <c r="K883" i="7"/>
  <c r="J883" i="7"/>
  <c r="I883" i="7"/>
  <c r="K882" i="7"/>
  <c r="J882" i="7"/>
  <c r="I882" i="7"/>
  <c r="K881" i="7"/>
  <c r="J881" i="7"/>
  <c r="I881" i="7"/>
  <c r="K880" i="7"/>
  <c r="J880" i="7"/>
  <c r="I880" i="7"/>
  <c r="K879" i="7"/>
  <c r="J879" i="7"/>
  <c r="I879" i="7"/>
  <c r="K878" i="7"/>
  <c r="J878" i="7"/>
  <c r="I878" i="7"/>
  <c r="K877" i="7"/>
  <c r="J877" i="7"/>
  <c r="I877" i="7"/>
  <c r="K876" i="7"/>
  <c r="J876" i="7"/>
  <c r="I876" i="7"/>
  <c r="K875" i="7"/>
  <c r="J875" i="7"/>
  <c r="I875" i="7"/>
  <c r="K874" i="7"/>
  <c r="J874" i="7"/>
  <c r="I874" i="7"/>
  <c r="K873" i="7"/>
  <c r="J873" i="7"/>
  <c r="I873" i="7"/>
  <c r="K872" i="7"/>
  <c r="J872" i="7"/>
  <c r="I872" i="7"/>
  <c r="K871" i="7"/>
  <c r="J871" i="7"/>
  <c r="I871" i="7"/>
  <c r="K870" i="7"/>
  <c r="J870" i="7"/>
  <c r="I870" i="7"/>
  <c r="K869" i="7"/>
  <c r="J869" i="7"/>
  <c r="I869" i="7"/>
  <c r="K868" i="7"/>
  <c r="J868" i="7"/>
  <c r="I868" i="7"/>
  <c r="K867" i="7"/>
  <c r="J867" i="7"/>
  <c r="I867" i="7"/>
  <c r="K866" i="7"/>
  <c r="J866" i="7"/>
  <c r="I866" i="7"/>
  <c r="K865" i="7"/>
  <c r="J865" i="7"/>
  <c r="I865" i="7"/>
  <c r="K864" i="7"/>
  <c r="J864" i="7"/>
  <c r="I864" i="7"/>
  <c r="K863" i="7"/>
  <c r="J863" i="7"/>
  <c r="I863" i="7"/>
  <c r="K862" i="7"/>
  <c r="J862" i="7"/>
  <c r="I862" i="7"/>
  <c r="K861" i="7"/>
  <c r="J861" i="7"/>
  <c r="I861" i="7"/>
  <c r="K860" i="7"/>
  <c r="J860" i="7"/>
  <c r="I860" i="7"/>
  <c r="K859" i="7"/>
  <c r="J859" i="7"/>
  <c r="I859" i="7"/>
  <c r="K858" i="7"/>
  <c r="J858" i="7"/>
  <c r="I858" i="7"/>
  <c r="K857" i="7"/>
  <c r="J857" i="7"/>
  <c r="I857" i="7"/>
  <c r="K856" i="7"/>
  <c r="J856" i="7"/>
  <c r="I856" i="7"/>
  <c r="K855" i="7"/>
  <c r="J855" i="7"/>
  <c r="I855" i="7"/>
  <c r="K854" i="7"/>
  <c r="J854" i="7"/>
  <c r="I854" i="7"/>
  <c r="K853" i="7"/>
  <c r="J853" i="7"/>
  <c r="I853" i="7"/>
  <c r="K852" i="7"/>
  <c r="J852" i="7"/>
  <c r="I852" i="7"/>
  <c r="K851" i="7"/>
  <c r="J851" i="7"/>
  <c r="I851" i="7"/>
  <c r="K850" i="7"/>
  <c r="J850" i="7"/>
  <c r="I850" i="7"/>
  <c r="K849" i="7"/>
  <c r="J849" i="7"/>
  <c r="I849" i="7"/>
  <c r="K848" i="7"/>
  <c r="J848" i="7"/>
  <c r="I848" i="7"/>
  <c r="K847" i="7"/>
  <c r="J847" i="7"/>
  <c r="I847" i="7"/>
  <c r="K846" i="7"/>
  <c r="J846" i="7"/>
  <c r="I846" i="7"/>
  <c r="K845" i="7"/>
  <c r="J845" i="7"/>
  <c r="I845" i="7"/>
  <c r="K844" i="7"/>
  <c r="J844" i="7"/>
  <c r="I844" i="7"/>
  <c r="K843" i="7"/>
  <c r="J843" i="7"/>
  <c r="I843" i="7"/>
  <c r="K842" i="7"/>
  <c r="J842" i="7"/>
  <c r="I842" i="7"/>
  <c r="K841" i="7"/>
  <c r="J841" i="7"/>
  <c r="I841" i="7"/>
  <c r="K840" i="7"/>
  <c r="J840" i="7"/>
  <c r="I840" i="7"/>
  <c r="K839" i="7"/>
  <c r="J839" i="7"/>
  <c r="I839" i="7"/>
  <c r="K838" i="7"/>
  <c r="J838" i="7"/>
  <c r="I838" i="7"/>
  <c r="K837" i="7"/>
  <c r="J837" i="7"/>
  <c r="I837" i="7"/>
  <c r="K836" i="7"/>
  <c r="J836" i="7"/>
  <c r="I836" i="7"/>
  <c r="K835" i="7"/>
  <c r="J835" i="7"/>
  <c r="I835" i="7"/>
  <c r="K834" i="7"/>
  <c r="J834" i="7"/>
  <c r="I834" i="7"/>
  <c r="K833" i="7"/>
  <c r="J833" i="7"/>
  <c r="I833" i="7"/>
  <c r="K832" i="7"/>
  <c r="J832" i="7"/>
  <c r="I832" i="7"/>
  <c r="K831" i="7"/>
  <c r="J831" i="7"/>
  <c r="I831" i="7"/>
  <c r="K830" i="7"/>
  <c r="J830" i="7"/>
  <c r="I830" i="7"/>
  <c r="K829" i="7"/>
  <c r="J829" i="7"/>
  <c r="I829" i="7"/>
  <c r="K828" i="7"/>
  <c r="J828" i="7"/>
  <c r="I828" i="7"/>
  <c r="K827" i="7"/>
  <c r="J827" i="7"/>
  <c r="I827" i="7"/>
  <c r="K826" i="7"/>
  <c r="J826" i="7"/>
  <c r="I826" i="7"/>
  <c r="K825" i="7"/>
  <c r="J825" i="7"/>
  <c r="I825" i="7"/>
  <c r="K824" i="7"/>
  <c r="J824" i="7"/>
  <c r="I824" i="7"/>
  <c r="K823" i="7"/>
  <c r="J823" i="7"/>
  <c r="I823" i="7"/>
  <c r="K822" i="7"/>
  <c r="J822" i="7"/>
  <c r="I822" i="7"/>
  <c r="K821" i="7"/>
  <c r="J821" i="7"/>
  <c r="I821" i="7"/>
  <c r="K820" i="7"/>
  <c r="J820" i="7"/>
  <c r="I820" i="7"/>
  <c r="K819" i="7"/>
  <c r="J819" i="7"/>
  <c r="I819" i="7"/>
  <c r="K818" i="7"/>
  <c r="J818" i="7"/>
  <c r="I818" i="7"/>
  <c r="K817" i="7"/>
  <c r="J817" i="7"/>
  <c r="I817" i="7"/>
  <c r="K816" i="7"/>
  <c r="J816" i="7"/>
  <c r="I816" i="7"/>
  <c r="K815" i="7"/>
  <c r="J815" i="7"/>
  <c r="I815" i="7"/>
  <c r="K814" i="7"/>
  <c r="J814" i="7"/>
  <c r="I814" i="7"/>
  <c r="K813" i="7"/>
  <c r="J813" i="7"/>
  <c r="I813" i="7"/>
  <c r="K812" i="7"/>
  <c r="J812" i="7"/>
  <c r="I812" i="7"/>
  <c r="K811" i="7"/>
  <c r="J811" i="7"/>
  <c r="I811" i="7"/>
  <c r="K810" i="7"/>
  <c r="J810" i="7"/>
  <c r="I810" i="7"/>
  <c r="K809" i="7"/>
  <c r="J809" i="7"/>
  <c r="I809" i="7"/>
  <c r="K808" i="7"/>
  <c r="J808" i="7"/>
  <c r="I808" i="7"/>
  <c r="K807" i="7"/>
  <c r="J807" i="7"/>
  <c r="I807" i="7"/>
  <c r="K806" i="7"/>
  <c r="J806" i="7"/>
  <c r="I806" i="7"/>
  <c r="K805" i="7"/>
  <c r="J805" i="7"/>
  <c r="I805" i="7"/>
  <c r="K804" i="7"/>
  <c r="J804" i="7"/>
  <c r="I804" i="7"/>
  <c r="K803" i="7"/>
  <c r="J803" i="7"/>
  <c r="I803" i="7"/>
  <c r="K802" i="7"/>
  <c r="J802" i="7"/>
  <c r="I802" i="7"/>
  <c r="K801" i="7"/>
  <c r="J801" i="7"/>
  <c r="I801" i="7"/>
  <c r="K800" i="7"/>
  <c r="J800" i="7"/>
  <c r="I800" i="7"/>
  <c r="K799" i="7"/>
  <c r="J799" i="7"/>
  <c r="I799" i="7"/>
  <c r="K798" i="7"/>
  <c r="J798" i="7"/>
  <c r="I798" i="7"/>
  <c r="K797" i="7"/>
  <c r="J797" i="7"/>
  <c r="I797" i="7"/>
  <c r="K796" i="7"/>
  <c r="J796" i="7"/>
  <c r="I796" i="7"/>
  <c r="K795" i="7"/>
  <c r="J795" i="7"/>
  <c r="I795" i="7"/>
  <c r="K794" i="7"/>
  <c r="J794" i="7"/>
  <c r="I794" i="7"/>
  <c r="K793" i="7"/>
  <c r="J793" i="7"/>
  <c r="I793" i="7"/>
  <c r="K792" i="7"/>
  <c r="J792" i="7"/>
  <c r="I792" i="7"/>
  <c r="K791" i="7"/>
  <c r="J791" i="7"/>
  <c r="I791" i="7"/>
  <c r="K790" i="7"/>
  <c r="J790" i="7"/>
  <c r="I790" i="7"/>
  <c r="K789" i="7"/>
  <c r="J789" i="7"/>
  <c r="I789" i="7"/>
  <c r="K788" i="7"/>
  <c r="J788" i="7"/>
  <c r="I788" i="7"/>
  <c r="K787" i="7"/>
  <c r="J787" i="7"/>
  <c r="I787" i="7"/>
  <c r="K786" i="7"/>
  <c r="J786" i="7"/>
  <c r="I786" i="7"/>
  <c r="K785" i="7"/>
  <c r="J785" i="7"/>
  <c r="I785" i="7"/>
  <c r="K784" i="7"/>
  <c r="J784" i="7"/>
  <c r="I784" i="7"/>
  <c r="K783" i="7"/>
  <c r="J783" i="7"/>
  <c r="I783" i="7"/>
  <c r="K782" i="7"/>
  <c r="J782" i="7"/>
  <c r="I782" i="7"/>
  <c r="K781" i="7"/>
  <c r="J781" i="7"/>
  <c r="I781" i="7"/>
  <c r="K780" i="7"/>
  <c r="J780" i="7"/>
  <c r="I780" i="7"/>
  <c r="K779" i="7"/>
  <c r="J779" i="7"/>
  <c r="I779" i="7"/>
  <c r="K778" i="7"/>
  <c r="J778" i="7"/>
  <c r="I778" i="7"/>
  <c r="K777" i="7"/>
  <c r="J777" i="7"/>
  <c r="I777" i="7"/>
  <c r="K776" i="7"/>
  <c r="J776" i="7"/>
  <c r="I776" i="7"/>
  <c r="K775" i="7"/>
  <c r="J775" i="7"/>
  <c r="I775" i="7"/>
  <c r="K774" i="7"/>
  <c r="J774" i="7"/>
  <c r="I774" i="7"/>
  <c r="K773" i="7"/>
  <c r="J773" i="7"/>
  <c r="I773" i="7"/>
  <c r="K772" i="7"/>
  <c r="J772" i="7"/>
  <c r="I772" i="7"/>
  <c r="K771" i="7"/>
  <c r="J771" i="7"/>
  <c r="I771" i="7"/>
  <c r="K770" i="7"/>
  <c r="J770" i="7"/>
  <c r="I770" i="7"/>
  <c r="K769" i="7"/>
  <c r="J769" i="7"/>
  <c r="I769" i="7"/>
  <c r="K768" i="7"/>
  <c r="J768" i="7"/>
  <c r="I768" i="7"/>
  <c r="K767" i="7"/>
  <c r="J767" i="7"/>
  <c r="I767" i="7"/>
  <c r="K766" i="7"/>
  <c r="J766" i="7"/>
  <c r="I766" i="7"/>
  <c r="K765" i="7"/>
  <c r="J765" i="7"/>
  <c r="I765" i="7"/>
  <c r="K764" i="7"/>
  <c r="J764" i="7"/>
  <c r="I764" i="7"/>
  <c r="K763" i="7"/>
  <c r="J763" i="7"/>
  <c r="I763" i="7"/>
  <c r="K762" i="7"/>
  <c r="J762" i="7"/>
  <c r="I762" i="7"/>
  <c r="K761" i="7"/>
  <c r="J761" i="7"/>
  <c r="I761" i="7"/>
  <c r="K760" i="7"/>
  <c r="J760" i="7"/>
  <c r="I760" i="7"/>
  <c r="K759" i="7"/>
  <c r="J759" i="7"/>
  <c r="I759" i="7"/>
  <c r="K758" i="7"/>
  <c r="J758" i="7"/>
  <c r="I758" i="7"/>
  <c r="K757" i="7"/>
  <c r="J757" i="7"/>
  <c r="I757" i="7"/>
  <c r="K756" i="7"/>
  <c r="J756" i="7"/>
  <c r="I756" i="7"/>
  <c r="K755" i="7"/>
  <c r="J755" i="7"/>
  <c r="I755" i="7"/>
  <c r="K754" i="7"/>
  <c r="J754" i="7"/>
  <c r="I754" i="7"/>
  <c r="K753" i="7"/>
  <c r="J753" i="7"/>
  <c r="I753" i="7"/>
  <c r="K752" i="7"/>
  <c r="J752" i="7"/>
  <c r="I752" i="7"/>
  <c r="K751" i="7"/>
  <c r="J751" i="7"/>
  <c r="I751" i="7"/>
  <c r="K750" i="7"/>
  <c r="J750" i="7"/>
  <c r="I750" i="7"/>
  <c r="K749" i="7"/>
  <c r="J749" i="7"/>
  <c r="I749" i="7"/>
  <c r="K748" i="7"/>
  <c r="J748" i="7"/>
  <c r="I748" i="7"/>
  <c r="K747" i="7"/>
  <c r="J747" i="7"/>
  <c r="I747" i="7"/>
  <c r="K746" i="7"/>
  <c r="J746" i="7"/>
  <c r="I746" i="7"/>
  <c r="K745" i="7"/>
  <c r="J745" i="7"/>
  <c r="I745" i="7"/>
  <c r="K744" i="7"/>
  <c r="J744" i="7"/>
  <c r="I744" i="7"/>
  <c r="K743" i="7"/>
  <c r="J743" i="7"/>
  <c r="I743" i="7"/>
  <c r="K742" i="7"/>
  <c r="J742" i="7"/>
  <c r="I742" i="7"/>
  <c r="K741" i="7"/>
  <c r="J741" i="7"/>
  <c r="I741" i="7"/>
  <c r="K740" i="7"/>
  <c r="J740" i="7"/>
  <c r="I740" i="7"/>
  <c r="K739" i="7"/>
  <c r="J739" i="7"/>
  <c r="I739" i="7"/>
  <c r="K738" i="7"/>
  <c r="J738" i="7"/>
  <c r="I738" i="7"/>
  <c r="K737" i="7"/>
  <c r="J737" i="7"/>
  <c r="I737" i="7"/>
  <c r="K736" i="7"/>
  <c r="J736" i="7"/>
  <c r="I736" i="7"/>
  <c r="K735" i="7"/>
  <c r="J735" i="7"/>
  <c r="I735" i="7"/>
  <c r="K734" i="7"/>
  <c r="J734" i="7"/>
  <c r="I734" i="7"/>
  <c r="K733" i="7"/>
  <c r="J733" i="7"/>
  <c r="I733" i="7"/>
  <c r="K732" i="7"/>
  <c r="J732" i="7"/>
  <c r="I732" i="7"/>
  <c r="K731" i="7"/>
  <c r="J731" i="7"/>
  <c r="I731" i="7"/>
  <c r="K730" i="7"/>
  <c r="J730" i="7"/>
  <c r="I730" i="7"/>
  <c r="K729" i="7"/>
  <c r="J729" i="7"/>
  <c r="I729" i="7"/>
  <c r="K728" i="7"/>
  <c r="J728" i="7"/>
  <c r="I728" i="7"/>
  <c r="K727" i="7"/>
  <c r="J727" i="7"/>
  <c r="I727" i="7"/>
  <c r="K726" i="7"/>
  <c r="J726" i="7"/>
  <c r="I726" i="7"/>
  <c r="K725" i="7"/>
  <c r="J725" i="7"/>
  <c r="I725" i="7"/>
  <c r="K724" i="7"/>
  <c r="J724" i="7"/>
  <c r="I724" i="7"/>
  <c r="K723" i="7"/>
  <c r="J723" i="7"/>
  <c r="I723" i="7"/>
  <c r="K722" i="7"/>
  <c r="J722" i="7"/>
  <c r="I722" i="7"/>
  <c r="K721" i="7"/>
  <c r="J721" i="7"/>
  <c r="I721" i="7"/>
  <c r="K720" i="7"/>
  <c r="J720" i="7"/>
  <c r="I720" i="7"/>
  <c r="K719" i="7"/>
  <c r="J719" i="7"/>
  <c r="I719" i="7"/>
  <c r="K718" i="7"/>
  <c r="J718" i="7"/>
  <c r="I718" i="7"/>
  <c r="K717" i="7"/>
  <c r="J717" i="7"/>
  <c r="I717" i="7"/>
  <c r="K716" i="7"/>
  <c r="J716" i="7"/>
  <c r="I716" i="7"/>
  <c r="K715" i="7"/>
  <c r="J715" i="7"/>
  <c r="I715" i="7"/>
  <c r="K714" i="7"/>
  <c r="J714" i="7"/>
  <c r="I714" i="7"/>
  <c r="K713" i="7"/>
  <c r="J713" i="7"/>
  <c r="I713" i="7"/>
  <c r="K712" i="7"/>
  <c r="J712" i="7"/>
  <c r="I712" i="7"/>
  <c r="K711" i="7"/>
  <c r="J711" i="7"/>
  <c r="I711" i="7"/>
  <c r="K710" i="7"/>
  <c r="J710" i="7"/>
  <c r="I710" i="7"/>
  <c r="K709" i="7"/>
  <c r="J709" i="7"/>
  <c r="I709" i="7"/>
  <c r="K708" i="7"/>
  <c r="J708" i="7"/>
  <c r="I708" i="7"/>
  <c r="K707" i="7"/>
  <c r="J707" i="7"/>
  <c r="I707" i="7"/>
  <c r="K706" i="7"/>
  <c r="J706" i="7"/>
  <c r="I706" i="7"/>
  <c r="K705" i="7"/>
  <c r="J705" i="7"/>
  <c r="I705" i="7"/>
  <c r="K704" i="7"/>
  <c r="J704" i="7"/>
  <c r="I704" i="7"/>
  <c r="K703" i="7"/>
  <c r="J703" i="7"/>
  <c r="I703" i="7"/>
  <c r="K702" i="7"/>
  <c r="J702" i="7"/>
  <c r="I702" i="7"/>
  <c r="K701" i="7"/>
  <c r="J701" i="7"/>
  <c r="I701" i="7"/>
  <c r="K700" i="7"/>
  <c r="J700" i="7"/>
  <c r="I700" i="7"/>
  <c r="K699" i="7"/>
  <c r="J699" i="7"/>
  <c r="I699" i="7"/>
  <c r="K698" i="7"/>
  <c r="J698" i="7"/>
  <c r="I698" i="7"/>
  <c r="K697" i="7"/>
  <c r="J697" i="7"/>
  <c r="I697" i="7"/>
  <c r="K696" i="7"/>
  <c r="J696" i="7"/>
  <c r="I696" i="7"/>
  <c r="K695" i="7"/>
  <c r="J695" i="7"/>
  <c r="I695" i="7"/>
  <c r="K694" i="7"/>
  <c r="J694" i="7"/>
  <c r="I694" i="7"/>
  <c r="K693" i="7"/>
  <c r="J693" i="7"/>
  <c r="I693" i="7"/>
  <c r="K692" i="7"/>
  <c r="J692" i="7"/>
  <c r="I692" i="7"/>
  <c r="K691" i="7"/>
  <c r="J691" i="7"/>
  <c r="I691" i="7"/>
  <c r="K690" i="7"/>
  <c r="J690" i="7"/>
  <c r="I690" i="7"/>
  <c r="K689" i="7"/>
  <c r="J689" i="7"/>
  <c r="I689" i="7"/>
  <c r="K688" i="7"/>
  <c r="J688" i="7"/>
  <c r="I688" i="7"/>
  <c r="K687" i="7"/>
  <c r="J687" i="7"/>
  <c r="I687" i="7"/>
  <c r="K686" i="7"/>
  <c r="J686" i="7"/>
  <c r="I686" i="7"/>
  <c r="K685" i="7"/>
  <c r="J685" i="7"/>
  <c r="I685" i="7"/>
  <c r="K684" i="7"/>
  <c r="J684" i="7"/>
  <c r="I684" i="7"/>
  <c r="K683" i="7"/>
  <c r="J683" i="7"/>
  <c r="I683" i="7"/>
  <c r="K682" i="7"/>
  <c r="J682" i="7"/>
  <c r="I682" i="7"/>
  <c r="K681" i="7"/>
  <c r="J681" i="7"/>
  <c r="I681" i="7"/>
  <c r="K680" i="7"/>
  <c r="J680" i="7"/>
  <c r="I680" i="7"/>
  <c r="K679" i="7"/>
  <c r="J679" i="7"/>
  <c r="I679" i="7"/>
  <c r="K678" i="7"/>
  <c r="J678" i="7"/>
  <c r="I678" i="7"/>
  <c r="K677" i="7"/>
  <c r="J677" i="7"/>
  <c r="I677" i="7"/>
  <c r="K676" i="7"/>
  <c r="J676" i="7"/>
  <c r="I676" i="7"/>
  <c r="K675" i="7"/>
  <c r="J675" i="7"/>
  <c r="I675" i="7"/>
  <c r="K674" i="7"/>
  <c r="J674" i="7"/>
  <c r="I674" i="7"/>
  <c r="K673" i="7"/>
  <c r="J673" i="7"/>
  <c r="I673" i="7"/>
  <c r="K672" i="7"/>
  <c r="J672" i="7"/>
  <c r="I672" i="7"/>
  <c r="K671" i="7"/>
  <c r="J671" i="7"/>
  <c r="I671" i="7"/>
  <c r="K670" i="7"/>
  <c r="J670" i="7"/>
  <c r="I670" i="7"/>
  <c r="K669" i="7"/>
  <c r="J669" i="7"/>
  <c r="I669" i="7"/>
  <c r="K668" i="7"/>
  <c r="J668" i="7"/>
  <c r="I668" i="7"/>
  <c r="K667" i="7"/>
  <c r="J667" i="7"/>
  <c r="I667" i="7"/>
  <c r="K666" i="7"/>
  <c r="J666" i="7"/>
  <c r="I666" i="7"/>
  <c r="K665" i="7"/>
  <c r="J665" i="7"/>
  <c r="I665" i="7"/>
  <c r="K664" i="7"/>
  <c r="J664" i="7"/>
  <c r="I664" i="7"/>
  <c r="K663" i="7"/>
  <c r="J663" i="7"/>
  <c r="I663" i="7"/>
  <c r="K662" i="7"/>
  <c r="J662" i="7"/>
  <c r="I662" i="7"/>
  <c r="K661" i="7"/>
  <c r="J661" i="7"/>
  <c r="I661" i="7"/>
  <c r="K660" i="7"/>
  <c r="J660" i="7"/>
  <c r="I660" i="7"/>
  <c r="K659" i="7"/>
  <c r="J659" i="7"/>
  <c r="I659" i="7"/>
  <c r="K658" i="7"/>
  <c r="J658" i="7"/>
  <c r="I658" i="7"/>
  <c r="K657" i="7"/>
  <c r="J657" i="7"/>
  <c r="I657" i="7"/>
  <c r="K656" i="7"/>
  <c r="J656" i="7"/>
  <c r="I656" i="7"/>
  <c r="K655" i="7"/>
  <c r="J655" i="7"/>
  <c r="I655" i="7"/>
  <c r="K654" i="7"/>
  <c r="J654" i="7"/>
  <c r="I654" i="7"/>
  <c r="K653" i="7"/>
  <c r="J653" i="7"/>
  <c r="I653" i="7"/>
  <c r="K652" i="7"/>
  <c r="J652" i="7"/>
  <c r="I652" i="7"/>
  <c r="K651" i="7"/>
  <c r="J651" i="7"/>
  <c r="I651" i="7"/>
  <c r="K650" i="7"/>
  <c r="J650" i="7"/>
  <c r="I650" i="7"/>
  <c r="K649" i="7"/>
  <c r="J649" i="7"/>
  <c r="I649" i="7"/>
  <c r="K648" i="7"/>
  <c r="J648" i="7"/>
  <c r="I648" i="7"/>
  <c r="K647" i="7"/>
  <c r="J647" i="7"/>
  <c r="I647" i="7"/>
  <c r="K646" i="7"/>
  <c r="J646" i="7"/>
  <c r="I646" i="7"/>
  <c r="K645" i="7"/>
  <c r="J645" i="7"/>
  <c r="I645" i="7"/>
  <c r="K644" i="7"/>
  <c r="J644" i="7"/>
  <c r="I644" i="7"/>
  <c r="K643" i="7"/>
  <c r="J643" i="7"/>
  <c r="I643" i="7"/>
  <c r="K642" i="7"/>
  <c r="J642" i="7"/>
  <c r="I642" i="7"/>
  <c r="K641" i="7"/>
  <c r="J641" i="7"/>
  <c r="I641" i="7"/>
  <c r="K640" i="7"/>
  <c r="J640" i="7"/>
  <c r="I640" i="7"/>
  <c r="K639" i="7"/>
  <c r="J639" i="7"/>
  <c r="I639" i="7"/>
  <c r="K638" i="7"/>
  <c r="J638" i="7"/>
  <c r="I638" i="7"/>
  <c r="K637" i="7"/>
  <c r="J637" i="7"/>
  <c r="I637" i="7"/>
  <c r="K636" i="7"/>
  <c r="J636" i="7"/>
  <c r="I636" i="7"/>
  <c r="K635" i="7"/>
  <c r="J635" i="7"/>
  <c r="I635" i="7"/>
  <c r="K634" i="7"/>
  <c r="J634" i="7"/>
  <c r="I634" i="7"/>
  <c r="K633" i="7"/>
  <c r="J633" i="7"/>
  <c r="I633" i="7"/>
  <c r="K632" i="7"/>
  <c r="J632" i="7"/>
  <c r="I632" i="7"/>
  <c r="K631" i="7"/>
  <c r="J631" i="7"/>
  <c r="I631" i="7"/>
  <c r="K630" i="7"/>
  <c r="J630" i="7"/>
  <c r="I630" i="7"/>
  <c r="K629" i="7"/>
  <c r="J629" i="7"/>
  <c r="I629" i="7"/>
  <c r="K628" i="7"/>
  <c r="J628" i="7"/>
  <c r="I628" i="7"/>
  <c r="K627" i="7"/>
  <c r="J627" i="7"/>
  <c r="I627" i="7"/>
  <c r="K626" i="7"/>
  <c r="J626" i="7"/>
  <c r="I626" i="7"/>
  <c r="K625" i="7"/>
  <c r="J625" i="7"/>
  <c r="I625" i="7"/>
  <c r="K624" i="7"/>
  <c r="J624" i="7"/>
  <c r="I624" i="7"/>
  <c r="K623" i="7"/>
  <c r="J623" i="7"/>
  <c r="I623" i="7"/>
  <c r="K622" i="7"/>
  <c r="J622" i="7"/>
  <c r="I622" i="7"/>
  <c r="K621" i="7"/>
  <c r="J621" i="7"/>
  <c r="I621" i="7"/>
  <c r="K620" i="7"/>
  <c r="J620" i="7"/>
  <c r="I620" i="7"/>
  <c r="K619" i="7"/>
  <c r="J619" i="7"/>
  <c r="I619" i="7"/>
  <c r="K618" i="7"/>
  <c r="J618" i="7"/>
  <c r="I618" i="7"/>
  <c r="K617" i="7"/>
  <c r="J617" i="7"/>
  <c r="I617" i="7"/>
  <c r="K616" i="7"/>
  <c r="J616" i="7"/>
  <c r="I616" i="7"/>
  <c r="K615" i="7"/>
  <c r="J615" i="7"/>
  <c r="I615" i="7"/>
  <c r="K614" i="7"/>
  <c r="J614" i="7"/>
  <c r="I614" i="7"/>
  <c r="K613" i="7"/>
  <c r="J613" i="7"/>
  <c r="I613" i="7"/>
  <c r="K612" i="7"/>
  <c r="J612" i="7"/>
  <c r="I612" i="7"/>
  <c r="K611" i="7"/>
  <c r="J611" i="7"/>
  <c r="I611" i="7"/>
  <c r="K610" i="7"/>
  <c r="J610" i="7"/>
  <c r="I610" i="7"/>
  <c r="K609" i="7"/>
  <c r="J609" i="7"/>
  <c r="I609" i="7"/>
  <c r="K608" i="7"/>
  <c r="J608" i="7"/>
  <c r="I608" i="7"/>
  <c r="K607" i="7"/>
  <c r="J607" i="7"/>
  <c r="I607" i="7"/>
  <c r="K606" i="7"/>
  <c r="J606" i="7"/>
  <c r="I606" i="7"/>
  <c r="K605" i="7"/>
  <c r="J605" i="7"/>
  <c r="I605" i="7"/>
  <c r="K604" i="7"/>
  <c r="J604" i="7"/>
  <c r="I604" i="7"/>
  <c r="K603" i="7"/>
  <c r="J603" i="7"/>
  <c r="I603" i="7"/>
  <c r="K602" i="7"/>
  <c r="J602" i="7"/>
  <c r="I602" i="7"/>
  <c r="K601" i="7"/>
  <c r="J601" i="7"/>
  <c r="I601" i="7"/>
  <c r="K600" i="7"/>
  <c r="J600" i="7"/>
  <c r="I600" i="7"/>
  <c r="K599" i="7"/>
  <c r="J599" i="7"/>
  <c r="I599" i="7"/>
  <c r="K598" i="7"/>
  <c r="J598" i="7"/>
  <c r="I598" i="7"/>
  <c r="K597" i="7"/>
  <c r="J597" i="7"/>
  <c r="I597" i="7"/>
  <c r="K596" i="7"/>
  <c r="J596" i="7"/>
  <c r="I596" i="7"/>
  <c r="K595" i="7"/>
  <c r="J595" i="7"/>
  <c r="I595" i="7"/>
  <c r="K594" i="7"/>
  <c r="J594" i="7"/>
  <c r="I594" i="7"/>
  <c r="K593" i="7"/>
  <c r="J593" i="7"/>
  <c r="I593" i="7"/>
  <c r="K592" i="7"/>
  <c r="J592" i="7"/>
  <c r="I592" i="7"/>
  <c r="K591" i="7"/>
  <c r="J591" i="7"/>
  <c r="I591" i="7"/>
  <c r="K590" i="7"/>
  <c r="J590" i="7"/>
  <c r="I590" i="7"/>
  <c r="K589" i="7"/>
  <c r="J589" i="7"/>
  <c r="I589" i="7"/>
  <c r="K588" i="7"/>
  <c r="J588" i="7"/>
  <c r="I588" i="7"/>
  <c r="K587" i="7"/>
  <c r="J587" i="7"/>
  <c r="I587" i="7"/>
  <c r="K586" i="7"/>
  <c r="J586" i="7"/>
  <c r="I586" i="7"/>
  <c r="K585" i="7"/>
  <c r="J585" i="7"/>
  <c r="I585" i="7"/>
  <c r="K584" i="7"/>
  <c r="J584" i="7"/>
  <c r="I584" i="7"/>
  <c r="K583" i="7"/>
  <c r="J583" i="7"/>
  <c r="I583" i="7"/>
  <c r="K582" i="7"/>
  <c r="J582" i="7"/>
  <c r="I582" i="7"/>
  <c r="K581" i="7"/>
  <c r="J581" i="7"/>
  <c r="I581" i="7"/>
  <c r="K580" i="7"/>
  <c r="J580" i="7"/>
  <c r="I580" i="7"/>
  <c r="K579" i="7"/>
  <c r="J579" i="7"/>
  <c r="I579" i="7"/>
  <c r="K578" i="7"/>
  <c r="J578" i="7"/>
  <c r="I578" i="7"/>
  <c r="K577" i="7"/>
  <c r="J577" i="7"/>
  <c r="I577" i="7"/>
  <c r="K576" i="7"/>
  <c r="J576" i="7"/>
  <c r="I576" i="7"/>
  <c r="K575" i="7"/>
  <c r="J575" i="7"/>
  <c r="I575" i="7"/>
  <c r="K574" i="7"/>
  <c r="J574" i="7"/>
  <c r="I574" i="7"/>
  <c r="K573" i="7"/>
  <c r="J573" i="7"/>
  <c r="I573" i="7"/>
  <c r="K572" i="7"/>
  <c r="J572" i="7"/>
  <c r="I572" i="7"/>
  <c r="K571" i="7"/>
  <c r="J571" i="7"/>
  <c r="I571" i="7"/>
  <c r="K570" i="7"/>
  <c r="J570" i="7"/>
  <c r="I570" i="7"/>
  <c r="K569" i="7"/>
  <c r="J569" i="7"/>
  <c r="I569" i="7"/>
  <c r="K568" i="7"/>
  <c r="J568" i="7"/>
  <c r="I568" i="7"/>
  <c r="K567" i="7"/>
  <c r="J567" i="7"/>
  <c r="I567" i="7"/>
  <c r="K566" i="7"/>
  <c r="J566" i="7"/>
  <c r="I566" i="7"/>
  <c r="K565" i="7"/>
  <c r="J565" i="7"/>
  <c r="I565" i="7"/>
  <c r="K564" i="7"/>
  <c r="J564" i="7"/>
  <c r="I564" i="7"/>
  <c r="K563" i="7"/>
  <c r="J563" i="7"/>
  <c r="I563" i="7"/>
  <c r="K562" i="7"/>
  <c r="J562" i="7"/>
  <c r="I562" i="7"/>
  <c r="K561" i="7"/>
  <c r="J561" i="7"/>
  <c r="I561" i="7"/>
  <c r="K560" i="7"/>
  <c r="J560" i="7"/>
  <c r="I560" i="7"/>
  <c r="K559" i="7"/>
  <c r="J559" i="7"/>
  <c r="I559" i="7"/>
  <c r="K558" i="7"/>
  <c r="J558" i="7"/>
  <c r="I558" i="7"/>
  <c r="K557" i="7"/>
  <c r="J557" i="7"/>
  <c r="I557" i="7"/>
  <c r="K556" i="7"/>
  <c r="J556" i="7"/>
  <c r="I556" i="7"/>
  <c r="K555" i="7"/>
  <c r="J555" i="7"/>
  <c r="I555" i="7"/>
  <c r="K554" i="7"/>
  <c r="J554" i="7"/>
  <c r="I554" i="7"/>
  <c r="K553" i="7"/>
  <c r="J553" i="7"/>
  <c r="I553" i="7"/>
  <c r="K552" i="7"/>
  <c r="J552" i="7"/>
  <c r="I552" i="7"/>
  <c r="K551" i="7"/>
  <c r="J551" i="7"/>
  <c r="I551" i="7"/>
  <c r="K550" i="7"/>
  <c r="J550" i="7"/>
  <c r="I550" i="7"/>
  <c r="K549" i="7"/>
  <c r="J549" i="7"/>
  <c r="I549" i="7"/>
  <c r="K548" i="7"/>
  <c r="J548" i="7"/>
  <c r="I548" i="7"/>
  <c r="K547" i="7"/>
  <c r="J547" i="7"/>
  <c r="I547" i="7"/>
  <c r="K546" i="7"/>
  <c r="J546" i="7"/>
  <c r="I546" i="7"/>
  <c r="K545" i="7"/>
  <c r="J545" i="7"/>
  <c r="I545" i="7"/>
  <c r="K544" i="7"/>
  <c r="J544" i="7"/>
  <c r="I544" i="7"/>
  <c r="K543" i="7"/>
  <c r="J543" i="7"/>
  <c r="I543" i="7"/>
  <c r="K542" i="7"/>
  <c r="J542" i="7"/>
  <c r="I542" i="7"/>
  <c r="K541" i="7"/>
  <c r="J541" i="7"/>
  <c r="I541" i="7"/>
  <c r="K540" i="7"/>
  <c r="J540" i="7"/>
  <c r="I540" i="7"/>
  <c r="K539" i="7"/>
  <c r="J539" i="7"/>
  <c r="I539" i="7"/>
  <c r="K538" i="7"/>
  <c r="J538" i="7"/>
  <c r="I538" i="7"/>
  <c r="K537" i="7"/>
  <c r="J537" i="7"/>
  <c r="I537" i="7"/>
  <c r="K536" i="7"/>
  <c r="J536" i="7"/>
  <c r="I536" i="7"/>
  <c r="K535" i="7"/>
  <c r="J535" i="7"/>
  <c r="I535" i="7"/>
  <c r="K534" i="7"/>
  <c r="J534" i="7"/>
  <c r="I534" i="7"/>
  <c r="K533" i="7"/>
  <c r="J533" i="7"/>
  <c r="I533" i="7"/>
  <c r="K532" i="7"/>
  <c r="J532" i="7"/>
  <c r="I532" i="7"/>
  <c r="K531" i="7"/>
  <c r="J531" i="7"/>
  <c r="I531" i="7"/>
  <c r="K530" i="7"/>
  <c r="J530" i="7"/>
  <c r="I530" i="7"/>
  <c r="K529" i="7"/>
  <c r="J529" i="7"/>
  <c r="I529" i="7"/>
  <c r="K528" i="7"/>
  <c r="J528" i="7"/>
  <c r="I528" i="7"/>
  <c r="K527" i="7"/>
  <c r="J527" i="7"/>
  <c r="I527" i="7"/>
  <c r="K526" i="7"/>
  <c r="J526" i="7"/>
  <c r="I526" i="7"/>
  <c r="K525" i="7"/>
  <c r="J525" i="7"/>
  <c r="I525" i="7"/>
  <c r="K524" i="7"/>
  <c r="J524" i="7"/>
  <c r="I524" i="7"/>
  <c r="K523" i="7"/>
  <c r="J523" i="7"/>
  <c r="I523" i="7"/>
  <c r="K522" i="7"/>
  <c r="J522" i="7"/>
  <c r="I522" i="7"/>
  <c r="K521" i="7"/>
  <c r="J521" i="7"/>
  <c r="I521" i="7"/>
  <c r="K520" i="7"/>
  <c r="J520" i="7"/>
  <c r="I520" i="7"/>
  <c r="K519" i="7"/>
  <c r="J519" i="7"/>
  <c r="I519" i="7"/>
  <c r="K518" i="7"/>
  <c r="J518" i="7"/>
  <c r="I518" i="7"/>
  <c r="K517" i="7"/>
  <c r="J517" i="7"/>
  <c r="I517" i="7"/>
  <c r="K516" i="7"/>
  <c r="J516" i="7"/>
  <c r="I516" i="7"/>
  <c r="K515" i="7"/>
  <c r="J515" i="7"/>
  <c r="I515" i="7"/>
  <c r="K514" i="7"/>
  <c r="J514" i="7"/>
  <c r="I514" i="7"/>
  <c r="K513" i="7"/>
  <c r="J513" i="7"/>
  <c r="I513" i="7"/>
  <c r="K512" i="7"/>
  <c r="J512" i="7"/>
  <c r="I512" i="7"/>
  <c r="K511" i="7"/>
  <c r="J511" i="7"/>
  <c r="I511" i="7"/>
  <c r="K510" i="7"/>
  <c r="J510" i="7"/>
  <c r="I510" i="7"/>
  <c r="K509" i="7"/>
  <c r="J509" i="7"/>
  <c r="I509" i="7"/>
  <c r="K508" i="7"/>
  <c r="J508" i="7"/>
  <c r="I508" i="7"/>
  <c r="K507" i="7"/>
  <c r="J507" i="7"/>
  <c r="I507" i="7"/>
  <c r="K506" i="7"/>
  <c r="J506" i="7"/>
  <c r="I506" i="7"/>
  <c r="K505" i="7"/>
  <c r="J505" i="7"/>
  <c r="I505" i="7"/>
  <c r="K504" i="7"/>
  <c r="J504" i="7"/>
  <c r="I504" i="7"/>
  <c r="K503" i="7"/>
  <c r="J503" i="7"/>
  <c r="I503" i="7"/>
  <c r="K502" i="7"/>
  <c r="J502" i="7"/>
  <c r="I502" i="7"/>
  <c r="K501" i="7"/>
  <c r="J501" i="7"/>
  <c r="I501" i="7"/>
  <c r="K500" i="7"/>
  <c r="J500" i="7"/>
  <c r="I500" i="7"/>
  <c r="K499" i="7"/>
  <c r="J499" i="7"/>
  <c r="I499" i="7"/>
  <c r="K498" i="7"/>
  <c r="J498" i="7"/>
  <c r="I498" i="7"/>
  <c r="K497" i="7"/>
  <c r="J497" i="7"/>
  <c r="I497" i="7"/>
  <c r="K496" i="7"/>
  <c r="J496" i="7"/>
  <c r="I496" i="7"/>
  <c r="K495" i="7"/>
  <c r="J495" i="7"/>
  <c r="I495" i="7"/>
  <c r="K494" i="7"/>
  <c r="J494" i="7"/>
  <c r="I494" i="7"/>
  <c r="K493" i="7"/>
  <c r="J493" i="7"/>
  <c r="I493" i="7"/>
  <c r="K492" i="7"/>
  <c r="J492" i="7"/>
  <c r="I492" i="7"/>
  <c r="K491" i="7"/>
  <c r="J491" i="7"/>
  <c r="I491" i="7"/>
  <c r="K490" i="7"/>
  <c r="J490" i="7"/>
  <c r="I490" i="7"/>
  <c r="K489" i="7"/>
  <c r="J489" i="7"/>
  <c r="I489" i="7"/>
  <c r="K488" i="7"/>
  <c r="J488" i="7"/>
  <c r="I488" i="7"/>
  <c r="K487" i="7"/>
  <c r="J487" i="7"/>
  <c r="I487" i="7"/>
  <c r="K486" i="7"/>
  <c r="J486" i="7"/>
  <c r="I486" i="7"/>
  <c r="K485" i="7"/>
  <c r="J485" i="7"/>
  <c r="I485" i="7"/>
  <c r="K484" i="7"/>
  <c r="J484" i="7"/>
  <c r="I484" i="7"/>
  <c r="K483" i="7"/>
  <c r="J483" i="7"/>
  <c r="I483" i="7"/>
  <c r="K482" i="7"/>
  <c r="J482" i="7"/>
  <c r="I482" i="7"/>
  <c r="K481" i="7"/>
  <c r="J481" i="7"/>
  <c r="I481" i="7"/>
  <c r="K480" i="7"/>
  <c r="J480" i="7"/>
  <c r="I480" i="7"/>
  <c r="K479" i="7"/>
  <c r="J479" i="7"/>
  <c r="I479" i="7"/>
  <c r="K478" i="7"/>
  <c r="J478" i="7"/>
  <c r="I478" i="7"/>
  <c r="K477" i="7"/>
  <c r="J477" i="7"/>
  <c r="I477" i="7"/>
  <c r="K476" i="7"/>
  <c r="J476" i="7"/>
  <c r="I476" i="7"/>
  <c r="K475" i="7"/>
  <c r="J475" i="7"/>
  <c r="I475" i="7"/>
  <c r="K474" i="7"/>
  <c r="J474" i="7"/>
  <c r="I474" i="7"/>
  <c r="K473" i="7"/>
  <c r="J473" i="7"/>
  <c r="I473" i="7"/>
  <c r="K472" i="7"/>
  <c r="J472" i="7"/>
  <c r="I472" i="7"/>
  <c r="K471" i="7"/>
  <c r="J471" i="7"/>
  <c r="I471" i="7"/>
  <c r="K470" i="7"/>
  <c r="J470" i="7"/>
  <c r="I470" i="7"/>
  <c r="K469" i="7"/>
  <c r="J469" i="7"/>
  <c r="I469" i="7"/>
  <c r="K468" i="7"/>
  <c r="J468" i="7"/>
  <c r="I468" i="7"/>
  <c r="K467" i="7"/>
  <c r="J467" i="7"/>
  <c r="I467" i="7"/>
  <c r="K466" i="7"/>
  <c r="J466" i="7"/>
  <c r="I466" i="7"/>
  <c r="K465" i="7"/>
  <c r="J465" i="7"/>
  <c r="I465" i="7"/>
  <c r="K464" i="7"/>
  <c r="J464" i="7"/>
  <c r="I464" i="7"/>
  <c r="K463" i="7"/>
  <c r="J463" i="7"/>
  <c r="I463" i="7"/>
  <c r="K462" i="7"/>
  <c r="J462" i="7"/>
  <c r="I462" i="7"/>
  <c r="K461" i="7"/>
  <c r="J461" i="7"/>
  <c r="I461" i="7"/>
  <c r="K460" i="7"/>
  <c r="J460" i="7"/>
  <c r="I460" i="7"/>
  <c r="K459" i="7"/>
  <c r="J459" i="7"/>
  <c r="I459" i="7"/>
  <c r="K458" i="7"/>
  <c r="J458" i="7"/>
  <c r="I458" i="7"/>
  <c r="K457" i="7"/>
  <c r="J457" i="7"/>
  <c r="I457" i="7"/>
  <c r="K456" i="7"/>
  <c r="J456" i="7"/>
  <c r="I456" i="7"/>
  <c r="K455" i="7"/>
  <c r="J455" i="7"/>
  <c r="I455" i="7"/>
  <c r="K454" i="7"/>
  <c r="J454" i="7"/>
  <c r="I454" i="7"/>
  <c r="K453" i="7"/>
  <c r="J453" i="7"/>
  <c r="I453" i="7"/>
  <c r="K452" i="7"/>
  <c r="J452" i="7"/>
  <c r="I452" i="7"/>
  <c r="K451" i="7"/>
  <c r="J451" i="7"/>
  <c r="I451" i="7"/>
  <c r="K450" i="7"/>
  <c r="J450" i="7"/>
  <c r="I450" i="7"/>
  <c r="K449" i="7"/>
  <c r="J449" i="7"/>
  <c r="I449" i="7"/>
  <c r="K448" i="7"/>
  <c r="J448" i="7"/>
  <c r="I448" i="7"/>
  <c r="K447" i="7"/>
  <c r="J447" i="7"/>
  <c r="I447" i="7"/>
  <c r="K446" i="7"/>
  <c r="J446" i="7"/>
  <c r="I446" i="7"/>
  <c r="K445" i="7"/>
  <c r="J445" i="7"/>
  <c r="I445" i="7"/>
  <c r="K444" i="7"/>
  <c r="J444" i="7"/>
  <c r="I444" i="7"/>
  <c r="K443" i="7"/>
  <c r="J443" i="7"/>
  <c r="I443" i="7"/>
  <c r="K442" i="7"/>
  <c r="J442" i="7"/>
  <c r="I442" i="7"/>
  <c r="K441" i="7"/>
  <c r="J441" i="7"/>
  <c r="I441" i="7"/>
  <c r="K440" i="7"/>
  <c r="J440" i="7"/>
  <c r="I440" i="7"/>
  <c r="K439" i="7"/>
  <c r="J439" i="7"/>
  <c r="I439" i="7"/>
  <c r="K438" i="7"/>
  <c r="J438" i="7"/>
  <c r="I438" i="7"/>
  <c r="K437" i="7"/>
  <c r="J437" i="7"/>
  <c r="I437" i="7"/>
  <c r="K436" i="7"/>
  <c r="J436" i="7"/>
  <c r="I436" i="7"/>
  <c r="K435" i="7"/>
  <c r="J435" i="7"/>
  <c r="I435" i="7"/>
  <c r="K434" i="7"/>
  <c r="J434" i="7"/>
  <c r="I434" i="7"/>
  <c r="K433" i="7"/>
  <c r="J433" i="7"/>
  <c r="I433" i="7"/>
  <c r="K432" i="7"/>
  <c r="J432" i="7"/>
  <c r="I432" i="7"/>
  <c r="K431" i="7"/>
  <c r="J431" i="7"/>
  <c r="I431" i="7"/>
  <c r="K430" i="7"/>
  <c r="J430" i="7"/>
  <c r="I430" i="7"/>
  <c r="K429" i="7"/>
  <c r="J429" i="7"/>
  <c r="I429" i="7"/>
  <c r="K428" i="7"/>
  <c r="J428" i="7"/>
  <c r="I428" i="7"/>
  <c r="K427" i="7"/>
  <c r="J427" i="7"/>
  <c r="I427" i="7"/>
  <c r="K426" i="7"/>
  <c r="J426" i="7"/>
  <c r="I426" i="7"/>
  <c r="K425" i="7"/>
  <c r="J425" i="7"/>
  <c r="I425" i="7"/>
  <c r="K424" i="7"/>
  <c r="J424" i="7"/>
  <c r="I424" i="7"/>
  <c r="K423" i="7"/>
  <c r="J423" i="7"/>
  <c r="I423" i="7"/>
  <c r="K422" i="7"/>
  <c r="J422" i="7"/>
  <c r="I422" i="7"/>
  <c r="K421" i="7"/>
  <c r="J421" i="7"/>
  <c r="I421" i="7"/>
  <c r="K420" i="7"/>
  <c r="J420" i="7"/>
  <c r="I420" i="7"/>
  <c r="K419" i="7"/>
  <c r="J419" i="7"/>
  <c r="I419" i="7"/>
  <c r="K418" i="7"/>
  <c r="J418" i="7"/>
  <c r="I418" i="7"/>
  <c r="K417" i="7"/>
  <c r="J417" i="7"/>
  <c r="I417" i="7"/>
  <c r="K416" i="7"/>
  <c r="J416" i="7"/>
  <c r="I416" i="7"/>
  <c r="K415" i="7"/>
  <c r="J415" i="7"/>
  <c r="I415" i="7"/>
  <c r="K414" i="7"/>
  <c r="J414" i="7"/>
  <c r="I414" i="7"/>
  <c r="K413" i="7"/>
  <c r="J413" i="7"/>
  <c r="I413" i="7"/>
  <c r="K412" i="7"/>
  <c r="J412" i="7"/>
  <c r="I412" i="7"/>
  <c r="K411" i="7"/>
  <c r="J411" i="7"/>
  <c r="I411" i="7"/>
  <c r="K410" i="7"/>
  <c r="J410" i="7"/>
  <c r="I410" i="7"/>
  <c r="K409" i="7"/>
  <c r="J409" i="7"/>
  <c r="I409" i="7"/>
  <c r="K408" i="7"/>
  <c r="J408" i="7"/>
  <c r="I408" i="7"/>
  <c r="K407" i="7"/>
  <c r="J407" i="7"/>
  <c r="I407" i="7"/>
  <c r="K406" i="7"/>
  <c r="J406" i="7"/>
  <c r="I406" i="7"/>
  <c r="K405" i="7"/>
  <c r="J405" i="7"/>
  <c r="I405" i="7"/>
  <c r="K404" i="7"/>
  <c r="J404" i="7"/>
  <c r="I404" i="7"/>
  <c r="K403" i="7"/>
  <c r="J403" i="7"/>
  <c r="I403" i="7"/>
  <c r="K402" i="7"/>
  <c r="J402" i="7"/>
  <c r="I402" i="7"/>
  <c r="K401" i="7"/>
  <c r="J401" i="7"/>
  <c r="I401" i="7"/>
  <c r="K400" i="7"/>
  <c r="J400" i="7"/>
  <c r="I400" i="7"/>
  <c r="K399" i="7"/>
  <c r="J399" i="7"/>
  <c r="I399" i="7"/>
  <c r="K398" i="7"/>
  <c r="J398" i="7"/>
  <c r="I398" i="7"/>
  <c r="K397" i="7"/>
  <c r="J397" i="7"/>
  <c r="I397" i="7"/>
  <c r="K396" i="7"/>
  <c r="J396" i="7"/>
  <c r="I396" i="7"/>
  <c r="K395" i="7"/>
  <c r="J395" i="7"/>
  <c r="I395" i="7"/>
  <c r="K394" i="7"/>
  <c r="J394" i="7"/>
  <c r="I394" i="7"/>
  <c r="K393" i="7"/>
  <c r="J393" i="7"/>
  <c r="I393" i="7"/>
  <c r="K392" i="7"/>
  <c r="J392" i="7"/>
  <c r="I392" i="7"/>
  <c r="K391" i="7"/>
  <c r="J391" i="7"/>
  <c r="I391" i="7"/>
  <c r="K390" i="7"/>
  <c r="J390" i="7"/>
  <c r="I390" i="7"/>
  <c r="K389" i="7"/>
  <c r="J389" i="7"/>
  <c r="I389" i="7"/>
  <c r="K388" i="7"/>
  <c r="J388" i="7"/>
  <c r="I388" i="7"/>
  <c r="K387" i="7"/>
  <c r="J387" i="7"/>
  <c r="I387" i="7"/>
  <c r="K386" i="7"/>
  <c r="J386" i="7"/>
  <c r="I386" i="7"/>
  <c r="K385" i="7"/>
  <c r="J385" i="7"/>
  <c r="I385" i="7"/>
  <c r="K384" i="7"/>
  <c r="J384" i="7"/>
  <c r="I384" i="7"/>
  <c r="K383" i="7"/>
  <c r="J383" i="7"/>
  <c r="I383" i="7"/>
  <c r="K382" i="7"/>
  <c r="J382" i="7"/>
  <c r="I382" i="7"/>
  <c r="K381" i="7"/>
  <c r="J381" i="7"/>
  <c r="I381" i="7"/>
  <c r="K380" i="7"/>
  <c r="J380" i="7"/>
  <c r="I380" i="7"/>
  <c r="K379" i="7"/>
  <c r="J379" i="7"/>
  <c r="I379" i="7"/>
  <c r="K378" i="7"/>
  <c r="J378" i="7"/>
  <c r="I378" i="7"/>
  <c r="K377" i="7"/>
  <c r="J377" i="7"/>
  <c r="I377" i="7"/>
  <c r="K376" i="7"/>
  <c r="J376" i="7"/>
  <c r="I376" i="7"/>
  <c r="K375" i="7"/>
  <c r="J375" i="7"/>
  <c r="I375" i="7"/>
  <c r="K374" i="7"/>
  <c r="J374" i="7"/>
  <c r="I374" i="7"/>
  <c r="K373" i="7"/>
  <c r="J373" i="7"/>
  <c r="I373" i="7"/>
  <c r="K372" i="7"/>
  <c r="J372" i="7"/>
  <c r="I372" i="7"/>
  <c r="K371" i="7"/>
  <c r="J371" i="7"/>
  <c r="I371" i="7"/>
  <c r="K370" i="7"/>
  <c r="J370" i="7"/>
  <c r="I370" i="7"/>
  <c r="K369" i="7"/>
  <c r="J369" i="7"/>
  <c r="I369" i="7"/>
  <c r="K368" i="7"/>
  <c r="J368" i="7"/>
  <c r="I368" i="7"/>
  <c r="K367" i="7"/>
  <c r="J367" i="7"/>
  <c r="I367" i="7"/>
  <c r="K366" i="7"/>
  <c r="J366" i="7"/>
  <c r="I366" i="7"/>
  <c r="K365" i="7"/>
  <c r="J365" i="7"/>
  <c r="I365" i="7"/>
  <c r="K364" i="7"/>
  <c r="J364" i="7"/>
  <c r="I364" i="7"/>
  <c r="K363" i="7"/>
  <c r="J363" i="7"/>
  <c r="I363" i="7"/>
  <c r="K362" i="7"/>
  <c r="J362" i="7"/>
  <c r="I362" i="7"/>
  <c r="K361" i="7"/>
  <c r="J361" i="7"/>
  <c r="I361" i="7"/>
  <c r="K360" i="7"/>
  <c r="J360" i="7"/>
  <c r="I360" i="7"/>
  <c r="K359" i="7"/>
  <c r="J359" i="7"/>
  <c r="I359" i="7"/>
  <c r="K358" i="7"/>
  <c r="J358" i="7"/>
  <c r="I358" i="7"/>
  <c r="K357" i="7"/>
  <c r="J357" i="7"/>
  <c r="I357" i="7"/>
  <c r="K356" i="7"/>
  <c r="J356" i="7"/>
  <c r="I356" i="7"/>
  <c r="K355" i="7"/>
  <c r="J355" i="7"/>
  <c r="I355" i="7"/>
  <c r="K354" i="7"/>
  <c r="J354" i="7"/>
  <c r="I354" i="7"/>
  <c r="K353" i="7"/>
  <c r="J353" i="7"/>
  <c r="I353" i="7"/>
  <c r="K352" i="7"/>
  <c r="J352" i="7"/>
  <c r="I352" i="7"/>
  <c r="K351" i="7"/>
  <c r="J351" i="7"/>
  <c r="I351" i="7"/>
  <c r="K350" i="7"/>
  <c r="J350" i="7"/>
  <c r="I350" i="7"/>
  <c r="K349" i="7"/>
  <c r="J349" i="7"/>
  <c r="I349" i="7"/>
  <c r="K348" i="7"/>
  <c r="J348" i="7"/>
  <c r="I348" i="7"/>
  <c r="K347" i="7"/>
  <c r="J347" i="7"/>
  <c r="I347" i="7"/>
  <c r="K346" i="7"/>
  <c r="J346" i="7"/>
  <c r="I346" i="7"/>
  <c r="K345" i="7"/>
  <c r="J345" i="7"/>
  <c r="I345" i="7"/>
  <c r="K344" i="7"/>
  <c r="J344" i="7"/>
  <c r="I344" i="7"/>
  <c r="K343" i="7"/>
  <c r="J343" i="7"/>
  <c r="I343" i="7"/>
  <c r="K342" i="7"/>
  <c r="J342" i="7"/>
  <c r="I342" i="7"/>
  <c r="K341" i="7"/>
  <c r="J341" i="7"/>
  <c r="I341" i="7"/>
  <c r="K340" i="7"/>
  <c r="J340" i="7"/>
  <c r="I340" i="7"/>
  <c r="K339" i="7"/>
  <c r="J339" i="7"/>
  <c r="I339" i="7"/>
  <c r="K338" i="7"/>
  <c r="J338" i="7"/>
  <c r="I338" i="7"/>
  <c r="K337" i="7"/>
  <c r="J337" i="7"/>
  <c r="I337" i="7"/>
  <c r="K336" i="7"/>
  <c r="J336" i="7"/>
  <c r="I336" i="7"/>
  <c r="K335" i="7"/>
  <c r="J335" i="7"/>
  <c r="I335" i="7"/>
  <c r="K334" i="7"/>
  <c r="J334" i="7"/>
  <c r="I334" i="7"/>
  <c r="K333" i="7"/>
  <c r="J333" i="7"/>
  <c r="I333" i="7"/>
  <c r="K332" i="7"/>
  <c r="J332" i="7"/>
  <c r="I332" i="7"/>
  <c r="K331" i="7"/>
  <c r="J331" i="7"/>
  <c r="I331" i="7"/>
  <c r="K330" i="7"/>
  <c r="J330" i="7"/>
  <c r="I330" i="7"/>
  <c r="K329" i="7"/>
  <c r="J329" i="7"/>
  <c r="I329" i="7"/>
  <c r="K328" i="7"/>
  <c r="J328" i="7"/>
  <c r="I328" i="7"/>
  <c r="K327" i="7"/>
  <c r="J327" i="7"/>
  <c r="I327" i="7"/>
  <c r="K326" i="7"/>
  <c r="J326" i="7"/>
  <c r="I326" i="7"/>
  <c r="K325" i="7"/>
  <c r="J325" i="7"/>
  <c r="I325" i="7"/>
  <c r="K324" i="7"/>
  <c r="J324" i="7"/>
  <c r="I324" i="7"/>
  <c r="K323" i="7"/>
  <c r="J323" i="7"/>
  <c r="I323" i="7"/>
  <c r="K322" i="7"/>
  <c r="J322" i="7"/>
  <c r="I322" i="7"/>
  <c r="K321" i="7"/>
  <c r="J321" i="7"/>
  <c r="I321" i="7"/>
  <c r="K320" i="7"/>
  <c r="J320" i="7"/>
  <c r="I320" i="7"/>
  <c r="K319" i="7"/>
  <c r="J319" i="7"/>
  <c r="I319" i="7"/>
  <c r="K318" i="7"/>
  <c r="J318" i="7"/>
  <c r="I318" i="7"/>
  <c r="K317" i="7"/>
  <c r="J317" i="7"/>
  <c r="I317" i="7"/>
  <c r="K316" i="7"/>
  <c r="J316" i="7"/>
  <c r="I316" i="7"/>
  <c r="K315" i="7"/>
  <c r="J315" i="7"/>
  <c r="I315" i="7"/>
  <c r="K314" i="7"/>
  <c r="J314" i="7"/>
  <c r="I314" i="7"/>
  <c r="K313" i="7"/>
  <c r="J313" i="7"/>
  <c r="I313" i="7"/>
  <c r="K312" i="7"/>
  <c r="J312" i="7"/>
  <c r="I312" i="7"/>
  <c r="K311" i="7"/>
  <c r="J311" i="7"/>
  <c r="I311" i="7"/>
  <c r="K310" i="7"/>
  <c r="J310" i="7"/>
  <c r="I310" i="7"/>
  <c r="K309" i="7"/>
  <c r="J309" i="7"/>
  <c r="I309" i="7"/>
  <c r="K308" i="7"/>
  <c r="J308" i="7"/>
  <c r="I308" i="7"/>
  <c r="K307" i="7"/>
  <c r="J307" i="7"/>
  <c r="I307" i="7"/>
  <c r="K306" i="7"/>
  <c r="J306" i="7"/>
  <c r="I306" i="7"/>
  <c r="K305" i="7"/>
  <c r="J305" i="7"/>
  <c r="I305" i="7"/>
  <c r="K304" i="7"/>
  <c r="J304" i="7"/>
  <c r="I304" i="7"/>
  <c r="K303" i="7"/>
  <c r="J303" i="7"/>
  <c r="I303" i="7"/>
  <c r="K302" i="7"/>
  <c r="J302" i="7"/>
  <c r="I302" i="7"/>
  <c r="K301" i="7"/>
  <c r="J301" i="7"/>
  <c r="I301" i="7"/>
  <c r="K300" i="7"/>
  <c r="J300" i="7"/>
  <c r="I300" i="7"/>
  <c r="K299" i="7"/>
  <c r="J299" i="7"/>
  <c r="I299" i="7"/>
  <c r="K298" i="7"/>
  <c r="J298" i="7"/>
  <c r="I298" i="7"/>
  <c r="K297" i="7"/>
  <c r="J297" i="7"/>
  <c r="I297" i="7"/>
  <c r="K296" i="7"/>
  <c r="J296" i="7"/>
  <c r="I296" i="7"/>
  <c r="K295" i="7"/>
  <c r="J295" i="7"/>
  <c r="I295" i="7"/>
  <c r="K294" i="7"/>
  <c r="J294" i="7"/>
  <c r="I294" i="7"/>
  <c r="K293" i="7"/>
  <c r="J293" i="7"/>
  <c r="I293" i="7"/>
  <c r="K292" i="7"/>
  <c r="J292" i="7"/>
  <c r="I292" i="7"/>
  <c r="K291" i="7"/>
  <c r="J291" i="7"/>
  <c r="I291" i="7"/>
  <c r="K290" i="7"/>
  <c r="J290" i="7"/>
  <c r="I290" i="7"/>
  <c r="K289" i="7"/>
  <c r="J289" i="7"/>
  <c r="I289" i="7"/>
  <c r="K288" i="7"/>
  <c r="J288" i="7"/>
  <c r="I288" i="7"/>
  <c r="K287" i="7"/>
  <c r="J287" i="7"/>
  <c r="I287" i="7"/>
  <c r="K286" i="7"/>
  <c r="J286" i="7"/>
  <c r="I286" i="7"/>
  <c r="K285" i="7"/>
  <c r="J285" i="7"/>
  <c r="I285" i="7"/>
  <c r="K284" i="7"/>
  <c r="J284" i="7"/>
  <c r="I284" i="7"/>
  <c r="K283" i="7"/>
  <c r="J283" i="7"/>
  <c r="I283" i="7"/>
  <c r="K282" i="7"/>
  <c r="J282" i="7"/>
  <c r="I282" i="7"/>
  <c r="K281" i="7"/>
  <c r="J281" i="7"/>
  <c r="I281" i="7"/>
  <c r="K280" i="7"/>
  <c r="J280" i="7"/>
  <c r="I280" i="7"/>
  <c r="K279" i="7"/>
  <c r="J279" i="7"/>
  <c r="I279" i="7"/>
  <c r="K278" i="7"/>
  <c r="J278" i="7"/>
  <c r="I278" i="7"/>
  <c r="K277" i="7"/>
  <c r="J277" i="7"/>
  <c r="I277" i="7"/>
  <c r="K276" i="7"/>
  <c r="J276" i="7"/>
  <c r="I276" i="7"/>
  <c r="K275" i="7"/>
  <c r="J275" i="7"/>
  <c r="I275" i="7"/>
  <c r="K274" i="7"/>
  <c r="J274" i="7"/>
  <c r="I274" i="7"/>
  <c r="K273" i="7"/>
  <c r="J273" i="7"/>
  <c r="I273" i="7"/>
  <c r="K272" i="7"/>
  <c r="J272" i="7"/>
  <c r="I272" i="7"/>
  <c r="K271" i="7"/>
  <c r="J271" i="7"/>
  <c r="I271" i="7"/>
  <c r="K270" i="7"/>
  <c r="J270" i="7"/>
  <c r="I270" i="7"/>
  <c r="K269" i="7"/>
  <c r="J269" i="7"/>
  <c r="I269" i="7"/>
  <c r="K268" i="7"/>
  <c r="J268" i="7"/>
  <c r="I268" i="7"/>
  <c r="K267" i="7"/>
  <c r="J267" i="7"/>
  <c r="I267" i="7"/>
  <c r="K266" i="7"/>
  <c r="J266" i="7"/>
  <c r="I266" i="7"/>
  <c r="K265" i="7"/>
  <c r="J265" i="7"/>
  <c r="I265" i="7"/>
  <c r="K264" i="7"/>
  <c r="J264" i="7"/>
  <c r="I264" i="7"/>
  <c r="K263" i="7"/>
  <c r="J263" i="7"/>
  <c r="I263" i="7"/>
  <c r="K262" i="7"/>
  <c r="J262" i="7"/>
  <c r="I262" i="7"/>
  <c r="K261" i="7"/>
  <c r="J261" i="7"/>
  <c r="I261" i="7"/>
  <c r="K260" i="7"/>
  <c r="J260" i="7"/>
  <c r="I260" i="7"/>
  <c r="K259" i="7"/>
  <c r="J259" i="7"/>
  <c r="I259" i="7"/>
  <c r="K258" i="7"/>
  <c r="J258" i="7"/>
  <c r="I258" i="7"/>
  <c r="K257" i="7"/>
  <c r="J257" i="7"/>
  <c r="I257" i="7"/>
  <c r="K256" i="7"/>
  <c r="J256" i="7"/>
  <c r="I256" i="7"/>
  <c r="K255" i="7"/>
  <c r="J255" i="7"/>
  <c r="I255" i="7"/>
  <c r="K254" i="7"/>
  <c r="J254" i="7"/>
  <c r="I254" i="7"/>
  <c r="K253" i="7"/>
  <c r="J253" i="7"/>
  <c r="I253" i="7"/>
  <c r="K252" i="7"/>
  <c r="J252" i="7"/>
  <c r="I252" i="7"/>
  <c r="K251" i="7"/>
  <c r="J251" i="7"/>
  <c r="I251" i="7"/>
  <c r="K250" i="7"/>
  <c r="J250" i="7"/>
  <c r="I250" i="7"/>
  <c r="K249" i="7"/>
  <c r="J249" i="7"/>
  <c r="I249" i="7"/>
  <c r="K248" i="7"/>
  <c r="J248" i="7"/>
  <c r="I248" i="7"/>
  <c r="K247" i="7"/>
  <c r="J247" i="7"/>
  <c r="I247" i="7"/>
  <c r="K246" i="7"/>
  <c r="J246" i="7"/>
  <c r="I246" i="7"/>
  <c r="K245" i="7"/>
  <c r="J245" i="7"/>
  <c r="I245" i="7"/>
  <c r="K244" i="7"/>
  <c r="J244" i="7"/>
  <c r="I244" i="7"/>
  <c r="K243" i="7"/>
  <c r="J243" i="7"/>
  <c r="I243" i="7"/>
  <c r="K242" i="7"/>
  <c r="J242" i="7"/>
  <c r="I242" i="7"/>
  <c r="K241" i="7"/>
  <c r="J241" i="7"/>
  <c r="I241" i="7"/>
  <c r="K240" i="7"/>
  <c r="J240" i="7"/>
  <c r="I240" i="7"/>
  <c r="K239" i="7"/>
  <c r="J239" i="7"/>
  <c r="I239" i="7"/>
  <c r="K238" i="7"/>
  <c r="J238" i="7"/>
  <c r="I238" i="7"/>
  <c r="K237" i="7"/>
  <c r="J237" i="7"/>
  <c r="I237" i="7"/>
  <c r="K236" i="7"/>
  <c r="J236" i="7"/>
  <c r="I236" i="7"/>
  <c r="K235" i="7"/>
  <c r="J235" i="7"/>
  <c r="I235" i="7"/>
  <c r="K234" i="7"/>
  <c r="J234" i="7"/>
  <c r="I234" i="7"/>
  <c r="K233" i="7"/>
  <c r="J233" i="7"/>
  <c r="I233" i="7"/>
  <c r="K232" i="7"/>
  <c r="J232" i="7"/>
  <c r="I232" i="7"/>
  <c r="K231" i="7"/>
  <c r="J231" i="7"/>
  <c r="I231" i="7"/>
  <c r="K230" i="7"/>
  <c r="J230" i="7"/>
  <c r="I230" i="7"/>
  <c r="K229" i="7"/>
  <c r="J229" i="7"/>
  <c r="I229" i="7"/>
  <c r="K228" i="7"/>
  <c r="J228" i="7"/>
  <c r="I228" i="7"/>
  <c r="K227" i="7"/>
  <c r="J227" i="7"/>
  <c r="I227" i="7"/>
  <c r="K226" i="7"/>
  <c r="J226" i="7"/>
  <c r="I226" i="7"/>
  <c r="K225" i="7"/>
  <c r="J225" i="7"/>
  <c r="I225" i="7"/>
  <c r="K224" i="7"/>
  <c r="J224" i="7"/>
  <c r="I224" i="7"/>
  <c r="K223" i="7"/>
  <c r="J223" i="7"/>
  <c r="I223" i="7"/>
  <c r="K222" i="7"/>
  <c r="J222" i="7"/>
  <c r="I222" i="7"/>
  <c r="K221" i="7"/>
  <c r="J221" i="7"/>
  <c r="I221" i="7"/>
  <c r="K220" i="7"/>
  <c r="J220" i="7"/>
  <c r="I220" i="7"/>
  <c r="K219" i="7"/>
  <c r="J219" i="7"/>
  <c r="I219" i="7"/>
  <c r="K218" i="7"/>
  <c r="J218" i="7"/>
  <c r="I218" i="7"/>
  <c r="K217" i="7"/>
  <c r="J217" i="7"/>
  <c r="I217" i="7"/>
  <c r="K216" i="7"/>
  <c r="J216" i="7"/>
  <c r="I216" i="7"/>
  <c r="K215" i="7"/>
  <c r="J215" i="7"/>
  <c r="I215" i="7"/>
  <c r="K214" i="7"/>
  <c r="J214" i="7"/>
  <c r="I214" i="7"/>
  <c r="K213" i="7"/>
  <c r="J213" i="7"/>
  <c r="I213" i="7"/>
  <c r="K212" i="7"/>
  <c r="J212" i="7"/>
  <c r="I212" i="7"/>
  <c r="K211" i="7"/>
  <c r="J211" i="7"/>
  <c r="I211" i="7"/>
  <c r="K210" i="7"/>
  <c r="J210" i="7"/>
  <c r="I210" i="7"/>
  <c r="K209" i="7"/>
  <c r="J209" i="7"/>
  <c r="I209" i="7"/>
  <c r="K208" i="7"/>
  <c r="J208" i="7"/>
  <c r="I208" i="7"/>
  <c r="K207" i="7"/>
  <c r="J207" i="7"/>
  <c r="I207" i="7"/>
  <c r="K206" i="7"/>
  <c r="J206" i="7"/>
  <c r="I206" i="7"/>
  <c r="K205" i="7"/>
  <c r="J205" i="7"/>
  <c r="I205" i="7"/>
  <c r="K204" i="7"/>
  <c r="J204" i="7"/>
  <c r="I204" i="7"/>
  <c r="K203" i="7"/>
  <c r="J203" i="7"/>
  <c r="I203" i="7"/>
  <c r="K202" i="7"/>
  <c r="J202" i="7"/>
  <c r="I202" i="7"/>
  <c r="K201" i="7"/>
  <c r="J201" i="7"/>
  <c r="I201" i="7"/>
  <c r="K200" i="7"/>
  <c r="J200" i="7"/>
  <c r="I200" i="7"/>
  <c r="K199" i="7"/>
  <c r="J199" i="7"/>
  <c r="I199" i="7"/>
  <c r="K198" i="7"/>
  <c r="J198" i="7"/>
  <c r="I198" i="7"/>
  <c r="K197" i="7"/>
  <c r="J197" i="7"/>
  <c r="I197" i="7"/>
  <c r="K196" i="7"/>
  <c r="J196" i="7"/>
  <c r="I196" i="7"/>
  <c r="K195" i="7"/>
  <c r="J195" i="7"/>
  <c r="I195" i="7"/>
  <c r="K194" i="7"/>
  <c r="J194" i="7"/>
  <c r="I194" i="7"/>
  <c r="K193" i="7"/>
  <c r="J193" i="7"/>
  <c r="I193" i="7"/>
  <c r="K192" i="7"/>
  <c r="J192" i="7"/>
  <c r="I192" i="7"/>
  <c r="K191" i="7"/>
  <c r="J191" i="7"/>
  <c r="I191" i="7"/>
  <c r="K190" i="7"/>
  <c r="J190" i="7"/>
  <c r="I190" i="7"/>
  <c r="K189" i="7"/>
  <c r="J189" i="7"/>
  <c r="I189" i="7"/>
  <c r="K188" i="7"/>
  <c r="J188" i="7"/>
  <c r="I188" i="7"/>
  <c r="K187" i="7"/>
  <c r="J187" i="7"/>
  <c r="I187" i="7"/>
  <c r="K186" i="7"/>
  <c r="J186" i="7"/>
  <c r="I186" i="7"/>
  <c r="K185" i="7"/>
  <c r="J185" i="7"/>
  <c r="I185" i="7"/>
  <c r="K184" i="7"/>
  <c r="J184" i="7"/>
  <c r="I184" i="7"/>
  <c r="K183" i="7"/>
  <c r="J183" i="7"/>
  <c r="I183" i="7"/>
  <c r="K182" i="7"/>
  <c r="J182" i="7"/>
  <c r="I182" i="7"/>
  <c r="K181" i="7"/>
  <c r="J181" i="7"/>
  <c r="I181" i="7"/>
  <c r="K180" i="7"/>
  <c r="J180" i="7"/>
  <c r="I180" i="7"/>
  <c r="K179" i="7"/>
  <c r="J179" i="7"/>
  <c r="I179" i="7"/>
  <c r="K178" i="7"/>
  <c r="J178" i="7"/>
  <c r="I178" i="7"/>
  <c r="K177" i="7"/>
  <c r="J177" i="7"/>
  <c r="I177" i="7"/>
  <c r="K176" i="7"/>
  <c r="J176" i="7"/>
  <c r="I176" i="7"/>
  <c r="K175" i="7"/>
  <c r="J175" i="7"/>
  <c r="I175" i="7"/>
  <c r="K174" i="7"/>
  <c r="J174" i="7"/>
  <c r="I174" i="7"/>
  <c r="K173" i="7"/>
  <c r="J173" i="7"/>
  <c r="I173" i="7"/>
  <c r="K172" i="7"/>
  <c r="J172" i="7"/>
  <c r="I172" i="7"/>
  <c r="K171" i="7"/>
  <c r="J171" i="7"/>
  <c r="I171" i="7"/>
  <c r="K170" i="7"/>
  <c r="J170" i="7"/>
  <c r="I170" i="7"/>
  <c r="K169" i="7"/>
  <c r="J169" i="7"/>
  <c r="I169" i="7"/>
  <c r="K168" i="7"/>
  <c r="J168" i="7"/>
  <c r="I168" i="7"/>
  <c r="K167" i="7"/>
  <c r="J167" i="7"/>
  <c r="I167" i="7"/>
  <c r="K166" i="7"/>
  <c r="J166" i="7"/>
  <c r="I166" i="7"/>
  <c r="K165" i="7"/>
  <c r="J165" i="7"/>
  <c r="I165" i="7"/>
  <c r="K164" i="7"/>
  <c r="J164" i="7"/>
  <c r="I164" i="7"/>
  <c r="K163" i="7"/>
  <c r="J163" i="7"/>
  <c r="I163" i="7"/>
  <c r="K162" i="7"/>
  <c r="J162" i="7"/>
  <c r="I162" i="7"/>
  <c r="K161" i="7"/>
  <c r="J161" i="7"/>
  <c r="I161" i="7"/>
  <c r="K160" i="7"/>
  <c r="J160" i="7"/>
  <c r="I160" i="7"/>
  <c r="K159" i="7"/>
  <c r="J159" i="7"/>
  <c r="I159" i="7"/>
  <c r="K158" i="7"/>
  <c r="J158" i="7"/>
  <c r="I158" i="7"/>
  <c r="K157" i="7"/>
  <c r="J157" i="7"/>
  <c r="I157" i="7"/>
  <c r="K156" i="7"/>
  <c r="J156" i="7"/>
  <c r="I156" i="7"/>
  <c r="K155" i="7"/>
  <c r="J155" i="7"/>
  <c r="I155" i="7"/>
  <c r="K154" i="7"/>
  <c r="J154" i="7"/>
  <c r="I154" i="7"/>
  <c r="K153" i="7"/>
  <c r="J153" i="7"/>
  <c r="I153" i="7"/>
  <c r="K152" i="7"/>
  <c r="J152" i="7"/>
  <c r="I152" i="7"/>
  <c r="K151" i="7"/>
  <c r="J151" i="7"/>
  <c r="I151" i="7"/>
  <c r="K150" i="7"/>
  <c r="J150" i="7"/>
  <c r="I150" i="7"/>
  <c r="K149" i="7"/>
  <c r="J149" i="7"/>
  <c r="I149" i="7"/>
  <c r="K148" i="7"/>
  <c r="J148" i="7"/>
  <c r="I148" i="7"/>
  <c r="K147" i="7"/>
  <c r="J147" i="7"/>
  <c r="I147" i="7"/>
  <c r="K146" i="7"/>
  <c r="J146" i="7"/>
  <c r="I146" i="7"/>
  <c r="K145" i="7"/>
  <c r="J145" i="7"/>
  <c r="I145" i="7"/>
  <c r="K144" i="7"/>
  <c r="J144" i="7"/>
  <c r="I144" i="7"/>
  <c r="K143" i="7"/>
  <c r="J143" i="7"/>
  <c r="I143" i="7"/>
  <c r="K142" i="7"/>
  <c r="J142" i="7"/>
  <c r="I142" i="7"/>
  <c r="K141" i="7"/>
  <c r="J141" i="7"/>
  <c r="I141" i="7"/>
  <c r="K140" i="7"/>
  <c r="J140" i="7"/>
  <c r="I140" i="7"/>
  <c r="K139" i="7"/>
  <c r="J139" i="7"/>
  <c r="I139" i="7"/>
  <c r="K138" i="7"/>
  <c r="J138" i="7"/>
  <c r="I138" i="7"/>
  <c r="K137" i="7"/>
  <c r="J137" i="7"/>
  <c r="I137" i="7"/>
  <c r="K136" i="7"/>
  <c r="J136" i="7"/>
  <c r="I136" i="7"/>
  <c r="K135" i="7"/>
  <c r="J135" i="7"/>
  <c r="I135" i="7"/>
  <c r="K134" i="7"/>
  <c r="J134" i="7"/>
  <c r="I134" i="7"/>
  <c r="K133" i="7"/>
  <c r="J133" i="7"/>
  <c r="I133" i="7"/>
  <c r="K132" i="7"/>
  <c r="J132" i="7"/>
  <c r="I132" i="7"/>
  <c r="K131" i="7"/>
  <c r="J131" i="7"/>
  <c r="I131" i="7"/>
  <c r="K130" i="7"/>
  <c r="J130" i="7"/>
  <c r="I130" i="7"/>
  <c r="K129" i="7"/>
  <c r="J129" i="7"/>
  <c r="I129" i="7"/>
  <c r="K128" i="7"/>
  <c r="J128" i="7"/>
  <c r="I128" i="7"/>
  <c r="K127" i="7"/>
  <c r="J127" i="7"/>
  <c r="I127" i="7"/>
  <c r="K126" i="7"/>
  <c r="J126" i="7"/>
  <c r="I126" i="7"/>
  <c r="K125" i="7"/>
  <c r="J125" i="7"/>
  <c r="I125" i="7"/>
  <c r="K124" i="7"/>
  <c r="J124" i="7"/>
  <c r="I124" i="7"/>
  <c r="K123" i="7"/>
  <c r="J123" i="7"/>
  <c r="I123" i="7"/>
  <c r="K122" i="7"/>
  <c r="J122" i="7"/>
  <c r="I122" i="7"/>
  <c r="K121" i="7"/>
  <c r="J121" i="7"/>
  <c r="I121" i="7"/>
  <c r="K120" i="7"/>
  <c r="J120" i="7"/>
  <c r="I120" i="7"/>
  <c r="K119" i="7"/>
  <c r="J119" i="7"/>
  <c r="I119" i="7"/>
  <c r="K118" i="7"/>
  <c r="J118" i="7"/>
  <c r="I118" i="7"/>
  <c r="K117" i="7"/>
  <c r="J117" i="7"/>
  <c r="I117" i="7"/>
  <c r="K116" i="7"/>
  <c r="J116" i="7"/>
  <c r="I116" i="7"/>
  <c r="K115" i="7"/>
  <c r="J115" i="7"/>
  <c r="I115" i="7"/>
  <c r="K114" i="7"/>
  <c r="J114" i="7"/>
  <c r="I114" i="7"/>
  <c r="K113" i="7"/>
  <c r="J113" i="7"/>
  <c r="I113" i="7"/>
  <c r="K112" i="7"/>
  <c r="J112" i="7"/>
  <c r="I112" i="7"/>
  <c r="K111" i="7"/>
  <c r="J111" i="7"/>
  <c r="I111" i="7"/>
  <c r="K110" i="7"/>
  <c r="J110" i="7"/>
  <c r="I110" i="7"/>
  <c r="K109" i="7"/>
  <c r="J109" i="7"/>
  <c r="I109" i="7"/>
  <c r="K108" i="7"/>
  <c r="J108" i="7"/>
  <c r="I108" i="7"/>
  <c r="K107" i="7"/>
  <c r="J107" i="7"/>
  <c r="I107" i="7"/>
  <c r="K106" i="7"/>
  <c r="J106" i="7"/>
  <c r="I106" i="7"/>
  <c r="K105" i="7"/>
  <c r="J105" i="7"/>
  <c r="I105" i="7"/>
  <c r="K104" i="7"/>
  <c r="J104" i="7"/>
  <c r="I104" i="7"/>
  <c r="K103" i="7"/>
  <c r="J103" i="7"/>
  <c r="I103" i="7"/>
  <c r="K102" i="7"/>
  <c r="J102" i="7"/>
  <c r="I102" i="7"/>
  <c r="K101" i="7"/>
  <c r="J101" i="7"/>
  <c r="I101" i="7"/>
  <c r="K100" i="7"/>
  <c r="J100" i="7"/>
  <c r="I100" i="7"/>
  <c r="K99" i="7"/>
  <c r="J99" i="7"/>
  <c r="I99" i="7"/>
  <c r="K98" i="7"/>
  <c r="J98" i="7"/>
  <c r="I98" i="7"/>
  <c r="K97" i="7"/>
  <c r="J97" i="7"/>
  <c r="I97" i="7"/>
  <c r="K96" i="7"/>
  <c r="J96" i="7"/>
  <c r="I96" i="7"/>
  <c r="K95" i="7"/>
  <c r="J95" i="7"/>
  <c r="I95" i="7"/>
  <c r="K94" i="7"/>
  <c r="J94" i="7"/>
  <c r="I94" i="7"/>
  <c r="K93" i="7"/>
  <c r="J93" i="7"/>
  <c r="I93" i="7"/>
  <c r="K92" i="7"/>
  <c r="J92" i="7"/>
  <c r="I92" i="7"/>
  <c r="K91" i="7"/>
  <c r="J91" i="7"/>
  <c r="I91" i="7"/>
  <c r="K90" i="7"/>
  <c r="J90" i="7"/>
  <c r="I90" i="7"/>
  <c r="K89" i="7"/>
  <c r="J89" i="7"/>
  <c r="I89" i="7"/>
  <c r="K88" i="7"/>
  <c r="J88" i="7"/>
  <c r="I88" i="7"/>
  <c r="K87" i="7"/>
  <c r="J87" i="7"/>
  <c r="I87" i="7"/>
  <c r="K86" i="7"/>
  <c r="J86" i="7"/>
  <c r="I86" i="7"/>
  <c r="K85" i="7"/>
  <c r="J85" i="7"/>
  <c r="I85" i="7"/>
  <c r="K84" i="7"/>
  <c r="J84" i="7"/>
  <c r="I84" i="7"/>
  <c r="K83" i="7"/>
  <c r="J83" i="7"/>
  <c r="I83" i="7"/>
  <c r="K82" i="7"/>
  <c r="J82" i="7"/>
  <c r="I82" i="7"/>
  <c r="K81" i="7"/>
  <c r="J81" i="7"/>
  <c r="I81" i="7"/>
  <c r="K80" i="7"/>
  <c r="J80" i="7"/>
  <c r="I80" i="7"/>
  <c r="K79" i="7"/>
  <c r="J79" i="7"/>
  <c r="I79" i="7"/>
  <c r="K78" i="7"/>
  <c r="J78" i="7"/>
  <c r="I78" i="7"/>
  <c r="K77" i="7"/>
  <c r="J77" i="7"/>
  <c r="I77" i="7"/>
  <c r="K76" i="7"/>
  <c r="J76" i="7"/>
  <c r="I76" i="7"/>
  <c r="K75" i="7"/>
  <c r="J75" i="7"/>
  <c r="I75" i="7"/>
  <c r="K74" i="7"/>
  <c r="J74" i="7"/>
  <c r="I74" i="7"/>
  <c r="K73" i="7"/>
  <c r="J73" i="7"/>
  <c r="I73" i="7"/>
  <c r="K72" i="7"/>
  <c r="J72" i="7"/>
  <c r="I72" i="7"/>
  <c r="K71" i="7"/>
  <c r="J71" i="7"/>
  <c r="I71" i="7"/>
  <c r="K70" i="7"/>
  <c r="J70" i="7"/>
  <c r="I70" i="7"/>
  <c r="K69" i="7"/>
  <c r="J69" i="7"/>
  <c r="I69" i="7"/>
  <c r="K68" i="7"/>
  <c r="J68" i="7"/>
  <c r="I68" i="7"/>
  <c r="K67" i="7"/>
  <c r="J67" i="7"/>
  <c r="I67" i="7"/>
  <c r="K66" i="7"/>
  <c r="J66" i="7"/>
  <c r="I66" i="7"/>
  <c r="K65" i="7"/>
  <c r="J65" i="7"/>
  <c r="I65" i="7"/>
  <c r="K64" i="7"/>
  <c r="J64" i="7"/>
  <c r="I64" i="7"/>
  <c r="K63" i="7"/>
  <c r="J63" i="7"/>
  <c r="I63" i="7"/>
  <c r="K62" i="7"/>
  <c r="J62" i="7"/>
  <c r="I62" i="7"/>
  <c r="K61" i="7"/>
  <c r="J61" i="7"/>
  <c r="I61" i="7"/>
  <c r="K60" i="7"/>
  <c r="J60" i="7"/>
  <c r="I60" i="7"/>
  <c r="K59" i="7"/>
  <c r="J59" i="7"/>
  <c r="I59" i="7"/>
  <c r="K58" i="7"/>
  <c r="J58" i="7"/>
  <c r="I58" i="7"/>
  <c r="K57" i="7"/>
  <c r="J57" i="7"/>
  <c r="I57" i="7"/>
  <c r="K56" i="7"/>
  <c r="J56" i="7"/>
  <c r="I56" i="7"/>
  <c r="K55" i="7"/>
  <c r="J55" i="7"/>
  <c r="I55" i="7"/>
  <c r="K54" i="7"/>
  <c r="J54" i="7"/>
  <c r="I54" i="7"/>
  <c r="K53" i="7"/>
  <c r="J53" i="7"/>
  <c r="I53" i="7"/>
  <c r="K52" i="7"/>
  <c r="J52" i="7"/>
  <c r="I52" i="7"/>
  <c r="K51" i="7"/>
  <c r="J51" i="7"/>
  <c r="I51" i="7"/>
  <c r="K50" i="7"/>
  <c r="J50" i="7"/>
  <c r="I50" i="7"/>
  <c r="K49" i="7"/>
  <c r="J49" i="7"/>
  <c r="I49" i="7"/>
  <c r="K48" i="7"/>
  <c r="J48" i="7"/>
  <c r="I48" i="7"/>
  <c r="K47" i="7"/>
  <c r="J47" i="7"/>
  <c r="I47" i="7"/>
  <c r="K46" i="7"/>
  <c r="J46" i="7"/>
  <c r="I46" i="7"/>
  <c r="K45" i="7"/>
  <c r="J45" i="7"/>
  <c r="I45" i="7"/>
  <c r="K44" i="7"/>
  <c r="J44" i="7"/>
  <c r="I44" i="7"/>
  <c r="K43" i="7"/>
  <c r="J43" i="7"/>
  <c r="I43" i="7"/>
  <c r="K42" i="7"/>
  <c r="J42" i="7"/>
  <c r="I42" i="7"/>
  <c r="K41" i="7"/>
  <c r="J41" i="7"/>
  <c r="I41" i="7"/>
  <c r="K40" i="7"/>
  <c r="J40" i="7"/>
  <c r="I40" i="7"/>
  <c r="K39" i="7"/>
  <c r="J39" i="7"/>
  <c r="I39" i="7"/>
  <c r="K38" i="7"/>
  <c r="J38" i="7"/>
  <c r="I38" i="7"/>
  <c r="K37" i="7"/>
  <c r="J37" i="7"/>
  <c r="I37" i="7"/>
  <c r="K36" i="7"/>
  <c r="J36" i="7"/>
  <c r="I36" i="7"/>
  <c r="K35" i="7"/>
  <c r="J35" i="7"/>
  <c r="I35" i="7"/>
  <c r="K34" i="7"/>
  <c r="J34" i="7"/>
  <c r="I34" i="7"/>
  <c r="K33" i="7"/>
  <c r="J33" i="7"/>
  <c r="I33" i="7"/>
  <c r="K32" i="7"/>
  <c r="J32" i="7"/>
  <c r="I32" i="7"/>
  <c r="K31" i="7"/>
  <c r="J31" i="7"/>
  <c r="I31" i="7"/>
  <c r="K30" i="7"/>
  <c r="J30" i="7"/>
  <c r="I30" i="7"/>
  <c r="K29" i="7"/>
  <c r="J29" i="7"/>
  <c r="I29" i="7"/>
  <c r="K28" i="7"/>
  <c r="J28" i="7"/>
  <c r="I28" i="7"/>
  <c r="K27" i="7"/>
  <c r="J27" i="7"/>
  <c r="I27" i="7"/>
  <c r="K26" i="7"/>
  <c r="J26" i="7"/>
  <c r="I26" i="7"/>
  <c r="K25" i="7"/>
  <c r="J25" i="7"/>
  <c r="I25" i="7"/>
  <c r="K24" i="7"/>
  <c r="J24" i="7"/>
  <c r="I24" i="7"/>
  <c r="K23" i="7"/>
  <c r="J23" i="7"/>
  <c r="I23" i="7"/>
  <c r="K22" i="7"/>
  <c r="J22" i="7"/>
  <c r="I22" i="7"/>
  <c r="K21" i="7"/>
  <c r="J21" i="7"/>
  <c r="I21" i="7"/>
  <c r="K20" i="7"/>
  <c r="J20" i="7"/>
  <c r="I20" i="7"/>
  <c r="K19" i="7"/>
  <c r="J19" i="7"/>
  <c r="I19" i="7"/>
  <c r="K18" i="7"/>
  <c r="J18" i="7"/>
  <c r="I18" i="7"/>
  <c r="K17" i="7"/>
  <c r="J17" i="7"/>
  <c r="I17" i="7"/>
  <c r="K16" i="7"/>
  <c r="J16" i="7"/>
  <c r="I16" i="7"/>
  <c r="K15" i="7"/>
  <c r="J15" i="7"/>
  <c r="I15" i="7"/>
  <c r="K14" i="7"/>
  <c r="J14" i="7"/>
  <c r="I14" i="7"/>
  <c r="K13" i="7"/>
  <c r="J13" i="7"/>
  <c r="I13" i="7"/>
  <c r="K12" i="7"/>
  <c r="J12" i="7"/>
  <c r="I12" i="7"/>
  <c r="K11" i="7"/>
  <c r="J11" i="7"/>
  <c r="I11" i="7"/>
  <c r="K10" i="7"/>
  <c r="J10" i="7"/>
  <c r="I10" i="7"/>
  <c r="K9" i="7"/>
  <c r="J9" i="7"/>
  <c r="I9" i="7"/>
  <c r="K8" i="7"/>
  <c r="J8" i="7"/>
  <c r="I8" i="7"/>
  <c r="K7" i="7"/>
  <c r="J7" i="7"/>
  <c r="I7" i="7"/>
  <c r="K6" i="7"/>
  <c r="J6" i="7"/>
  <c r="I6" i="7"/>
  <c r="L1273" i="7"/>
  <c r="L1272" i="7"/>
  <c r="L1271" i="7"/>
  <c r="L1270" i="7"/>
  <c r="L1269" i="7"/>
  <c r="L1268" i="7"/>
  <c r="L1267" i="7"/>
  <c r="L1266" i="7"/>
  <c r="L1265" i="7"/>
  <c r="L1264" i="7"/>
  <c r="L1263" i="7"/>
  <c r="L1262" i="7"/>
  <c r="L1261" i="7"/>
  <c r="L1260" i="7"/>
  <c r="L1259" i="7"/>
  <c r="L1258" i="7"/>
  <c r="L1257" i="7"/>
  <c r="L1256" i="7"/>
  <c r="L1255" i="7"/>
  <c r="L1254" i="7"/>
  <c r="L1253" i="7"/>
  <c r="L1252" i="7"/>
  <c r="L1251" i="7"/>
  <c r="L1250" i="7"/>
  <c r="L1249" i="7"/>
  <c r="L1248" i="7"/>
  <c r="L1247" i="7"/>
  <c r="L1246" i="7"/>
  <c r="L1245" i="7"/>
  <c r="L1244" i="7"/>
  <c r="L1243" i="7"/>
  <c r="L1242" i="7"/>
  <c r="L1241" i="7"/>
  <c r="L1240" i="7"/>
  <c r="L1239" i="7"/>
  <c r="L1238" i="7"/>
  <c r="L1237" i="7"/>
  <c r="L1236" i="7"/>
  <c r="L1235" i="7"/>
  <c r="L1234" i="7"/>
  <c r="L1233" i="7"/>
  <c r="L1232" i="7"/>
  <c r="L1231" i="7"/>
  <c r="L1230" i="7"/>
  <c r="L1229" i="7"/>
  <c r="L1228" i="7"/>
  <c r="L1227" i="7"/>
  <c r="L1226" i="7"/>
  <c r="L1225" i="7"/>
  <c r="L1224" i="7"/>
  <c r="L1223" i="7"/>
  <c r="L1222" i="7"/>
  <c r="L1221" i="7"/>
  <c r="L1220" i="7"/>
  <c r="L1219" i="7"/>
  <c r="L1218" i="7"/>
  <c r="L1217" i="7"/>
  <c r="L1216" i="7"/>
  <c r="L1215" i="7"/>
  <c r="L1214" i="7"/>
  <c r="L1213" i="7"/>
  <c r="L1212" i="7"/>
  <c r="L1211" i="7"/>
  <c r="L1210" i="7"/>
  <c r="L1209" i="7"/>
  <c r="L1208" i="7"/>
  <c r="L1207" i="7"/>
  <c r="L1206" i="7"/>
  <c r="L1205" i="7"/>
  <c r="L1204" i="7"/>
  <c r="L1203" i="7"/>
  <c r="L1202" i="7"/>
  <c r="L1201" i="7"/>
  <c r="L1200" i="7"/>
  <c r="L1199" i="7"/>
  <c r="L1198" i="7"/>
  <c r="L1197" i="7"/>
  <c r="L1196" i="7"/>
  <c r="L1195" i="7"/>
  <c r="L1194" i="7"/>
  <c r="L1193" i="7"/>
  <c r="L1192" i="7"/>
  <c r="L1191" i="7"/>
  <c r="L1190" i="7"/>
  <c r="L1189" i="7"/>
  <c r="L1188" i="7"/>
  <c r="L1187" i="7"/>
  <c r="L1186" i="7"/>
  <c r="L1185" i="7"/>
  <c r="L1184" i="7"/>
  <c r="L1183" i="7"/>
  <c r="L1182" i="7"/>
  <c r="L1181" i="7"/>
  <c r="L1180" i="7"/>
  <c r="L1179" i="7"/>
  <c r="L1178" i="7"/>
  <c r="L1177" i="7"/>
  <c r="L1176" i="7"/>
  <c r="L1175" i="7"/>
  <c r="L1174" i="7"/>
  <c r="L1173" i="7"/>
  <c r="L1172" i="7"/>
  <c r="L1171" i="7"/>
  <c r="L1170" i="7"/>
  <c r="L1169" i="7"/>
  <c r="L1168" i="7"/>
  <c r="L1167" i="7"/>
  <c r="L1166" i="7"/>
  <c r="L1165" i="7"/>
  <c r="L1164" i="7"/>
  <c r="L1163" i="7"/>
  <c r="L1162" i="7"/>
  <c r="L1161" i="7"/>
  <c r="L1160" i="7"/>
  <c r="L1159" i="7"/>
  <c r="L1158" i="7"/>
  <c r="L1157" i="7"/>
  <c r="L1156" i="7"/>
  <c r="L1155" i="7"/>
  <c r="L1154" i="7"/>
  <c r="L1153" i="7"/>
  <c r="L1152" i="7"/>
  <c r="L1151" i="7"/>
  <c r="L1150" i="7"/>
  <c r="L1149" i="7"/>
  <c r="L1148" i="7"/>
  <c r="L1147" i="7"/>
  <c r="L1146" i="7"/>
  <c r="L1145" i="7"/>
  <c r="L1144" i="7"/>
  <c r="L1143" i="7"/>
  <c r="L1142" i="7"/>
  <c r="L1141" i="7"/>
  <c r="L1140" i="7"/>
  <c r="L1139" i="7"/>
  <c r="L1138" i="7"/>
  <c r="L1137" i="7"/>
  <c r="L1136" i="7"/>
  <c r="L1135" i="7"/>
  <c r="L1134" i="7"/>
  <c r="L1133" i="7"/>
  <c r="L1132" i="7"/>
  <c r="L1131" i="7"/>
  <c r="L1130" i="7"/>
  <c r="L1129" i="7"/>
  <c r="L1128" i="7"/>
  <c r="L1127" i="7"/>
  <c r="L1126" i="7"/>
  <c r="L1125" i="7"/>
  <c r="L1124" i="7"/>
  <c r="L1123" i="7"/>
  <c r="L1122" i="7"/>
  <c r="L1121" i="7"/>
  <c r="L1120" i="7"/>
  <c r="L1119" i="7"/>
  <c r="L1118" i="7"/>
  <c r="L1117" i="7"/>
  <c r="L1116" i="7"/>
  <c r="L1115" i="7"/>
  <c r="L1114" i="7"/>
  <c r="L1113" i="7"/>
  <c r="L1112" i="7"/>
  <c r="L1111" i="7"/>
  <c r="L1110" i="7"/>
  <c r="L1109" i="7"/>
  <c r="L1108" i="7"/>
  <c r="L1107" i="7"/>
  <c r="L1106" i="7"/>
  <c r="L1105" i="7"/>
  <c r="L1104" i="7"/>
  <c r="L1103" i="7"/>
  <c r="L1102" i="7"/>
  <c r="L1101" i="7"/>
  <c r="L1100" i="7"/>
  <c r="L1099" i="7"/>
  <c r="L1098" i="7"/>
  <c r="L1097" i="7"/>
  <c r="L1096" i="7"/>
  <c r="L1095" i="7"/>
  <c r="L1094" i="7"/>
  <c r="L1093" i="7"/>
  <c r="L1092" i="7"/>
  <c r="L1091" i="7"/>
  <c r="L1090" i="7"/>
  <c r="L1089" i="7"/>
  <c r="L1088" i="7"/>
  <c r="L1087" i="7"/>
  <c r="L1086" i="7"/>
  <c r="L1085" i="7"/>
  <c r="L1084" i="7"/>
  <c r="L1083" i="7"/>
  <c r="L1082" i="7"/>
  <c r="L1081" i="7"/>
  <c r="L1080" i="7"/>
  <c r="L1079" i="7"/>
  <c r="L1078" i="7"/>
  <c r="L1077" i="7"/>
  <c r="L1076" i="7"/>
  <c r="L1075" i="7"/>
  <c r="L1074" i="7"/>
  <c r="L1073" i="7"/>
  <c r="L1072" i="7"/>
  <c r="L1071" i="7"/>
  <c r="L1070" i="7"/>
  <c r="L1069" i="7"/>
  <c r="L1068" i="7"/>
  <c r="L1067" i="7"/>
  <c r="L1066" i="7"/>
  <c r="L1065" i="7"/>
  <c r="L1064" i="7"/>
  <c r="L1063" i="7"/>
  <c r="L1062" i="7"/>
  <c r="L1061" i="7"/>
  <c r="L1060" i="7"/>
  <c r="L1059" i="7"/>
  <c r="L1058" i="7"/>
  <c r="L1057" i="7"/>
  <c r="L1056" i="7"/>
  <c r="L1055" i="7"/>
  <c r="L1054" i="7"/>
  <c r="L1053" i="7"/>
  <c r="L1052" i="7"/>
  <c r="L1051" i="7"/>
  <c r="L1050" i="7"/>
  <c r="L1049" i="7"/>
  <c r="L1048" i="7"/>
  <c r="L1047" i="7"/>
  <c r="L1046" i="7"/>
  <c r="L1045" i="7"/>
  <c r="L1044" i="7"/>
  <c r="L1043" i="7"/>
  <c r="L1042" i="7"/>
  <c r="L1041" i="7"/>
  <c r="L1040" i="7"/>
  <c r="L1039" i="7"/>
  <c r="L1038" i="7"/>
  <c r="L1037" i="7"/>
  <c r="L1036" i="7"/>
  <c r="L1035" i="7"/>
  <c r="L1034" i="7"/>
  <c r="L1033" i="7"/>
  <c r="L1032" i="7"/>
  <c r="L1031" i="7"/>
  <c r="L1030" i="7"/>
  <c r="L1029" i="7"/>
  <c r="L1028" i="7"/>
  <c r="L1027" i="7"/>
  <c r="L1026" i="7"/>
  <c r="L1025" i="7"/>
  <c r="L1024" i="7"/>
  <c r="L1023" i="7"/>
  <c r="L1022" i="7"/>
  <c r="L1021" i="7"/>
  <c r="L1020" i="7"/>
  <c r="L1019" i="7"/>
  <c r="L1018" i="7"/>
  <c r="L1017" i="7"/>
  <c r="L1016" i="7"/>
  <c r="L1015" i="7"/>
  <c r="L1014" i="7"/>
  <c r="L1013" i="7"/>
  <c r="L1012" i="7"/>
  <c r="L1011" i="7"/>
  <c r="L1010" i="7"/>
  <c r="L1009" i="7"/>
  <c r="L1008" i="7"/>
  <c r="L1007" i="7"/>
  <c r="L1006" i="7"/>
  <c r="L1005" i="7"/>
  <c r="L1004" i="7"/>
  <c r="L1003" i="7"/>
  <c r="L1002" i="7"/>
  <c r="L1001" i="7"/>
  <c r="L1000" i="7"/>
  <c r="L999" i="7"/>
  <c r="L998" i="7"/>
  <c r="L997" i="7"/>
  <c r="L996" i="7"/>
  <c r="L995" i="7"/>
  <c r="L994" i="7"/>
  <c r="L993" i="7"/>
  <c r="L992" i="7"/>
  <c r="L991" i="7"/>
  <c r="L990" i="7"/>
  <c r="L989" i="7"/>
  <c r="L988" i="7"/>
  <c r="L987" i="7"/>
  <c r="L986" i="7"/>
  <c r="L985" i="7"/>
  <c r="L984" i="7"/>
  <c r="L983" i="7"/>
  <c r="L982" i="7"/>
  <c r="L981" i="7"/>
  <c r="L980" i="7"/>
  <c r="L979" i="7"/>
  <c r="L978" i="7"/>
  <c r="L977" i="7"/>
  <c r="L976" i="7"/>
  <c r="L975" i="7"/>
  <c r="L974" i="7"/>
  <c r="L973" i="7"/>
  <c r="L972" i="7"/>
  <c r="L971" i="7"/>
  <c r="L970" i="7"/>
  <c r="L969" i="7"/>
  <c r="L968" i="7"/>
  <c r="L967" i="7"/>
  <c r="L966" i="7"/>
  <c r="L965" i="7"/>
  <c r="L964" i="7"/>
  <c r="L963" i="7"/>
  <c r="L962" i="7"/>
  <c r="L961" i="7"/>
  <c r="L960" i="7"/>
  <c r="L959" i="7"/>
  <c r="L958" i="7"/>
  <c r="L957" i="7"/>
  <c r="L956" i="7"/>
  <c r="L955" i="7"/>
  <c r="L954" i="7"/>
  <c r="L953" i="7"/>
  <c r="L952" i="7"/>
  <c r="L951" i="7"/>
  <c r="L950" i="7"/>
  <c r="L949" i="7"/>
  <c r="L948" i="7"/>
  <c r="L947" i="7"/>
  <c r="L946" i="7"/>
  <c r="L945" i="7"/>
  <c r="L944" i="7"/>
  <c r="L943" i="7"/>
  <c r="L942" i="7"/>
  <c r="L941" i="7"/>
  <c r="L940" i="7"/>
  <c r="L939" i="7"/>
  <c r="L938" i="7"/>
  <c r="L937" i="7"/>
  <c r="L936" i="7"/>
  <c r="L935" i="7"/>
  <c r="L934" i="7"/>
  <c r="L933" i="7"/>
  <c r="L932" i="7"/>
  <c r="L931" i="7"/>
  <c r="L930" i="7"/>
  <c r="L929" i="7"/>
  <c r="L928" i="7"/>
  <c r="L927" i="7"/>
  <c r="L926" i="7"/>
  <c r="L925" i="7"/>
  <c r="L924" i="7"/>
  <c r="L923" i="7"/>
  <c r="L922" i="7"/>
  <c r="L921" i="7"/>
  <c r="L920" i="7"/>
  <c r="L919" i="7"/>
  <c r="L918" i="7"/>
  <c r="L917" i="7"/>
  <c r="L916" i="7"/>
  <c r="L915" i="7"/>
  <c r="L914" i="7"/>
  <c r="L913" i="7"/>
  <c r="L912" i="7"/>
  <c r="L911" i="7"/>
  <c r="L910" i="7"/>
  <c r="L909" i="7"/>
  <c r="L908" i="7"/>
  <c r="L907" i="7"/>
  <c r="L906" i="7"/>
  <c r="L905" i="7"/>
  <c r="L904" i="7"/>
  <c r="L903" i="7"/>
  <c r="L902" i="7"/>
  <c r="L901" i="7"/>
  <c r="L900" i="7"/>
  <c r="L899" i="7"/>
  <c r="L898" i="7"/>
  <c r="L897" i="7"/>
  <c r="L896" i="7"/>
  <c r="L895" i="7"/>
  <c r="L894" i="7"/>
  <c r="L893" i="7"/>
  <c r="L892" i="7"/>
  <c r="L891" i="7"/>
  <c r="L890" i="7"/>
  <c r="L889" i="7"/>
  <c r="L888" i="7"/>
  <c r="L887" i="7"/>
  <c r="L886" i="7"/>
  <c r="L885" i="7"/>
  <c r="L884" i="7"/>
  <c r="L883" i="7"/>
  <c r="L882" i="7"/>
  <c r="L881" i="7"/>
  <c r="L880" i="7"/>
  <c r="L879" i="7"/>
  <c r="L878" i="7"/>
  <c r="L877" i="7"/>
  <c r="L876" i="7"/>
  <c r="L875" i="7"/>
  <c r="L874" i="7"/>
  <c r="L873" i="7"/>
  <c r="L872" i="7"/>
  <c r="L871" i="7"/>
  <c r="L870" i="7"/>
  <c r="L869" i="7"/>
  <c r="L868" i="7"/>
  <c r="L867" i="7"/>
  <c r="L866" i="7"/>
  <c r="L865" i="7"/>
  <c r="L864" i="7"/>
  <c r="L863" i="7"/>
  <c r="L862" i="7"/>
  <c r="L861" i="7"/>
  <c r="L860" i="7"/>
  <c r="L859" i="7"/>
  <c r="L858" i="7"/>
  <c r="L857" i="7"/>
  <c r="L856" i="7"/>
  <c r="L855" i="7"/>
  <c r="L854" i="7"/>
  <c r="L853" i="7"/>
  <c r="L852" i="7"/>
  <c r="L851" i="7"/>
  <c r="L850" i="7"/>
  <c r="L849" i="7"/>
  <c r="L848" i="7"/>
  <c r="L847" i="7"/>
  <c r="L846" i="7"/>
  <c r="L845" i="7"/>
  <c r="L844" i="7"/>
  <c r="L843" i="7"/>
  <c r="L842" i="7"/>
  <c r="L841" i="7"/>
  <c r="L840" i="7"/>
  <c r="L839" i="7"/>
  <c r="L838" i="7"/>
  <c r="L837" i="7"/>
  <c r="L836" i="7"/>
  <c r="L835" i="7"/>
  <c r="L834" i="7"/>
  <c r="L833" i="7"/>
  <c r="L832" i="7"/>
  <c r="L831" i="7"/>
  <c r="L830" i="7"/>
  <c r="L829" i="7"/>
  <c r="L828" i="7"/>
  <c r="L827" i="7"/>
  <c r="L826" i="7"/>
  <c r="L825" i="7"/>
  <c r="L824" i="7"/>
  <c r="L823" i="7"/>
  <c r="L822" i="7"/>
  <c r="L821" i="7"/>
  <c r="L820" i="7"/>
  <c r="L819" i="7"/>
  <c r="L818" i="7"/>
  <c r="L817" i="7"/>
  <c r="L816" i="7"/>
  <c r="L815" i="7"/>
  <c r="L814" i="7"/>
  <c r="L813" i="7"/>
  <c r="L812" i="7"/>
  <c r="L811" i="7"/>
  <c r="L810" i="7"/>
  <c r="L809" i="7"/>
  <c r="L808" i="7"/>
  <c r="L807" i="7"/>
  <c r="L806" i="7"/>
  <c r="L805" i="7"/>
  <c r="L804" i="7"/>
  <c r="L803" i="7"/>
  <c r="L802" i="7"/>
  <c r="L801" i="7"/>
  <c r="L800" i="7"/>
  <c r="L799" i="7"/>
  <c r="L798" i="7"/>
  <c r="L797" i="7"/>
  <c r="L796" i="7"/>
  <c r="L795" i="7"/>
  <c r="L794" i="7"/>
  <c r="L793" i="7"/>
  <c r="L792" i="7"/>
  <c r="L791" i="7"/>
  <c r="L790" i="7"/>
  <c r="L789" i="7"/>
  <c r="L788" i="7"/>
  <c r="L787" i="7"/>
  <c r="L786" i="7"/>
  <c r="L785" i="7"/>
  <c r="L784" i="7"/>
  <c r="L783" i="7"/>
  <c r="L782" i="7"/>
  <c r="L781" i="7"/>
  <c r="L780" i="7"/>
  <c r="L779" i="7"/>
  <c r="L778" i="7"/>
  <c r="L777" i="7"/>
  <c r="L776" i="7"/>
  <c r="L775" i="7"/>
  <c r="L774" i="7"/>
  <c r="L773" i="7"/>
  <c r="L772" i="7"/>
  <c r="L771" i="7"/>
  <c r="L770" i="7"/>
  <c r="L769" i="7"/>
  <c r="L768" i="7"/>
  <c r="L767" i="7"/>
  <c r="L766" i="7"/>
  <c r="L765" i="7"/>
  <c r="L764" i="7"/>
  <c r="L763" i="7"/>
  <c r="L762" i="7"/>
  <c r="L761" i="7"/>
  <c r="L760" i="7"/>
  <c r="L759" i="7"/>
  <c r="L758" i="7"/>
  <c r="L757" i="7"/>
  <c r="L756" i="7"/>
  <c r="L755" i="7"/>
  <c r="L754" i="7"/>
  <c r="L753" i="7"/>
  <c r="L752" i="7"/>
  <c r="L751" i="7"/>
  <c r="L750" i="7"/>
  <c r="L749" i="7"/>
  <c r="L748" i="7"/>
  <c r="L747" i="7"/>
  <c r="L746" i="7"/>
  <c r="L745" i="7"/>
  <c r="L744" i="7"/>
  <c r="L743" i="7"/>
  <c r="L742" i="7"/>
  <c r="L741" i="7"/>
  <c r="L740" i="7"/>
  <c r="L739" i="7"/>
  <c r="L738" i="7"/>
  <c r="L737" i="7"/>
  <c r="L736" i="7"/>
  <c r="L735" i="7"/>
  <c r="L734" i="7"/>
  <c r="L733" i="7"/>
  <c r="L732" i="7"/>
  <c r="L731" i="7"/>
  <c r="L730" i="7"/>
  <c r="L729" i="7"/>
  <c r="L728" i="7"/>
  <c r="L727" i="7"/>
  <c r="L726" i="7"/>
  <c r="L725" i="7"/>
  <c r="L724" i="7"/>
  <c r="L723" i="7"/>
  <c r="L722" i="7"/>
  <c r="L721" i="7"/>
  <c r="L720" i="7"/>
  <c r="L719" i="7"/>
  <c r="L718" i="7"/>
  <c r="L717" i="7"/>
  <c r="L716" i="7"/>
  <c r="L715" i="7"/>
  <c r="L714" i="7"/>
  <c r="L713" i="7"/>
  <c r="L712" i="7"/>
  <c r="L711" i="7"/>
  <c r="L710" i="7"/>
  <c r="L709" i="7"/>
  <c r="L708" i="7"/>
  <c r="L707" i="7"/>
  <c r="L706" i="7"/>
  <c r="L705" i="7"/>
  <c r="L704" i="7"/>
  <c r="L703" i="7"/>
  <c r="L702" i="7"/>
  <c r="L701" i="7"/>
  <c r="L700" i="7"/>
  <c r="L699" i="7"/>
  <c r="L698" i="7"/>
  <c r="L697" i="7"/>
  <c r="L696" i="7"/>
  <c r="L695" i="7"/>
  <c r="L694" i="7"/>
  <c r="L693" i="7"/>
  <c r="L692" i="7"/>
  <c r="L691" i="7"/>
  <c r="L690" i="7"/>
  <c r="L689" i="7"/>
  <c r="L688" i="7"/>
  <c r="L687" i="7"/>
  <c r="L686" i="7"/>
  <c r="L685" i="7"/>
  <c r="L684" i="7"/>
  <c r="L683" i="7"/>
  <c r="L682" i="7"/>
  <c r="L681" i="7"/>
  <c r="L680" i="7"/>
  <c r="L679" i="7"/>
  <c r="L678" i="7"/>
  <c r="L677" i="7"/>
  <c r="L676" i="7"/>
  <c r="L675" i="7"/>
  <c r="L674" i="7"/>
  <c r="L673" i="7"/>
  <c r="L672" i="7"/>
  <c r="L671" i="7"/>
  <c r="L670" i="7"/>
  <c r="L669" i="7"/>
  <c r="L668" i="7"/>
  <c r="L667" i="7"/>
  <c r="L666" i="7"/>
  <c r="L665" i="7"/>
  <c r="L664" i="7"/>
  <c r="L663" i="7"/>
  <c r="L662" i="7"/>
  <c r="L661" i="7"/>
  <c r="L660" i="7"/>
  <c r="L659" i="7"/>
  <c r="L658" i="7"/>
  <c r="L657" i="7"/>
  <c r="L656" i="7"/>
  <c r="L655" i="7"/>
  <c r="L654" i="7"/>
  <c r="L653" i="7"/>
  <c r="L652" i="7"/>
  <c r="L651" i="7"/>
  <c r="L650" i="7"/>
  <c r="L649" i="7"/>
  <c r="L648" i="7"/>
  <c r="L647" i="7"/>
  <c r="L646" i="7"/>
  <c r="L645" i="7"/>
  <c r="L644" i="7"/>
  <c r="L643" i="7"/>
  <c r="L642" i="7"/>
  <c r="L641" i="7"/>
  <c r="L640" i="7"/>
  <c r="L639" i="7"/>
  <c r="L638" i="7"/>
  <c r="L637" i="7"/>
  <c r="L636" i="7"/>
  <c r="L635" i="7"/>
  <c r="L634" i="7"/>
  <c r="L633" i="7"/>
  <c r="L632" i="7"/>
  <c r="L631" i="7"/>
  <c r="L630" i="7"/>
  <c r="L629" i="7"/>
  <c r="L628" i="7"/>
  <c r="L627" i="7"/>
  <c r="L626" i="7"/>
  <c r="L625" i="7"/>
  <c r="L624" i="7"/>
  <c r="L623" i="7"/>
  <c r="L622" i="7"/>
  <c r="L621" i="7"/>
  <c r="L620" i="7"/>
  <c r="L619" i="7"/>
  <c r="L618" i="7"/>
  <c r="L617" i="7"/>
  <c r="L616" i="7"/>
  <c r="L615" i="7"/>
  <c r="L614" i="7"/>
  <c r="L613" i="7"/>
  <c r="L612" i="7"/>
  <c r="L611" i="7"/>
  <c r="L610" i="7"/>
  <c r="L609" i="7"/>
  <c r="L608" i="7"/>
  <c r="L607" i="7"/>
  <c r="L606" i="7"/>
  <c r="L605" i="7"/>
  <c r="L604" i="7"/>
  <c r="L603" i="7"/>
  <c r="L602" i="7"/>
  <c r="L601" i="7"/>
  <c r="L600" i="7"/>
  <c r="L599" i="7"/>
  <c r="L598" i="7"/>
  <c r="L597" i="7"/>
  <c r="L596" i="7"/>
  <c r="L595" i="7"/>
  <c r="L594" i="7"/>
  <c r="L593" i="7"/>
  <c r="L592" i="7"/>
  <c r="L591" i="7"/>
  <c r="L590" i="7"/>
  <c r="L589" i="7"/>
  <c r="L588" i="7"/>
  <c r="L587" i="7"/>
  <c r="L586" i="7"/>
  <c r="L585" i="7"/>
  <c r="L584" i="7"/>
  <c r="L583" i="7"/>
  <c r="L582" i="7"/>
  <c r="L581" i="7"/>
  <c r="L580" i="7"/>
  <c r="L579" i="7"/>
  <c r="L578" i="7"/>
  <c r="L577" i="7"/>
  <c r="L576" i="7"/>
  <c r="L575" i="7"/>
  <c r="L574" i="7"/>
  <c r="L573" i="7"/>
  <c r="L572" i="7"/>
  <c r="L571" i="7"/>
  <c r="L570" i="7"/>
  <c r="L569" i="7"/>
  <c r="L568" i="7"/>
  <c r="L567" i="7"/>
  <c r="L566" i="7"/>
  <c r="L565" i="7"/>
  <c r="L564" i="7"/>
  <c r="L563" i="7"/>
  <c r="L562" i="7"/>
  <c r="L561" i="7"/>
  <c r="L560" i="7"/>
  <c r="L559" i="7"/>
  <c r="L558" i="7"/>
  <c r="L557" i="7"/>
  <c r="L556" i="7"/>
  <c r="L555" i="7"/>
  <c r="L554" i="7"/>
  <c r="L553" i="7"/>
  <c r="L552" i="7"/>
  <c r="L551" i="7"/>
  <c r="L550" i="7"/>
  <c r="L549" i="7"/>
  <c r="L548" i="7"/>
  <c r="L547" i="7"/>
  <c r="L546" i="7"/>
  <c r="L545" i="7"/>
  <c r="L544" i="7"/>
  <c r="L543" i="7"/>
  <c r="L542" i="7"/>
  <c r="L541" i="7"/>
  <c r="L540" i="7"/>
  <c r="L539" i="7"/>
  <c r="L538" i="7"/>
  <c r="L537" i="7"/>
  <c r="L536" i="7"/>
  <c r="L535" i="7"/>
  <c r="L534" i="7"/>
  <c r="L533" i="7"/>
  <c r="L532" i="7"/>
  <c r="L531" i="7"/>
  <c r="L530" i="7"/>
  <c r="L529" i="7"/>
  <c r="L528" i="7"/>
  <c r="L527" i="7"/>
  <c r="L526" i="7"/>
  <c r="L525" i="7"/>
  <c r="L524" i="7"/>
  <c r="L523" i="7"/>
  <c r="L522" i="7"/>
  <c r="L521" i="7"/>
  <c r="L520" i="7"/>
  <c r="L519" i="7"/>
  <c r="L518" i="7"/>
  <c r="L517" i="7"/>
  <c r="L516" i="7"/>
  <c r="L515" i="7"/>
  <c r="L514" i="7"/>
  <c r="L513" i="7"/>
  <c r="L512" i="7"/>
  <c r="L511" i="7"/>
  <c r="L510" i="7"/>
  <c r="L509" i="7"/>
  <c r="L508" i="7"/>
  <c r="L507" i="7"/>
  <c r="L506" i="7"/>
  <c r="L505" i="7"/>
  <c r="L504" i="7"/>
  <c r="L503" i="7"/>
  <c r="L502" i="7"/>
  <c r="L501" i="7"/>
  <c r="L500" i="7"/>
  <c r="L499" i="7"/>
  <c r="L498" i="7"/>
  <c r="L497" i="7"/>
  <c r="L496" i="7"/>
  <c r="L495" i="7"/>
  <c r="L494" i="7"/>
  <c r="L493" i="7"/>
  <c r="L492" i="7"/>
  <c r="L491" i="7"/>
  <c r="L490" i="7"/>
  <c r="L489" i="7"/>
  <c r="L488" i="7"/>
  <c r="L487" i="7"/>
  <c r="L486" i="7"/>
  <c r="L485" i="7"/>
  <c r="L484" i="7"/>
  <c r="L483" i="7"/>
  <c r="L482" i="7"/>
  <c r="L481" i="7"/>
  <c r="L480" i="7"/>
  <c r="L479" i="7"/>
  <c r="L478" i="7"/>
  <c r="L477" i="7"/>
  <c r="L476" i="7"/>
  <c r="L475" i="7"/>
  <c r="L474" i="7"/>
  <c r="L473" i="7"/>
  <c r="L472" i="7"/>
  <c r="L471" i="7"/>
  <c r="L470" i="7"/>
  <c r="L469" i="7"/>
  <c r="L468" i="7"/>
  <c r="L467" i="7"/>
  <c r="L466" i="7"/>
  <c r="L465" i="7"/>
  <c r="L464" i="7"/>
  <c r="L463" i="7"/>
  <c r="L462" i="7"/>
  <c r="L461" i="7"/>
  <c r="L460" i="7"/>
  <c r="L459" i="7"/>
  <c r="L458" i="7"/>
  <c r="L457" i="7"/>
  <c r="L456" i="7"/>
  <c r="L455" i="7"/>
  <c r="L454" i="7"/>
  <c r="L453" i="7"/>
  <c r="L452" i="7"/>
  <c r="L451" i="7"/>
  <c r="L450" i="7"/>
  <c r="L449" i="7"/>
  <c r="L448" i="7"/>
  <c r="L447" i="7"/>
  <c r="L446" i="7"/>
  <c r="L445" i="7"/>
  <c r="L444" i="7"/>
  <c r="L443" i="7"/>
  <c r="L442" i="7"/>
  <c r="L441" i="7"/>
  <c r="L440" i="7"/>
  <c r="L439" i="7"/>
  <c r="L438" i="7"/>
  <c r="L437" i="7"/>
  <c r="L436" i="7"/>
  <c r="L435" i="7"/>
  <c r="L434" i="7"/>
  <c r="L433" i="7"/>
  <c r="L432" i="7"/>
  <c r="L431" i="7"/>
  <c r="L430" i="7"/>
  <c r="L429" i="7"/>
  <c r="L428" i="7"/>
  <c r="L427" i="7"/>
  <c r="L426" i="7"/>
  <c r="L425" i="7"/>
  <c r="L424" i="7"/>
  <c r="L423" i="7"/>
  <c r="L422" i="7"/>
  <c r="L421" i="7"/>
  <c r="L420" i="7"/>
  <c r="L419" i="7"/>
  <c r="L418" i="7"/>
  <c r="L417" i="7"/>
  <c r="L416" i="7"/>
  <c r="L415" i="7"/>
  <c r="L414" i="7"/>
  <c r="L413" i="7"/>
  <c r="L412" i="7"/>
  <c r="L411" i="7"/>
  <c r="L410" i="7"/>
  <c r="L409" i="7"/>
  <c r="L408" i="7"/>
  <c r="L407" i="7"/>
  <c r="L406" i="7"/>
  <c r="L405" i="7"/>
  <c r="L404" i="7"/>
  <c r="L403" i="7"/>
  <c r="L402" i="7"/>
  <c r="L401" i="7"/>
  <c r="L400" i="7"/>
  <c r="L399" i="7"/>
  <c r="L398" i="7"/>
  <c r="L397" i="7"/>
  <c r="L396" i="7"/>
  <c r="L395" i="7"/>
  <c r="L394" i="7"/>
  <c r="L393" i="7"/>
  <c r="L392" i="7"/>
  <c r="L391" i="7"/>
  <c r="L390" i="7"/>
  <c r="L389" i="7"/>
  <c r="L388" i="7"/>
  <c r="L387" i="7"/>
  <c r="L386" i="7"/>
  <c r="L385" i="7"/>
  <c r="L384" i="7"/>
  <c r="L383" i="7"/>
  <c r="L382" i="7"/>
  <c r="L381" i="7"/>
  <c r="L380" i="7"/>
  <c r="L379" i="7"/>
  <c r="L378" i="7"/>
  <c r="L377" i="7"/>
  <c r="L376" i="7"/>
  <c r="L375" i="7"/>
  <c r="L374" i="7"/>
  <c r="L373" i="7"/>
  <c r="L372" i="7"/>
  <c r="L371" i="7"/>
  <c r="L370" i="7"/>
  <c r="L369" i="7"/>
  <c r="L368" i="7"/>
  <c r="L367" i="7"/>
  <c r="L366" i="7"/>
  <c r="L365" i="7"/>
  <c r="L364" i="7"/>
  <c r="L363" i="7"/>
  <c r="L362" i="7"/>
  <c r="L361" i="7"/>
  <c r="L360" i="7"/>
  <c r="L359" i="7"/>
  <c r="L358" i="7"/>
  <c r="L357" i="7"/>
  <c r="L356" i="7"/>
  <c r="L355" i="7"/>
  <c r="L354" i="7"/>
  <c r="L353" i="7"/>
  <c r="L352" i="7"/>
  <c r="L351" i="7"/>
  <c r="L350" i="7"/>
  <c r="L349" i="7"/>
  <c r="L348" i="7"/>
  <c r="L347" i="7"/>
  <c r="L346" i="7"/>
  <c r="L345" i="7"/>
  <c r="L344" i="7"/>
  <c r="L343" i="7"/>
  <c r="L342" i="7"/>
  <c r="L341" i="7"/>
  <c r="L340" i="7"/>
  <c r="L339" i="7"/>
  <c r="L338" i="7"/>
  <c r="L337" i="7"/>
  <c r="L336" i="7"/>
  <c r="L335" i="7"/>
  <c r="L334" i="7"/>
  <c r="L333" i="7"/>
  <c r="L332" i="7"/>
  <c r="L331" i="7"/>
  <c r="L330" i="7"/>
  <c r="L329" i="7"/>
  <c r="L328" i="7"/>
  <c r="L327" i="7"/>
  <c r="L326" i="7"/>
  <c r="L325" i="7"/>
  <c r="L324" i="7"/>
  <c r="L323" i="7"/>
  <c r="L322" i="7"/>
  <c r="L321" i="7"/>
  <c r="L320" i="7"/>
  <c r="L319" i="7"/>
  <c r="L318" i="7"/>
  <c r="L317" i="7"/>
  <c r="L316" i="7"/>
  <c r="L315" i="7"/>
  <c r="L314" i="7"/>
  <c r="L313" i="7"/>
  <c r="L312" i="7"/>
  <c r="L311" i="7"/>
  <c r="L310" i="7"/>
  <c r="L309" i="7"/>
  <c r="L308" i="7"/>
  <c r="L307" i="7"/>
  <c r="L306" i="7"/>
  <c r="L305" i="7"/>
  <c r="L304" i="7"/>
  <c r="L303" i="7"/>
  <c r="L302" i="7"/>
  <c r="L301" i="7"/>
  <c r="L300" i="7"/>
  <c r="L299" i="7"/>
  <c r="L298" i="7"/>
  <c r="L297" i="7"/>
  <c r="L296" i="7"/>
  <c r="L295" i="7"/>
  <c r="L294" i="7"/>
  <c r="L293" i="7"/>
  <c r="L292" i="7"/>
  <c r="L291" i="7"/>
  <c r="L290" i="7"/>
  <c r="L289" i="7"/>
  <c r="L288" i="7"/>
  <c r="L287" i="7"/>
  <c r="L286" i="7"/>
  <c r="L285" i="7"/>
  <c r="L284" i="7"/>
  <c r="L283" i="7"/>
  <c r="L282" i="7"/>
  <c r="L281" i="7"/>
  <c r="L280" i="7"/>
  <c r="L279" i="7"/>
  <c r="L278" i="7"/>
  <c r="L277" i="7"/>
  <c r="L276" i="7"/>
  <c r="L275" i="7"/>
  <c r="L274" i="7"/>
  <c r="L273" i="7"/>
  <c r="L272" i="7"/>
  <c r="L271" i="7"/>
  <c r="L270" i="7"/>
  <c r="L269" i="7"/>
  <c r="L268" i="7"/>
  <c r="L267" i="7"/>
  <c r="L266" i="7"/>
  <c r="L265" i="7"/>
  <c r="L264" i="7"/>
  <c r="L263" i="7"/>
  <c r="L262" i="7"/>
  <c r="L261" i="7"/>
  <c r="L260" i="7"/>
  <c r="L259" i="7"/>
  <c r="L258" i="7"/>
  <c r="L257" i="7"/>
  <c r="L256" i="7"/>
  <c r="L255" i="7"/>
  <c r="L254" i="7"/>
  <c r="L253" i="7"/>
  <c r="L252" i="7"/>
  <c r="L251" i="7"/>
  <c r="L250" i="7"/>
  <c r="L249" i="7"/>
  <c r="L248" i="7"/>
  <c r="L247" i="7"/>
  <c r="L246" i="7"/>
  <c r="L245" i="7"/>
  <c r="L244" i="7"/>
  <c r="L243" i="7"/>
  <c r="L242" i="7"/>
  <c r="L241" i="7"/>
  <c r="L240" i="7"/>
  <c r="L239" i="7"/>
  <c r="L238" i="7"/>
  <c r="L237" i="7"/>
  <c r="L236" i="7"/>
  <c r="L235" i="7"/>
  <c r="L234" i="7"/>
  <c r="L233" i="7"/>
  <c r="L232" i="7"/>
  <c r="L231" i="7"/>
  <c r="L230" i="7"/>
  <c r="L229" i="7"/>
  <c r="L228" i="7"/>
  <c r="L227" i="7"/>
  <c r="L226" i="7"/>
  <c r="L225" i="7"/>
  <c r="L224" i="7"/>
  <c r="L223" i="7"/>
  <c r="L222" i="7"/>
  <c r="L221" i="7"/>
  <c r="L220" i="7"/>
  <c r="L219" i="7"/>
  <c r="L218" i="7"/>
  <c r="L217" i="7"/>
  <c r="L216" i="7"/>
  <c r="L215" i="7"/>
  <c r="L214" i="7"/>
  <c r="L213" i="7"/>
  <c r="L212" i="7"/>
  <c r="L211" i="7"/>
  <c r="L210" i="7"/>
  <c r="L209" i="7"/>
  <c r="L208" i="7"/>
  <c r="L207" i="7"/>
  <c r="L206" i="7"/>
  <c r="L205" i="7"/>
  <c r="L204" i="7"/>
  <c r="L203" i="7"/>
  <c r="L202" i="7"/>
  <c r="L201" i="7"/>
  <c r="L200" i="7"/>
  <c r="L199" i="7"/>
  <c r="L198" i="7"/>
  <c r="L197" i="7"/>
  <c r="L196" i="7"/>
  <c r="L195" i="7"/>
  <c r="L194" i="7"/>
  <c r="L193" i="7"/>
  <c r="L192" i="7"/>
  <c r="L191" i="7"/>
  <c r="L190" i="7"/>
  <c r="L189" i="7"/>
  <c r="L188" i="7"/>
  <c r="L187" i="7"/>
  <c r="L186" i="7"/>
  <c r="L185" i="7"/>
  <c r="L184" i="7"/>
  <c r="L183" i="7"/>
  <c r="L182" i="7"/>
  <c r="L181" i="7"/>
  <c r="L180" i="7"/>
  <c r="L179" i="7"/>
  <c r="L178" i="7"/>
  <c r="L177" i="7"/>
  <c r="L176" i="7"/>
  <c r="L175" i="7"/>
  <c r="L174" i="7"/>
  <c r="L173" i="7"/>
  <c r="L172" i="7"/>
  <c r="L171" i="7"/>
  <c r="L170" i="7"/>
  <c r="L169" i="7"/>
  <c r="L168" i="7"/>
  <c r="L167" i="7"/>
  <c r="L166" i="7"/>
  <c r="L165" i="7"/>
  <c r="L164" i="7"/>
  <c r="L163" i="7"/>
  <c r="L162" i="7"/>
  <c r="L161" i="7"/>
  <c r="L160" i="7"/>
  <c r="L159" i="7"/>
  <c r="L158" i="7"/>
  <c r="L157" i="7"/>
  <c r="L156" i="7"/>
  <c r="L155" i="7"/>
  <c r="L154" i="7"/>
  <c r="L153" i="7"/>
  <c r="L152" i="7"/>
  <c r="L151" i="7"/>
  <c r="L150" i="7"/>
  <c r="L149" i="7"/>
  <c r="L148" i="7"/>
  <c r="L147" i="7"/>
  <c r="L146" i="7"/>
  <c r="L145" i="7"/>
  <c r="L144" i="7"/>
  <c r="L143" i="7"/>
  <c r="L142" i="7"/>
  <c r="L141" i="7"/>
  <c r="L140" i="7"/>
  <c r="L139" i="7"/>
  <c r="L138" i="7"/>
  <c r="L137" i="7"/>
  <c r="L136" i="7"/>
  <c r="L135" i="7"/>
  <c r="L134" i="7"/>
  <c r="L133" i="7"/>
  <c r="L132" i="7"/>
  <c r="L131" i="7"/>
  <c r="L130" i="7"/>
  <c r="L129" i="7"/>
  <c r="L128" i="7"/>
  <c r="L127" i="7"/>
  <c r="L126" i="7"/>
  <c r="L125" i="7"/>
  <c r="L124" i="7"/>
  <c r="L123" i="7"/>
  <c r="L122" i="7"/>
  <c r="L121" i="7"/>
  <c r="L120" i="7"/>
  <c r="L119" i="7"/>
  <c r="L118" i="7"/>
  <c r="L117" i="7"/>
  <c r="L116" i="7"/>
  <c r="L115" i="7"/>
  <c r="L114" i="7"/>
  <c r="L113" i="7"/>
  <c r="L112" i="7"/>
  <c r="L111" i="7"/>
  <c r="L110" i="7"/>
  <c r="L109" i="7"/>
  <c r="L108" i="7"/>
  <c r="L107" i="7"/>
  <c r="L106" i="7"/>
  <c r="L105" i="7"/>
  <c r="L104" i="7"/>
  <c r="L103" i="7"/>
  <c r="L102" i="7"/>
  <c r="L101" i="7"/>
  <c r="L100" i="7"/>
  <c r="L99" i="7"/>
  <c r="L98" i="7"/>
  <c r="L97" i="7"/>
  <c r="L96" i="7"/>
  <c r="L95" i="7"/>
  <c r="L94" i="7"/>
  <c r="L93" i="7"/>
  <c r="L92" i="7"/>
  <c r="L91" i="7"/>
  <c r="L90" i="7"/>
  <c r="L89" i="7"/>
  <c r="L88" i="7"/>
  <c r="L87" i="7"/>
  <c r="L86" i="7"/>
  <c r="L85" i="7"/>
  <c r="L84" i="7"/>
  <c r="L83" i="7"/>
  <c r="L82" i="7"/>
  <c r="L81" i="7"/>
  <c r="L80" i="7"/>
  <c r="L79" i="7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62" i="7"/>
  <c r="L61" i="7"/>
  <c r="L60" i="7"/>
  <c r="L59" i="7"/>
  <c r="L58" i="7"/>
  <c r="L57" i="7"/>
  <c r="L56" i="7"/>
  <c r="L55" i="7"/>
  <c r="L54" i="7"/>
  <c r="L53" i="7"/>
  <c r="L52" i="7"/>
  <c r="L51" i="7"/>
  <c r="L50" i="7"/>
  <c r="L49" i="7"/>
  <c r="L48" i="7"/>
  <c r="L47" i="7"/>
  <c r="L46" i="7"/>
  <c r="L45" i="7"/>
  <c r="L44" i="7"/>
  <c r="L43" i="7"/>
  <c r="L42" i="7"/>
  <c r="L41" i="7"/>
  <c r="L40" i="7"/>
  <c r="L39" i="7"/>
  <c r="L38" i="7"/>
  <c r="L37" i="7"/>
  <c r="L36" i="7"/>
  <c r="L35" i="7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B12" i="2"/>
  <c r="Z37" i="3"/>
  <c r="Y37" i="3"/>
  <c r="X37" i="3"/>
  <c r="W37" i="3"/>
  <c r="V37" i="3"/>
  <c r="Z36" i="3"/>
  <c r="Y36" i="3"/>
  <c r="X36" i="3"/>
  <c r="W36" i="3"/>
  <c r="V36" i="3"/>
  <c r="Z35" i="3"/>
  <c r="Y35" i="3"/>
  <c r="X35" i="3"/>
  <c r="W35" i="3"/>
  <c r="V35" i="3"/>
  <c r="Z34" i="3"/>
  <c r="Y34" i="3"/>
  <c r="X34" i="3"/>
  <c r="W34" i="3"/>
  <c r="V34" i="3"/>
  <c r="Z33" i="3"/>
  <c r="Y33" i="3"/>
  <c r="X33" i="3"/>
  <c r="W33" i="3"/>
  <c r="V33" i="3"/>
  <c r="Z32" i="3"/>
  <c r="Y32" i="3"/>
  <c r="X32" i="3"/>
  <c r="W32" i="3"/>
  <c r="V32" i="3"/>
  <c r="Z31" i="3"/>
  <c r="Y31" i="3"/>
  <c r="X31" i="3"/>
  <c r="W31" i="3"/>
  <c r="V31" i="3"/>
  <c r="Z30" i="3"/>
  <c r="Y30" i="3"/>
  <c r="X30" i="3"/>
  <c r="W30" i="3"/>
  <c r="V30" i="3"/>
  <c r="Z29" i="3"/>
  <c r="Y29" i="3"/>
  <c r="X29" i="3"/>
  <c r="W29" i="3"/>
  <c r="V29" i="3"/>
  <c r="Z28" i="3"/>
  <c r="Y28" i="3"/>
  <c r="X28" i="3"/>
  <c r="W28" i="3"/>
  <c r="V28" i="3"/>
  <c r="Z27" i="3"/>
  <c r="Y27" i="3"/>
  <c r="X27" i="3"/>
  <c r="W27" i="3"/>
  <c r="V27" i="3"/>
  <c r="Z26" i="3"/>
  <c r="Y26" i="3"/>
  <c r="X26" i="3"/>
  <c r="W26" i="3"/>
  <c r="V26" i="3"/>
  <c r="Z25" i="3"/>
  <c r="Y25" i="3"/>
  <c r="X25" i="3"/>
  <c r="W25" i="3"/>
  <c r="V25" i="3"/>
  <c r="Z24" i="3"/>
  <c r="Y24" i="3"/>
  <c r="X24" i="3"/>
  <c r="W24" i="3"/>
  <c r="V24" i="3"/>
  <c r="Z23" i="3"/>
  <c r="Y23" i="3"/>
  <c r="X23" i="3"/>
  <c r="W23" i="3"/>
  <c r="V23" i="3"/>
  <c r="Z22" i="3"/>
  <c r="Y22" i="3"/>
  <c r="X22" i="3"/>
  <c r="W22" i="3"/>
  <c r="V22" i="3"/>
  <c r="Z21" i="3"/>
  <c r="Y21" i="3"/>
  <c r="X21" i="3"/>
  <c r="W21" i="3"/>
  <c r="V21" i="3"/>
  <c r="Z20" i="3"/>
  <c r="Y20" i="3"/>
  <c r="X20" i="3"/>
  <c r="W20" i="3"/>
  <c r="V20" i="3"/>
  <c r="Z19" i="3"/>
  <c r="Y19" i="3"/>
  <c r="X19" i="3"/>
  <c r="W19" i="3"/>
  <c r="V19" i="3"/>
  <c r="Z18" i="3"/>
  <c r="Y18" i="3"/>
  <c r="X18" i="3"/>
  <c r="W18" i="3"/>
  <c r="V18" i="3"/>
  <c r="Z17" i="3"/>
  <c r="Y17" i="3"/>
  <c r="X17" i="3"/>
  <c r="W17" i="3"/>
  <c r="V17" i="3"/>
  <c r="Z16" i="3"/>
  <c r="Y16" i="3"/>
  <c r="X16" i="3"/>
  <c r="W16" i="3"/>
  <c r="V16" i="3"/>
  <c r="Z15" i="3"/>
  <c r="Y15" i="3"/>
  <c r="X15" i="3"/>
  <c r="W15" i="3"/>
  <c r="V15" i="3"/>
  <c r="Z14" i="3"/>
  <c r="Y14" i="3"/>
  <c r="X14" i="3"/>
  <c r="W14" i="3"/>
  <c r="V14" i="3"/>
  <c r="Z13" i="3"/>
  <c r="Y13" i="3"/>
  <c r="X13" i="3"/>
  <c r="W13" i="3"/>
  <c r="V13" i="3"/>
  <c r="Z12" i="3"/>
  <c r="Y12" i="3"/>
  <c r="X12" i="3"/>
  <c r="W12" i="3"/>
  <c r="V12" i="3"/>
  <c r="Z11" i="3"/>
  <c r="Y11" i="3"/>
  <c r="X11" i="3"/>
  <c r="W11" i="3"/>
  <c r="V11" i="3"/>
  <c r="Z10" i="3"/>
  <c r="Y10" i="3"/>
  <c r="X10" i="3"/>
  <c r="W10" i="3"/>
  <c r="V10" i="3"/>
  <c r="Z9" i="3"/>
  <c r="Y9" i="3"/>
  <c r="X9" i="3"/>
  <c r="W9" i="3"/>
  <c r="V9" i="3"/>
  <c r="Z8" i="3"/>
  <c r="Y8" i="3"/>
  <c r="X8" i="3"/>
  <c r="W8" i="3"/>
  <c r="V8" i="3"/>
  <c r="Z6" i="3"/>
  <c r="Y6" i="3"/>
  <c r="X6" i="3"/>
  <c r="W6" i="3"/>
  <c r="V6" i="3"/>
  <c r="Z7" i="3"/>
  <c r="Y7" i="3"/>
  <c r="X7" i="3"/>
  <c r="W7" i="3"/>
  <c r="H1273" i="7"/>
  <c r="G1273" i="7"/>
  <c r="F1273" i="7"/>
  <c r="H1272" i="7"/>
  <c r="G1272" i="7"/>
  <c r="F1272" i="7"/>
  <c r="H1271" i="7"/>
  <c r="G1271" i="7"/>
  <c r="F1271" i="7"/>
  <c r="H1270" i="7"/>
  <c r="G1270" i="7"/>
  <c r="F1270" i="7"/>
  <c r="H1269" i="7"/>
  <c r="G1269" i="7"/>
  <c r="F1269" i="7"/>
  <c r="H1268" i="7"/>
  <c r="G1268" i="7"/>
  <c r="F1268" i="7"/>
  <c r="H1267" i="7"/>
  <c r="G1267" i="7"/>
  <c r="F1267" i="7"/>
  <c r="H1266" i="7"/>
  <c r="G1266" i="7"/>
  <c r="F1266" i="7"/>
  <c r="H1265" i="7"/>
  <c r="G1265" i="7"/>
  <c r="F1265" i="7"/>
  <c r="H1264" i="7"/>
  <c r="G1264" i="7"/>
  <c r="F1264" i="7"/>
  <c r="H1263" i="7"/>
  <c r="G1263" i="7"/>
  <c r="F1263" i="7"/>
  <c r="H1262" i="7"/>
  <c r="G1262" i="7"/>
  <c r="F1262" i="7"/>
  <c r="H1261" i="7"/>
  <c r="G1261" i="7"/>
  <c r="F1261" i="7"/>
  <c r="H1260" i="7"/>
  <c r="G1260" i="7"/>
  <c r="F1260" i="7"/>
  <c r="H1259" i="7"/>
  <c r="G1259" i="7"/>
  <c r="F1259" i="7"/>
  <c r="H1258" i="7"/>
  <c r="G1258" i="7"/>
  <c r="F1258" i="7"/>
  <c r="H1257" i="7"/>
  <c r="G1257" i="7"/>
  <c r="F1257" i="7"/>
  <c r="H1256" i="7"/>
  <c r="G1256" i="7"/>
  <c r="F1256" i="7"/>
  <c r="H1255" i="7"/>
  <c r="G1255" i="7"/>
  <c r="F1255" i="7"/>
  <c r="H1254" i="7"/>
  <c r="G1254" i="7"/>
  <c r="F1254" i="7"/>
  <c r="H1253" i="7"/>
  <c r="G1253" i="7"/>
  <c r="F1253" i="7"/>
  <c r="H1252" i="7"/>
  <c r="G1252" i="7"/>
  <c r="F1252" i="7"/>
  <c r="H1251" i="7"/>
  <c r="G1251" i="7"/>
  <c r="F1251" i="7"/>
  <c r="H1250" i="7"/>
  <c r="G1250" i="7"/>
  <c r="F1250" i="7"/>
  <c r="H1249" i="7"/>
  <c r="G1249" i="7"/>
  <c r="F1249" i="7"/>
  <c r="H1248" i="7"/>
  <c r="G1248" i="7"/>
  <c r="F1248" i="7"/>
  <c r="H1247" i="7"/>
  <c r="G1247" i="7"/>
  <c r="F1247" i="7"/>
  <c r="H1246" i="7"/>
  <c r="G1246" i="7"/>
  <c r="F1246" i="7"/>
  <c r="H1245" i="7"/>
  <c r="G1245" i="7"/>
  <c r="F1245" i="7"/>
  <c r="H1244" i="7"/>
  <c r="G1244" i="7"/>
  <c r="F1244" i="7"/>
  <c r="H1243" i="7"/>
  <c r="G1243" i="7"/>
  <c r="F1243" i="7"/>
  <c r="H1242" i="7"/>
  <c r="G1242" i="7"/>
  <c r="F1242" i="7"/>
  <c r="H1241" i="7"/>
  <c r="G1241" i="7"/>
  <c r="F1241" i="7"/>
  <c r="H1240" i="7"/>
  <c r="G1240" i="7"/>
  <c r="F1240" i="7"/>
  <c r="H1239" i="7"/>
  <c r="G1239" i="7"/>
  <c r="F1239" i="7"/>
  <c r="H1238" i="7"/>
  <c r="G1238" i="7"/>
  <c r="F1238" i="7"/>
  <c r="H1237" i="7"/>
  <c r="G1237" i="7"/>
  <c r="F1237" i="7"/>
  <c r="H1236" i="7"/>
  <c r="G1236" i="7"/>
  <c r="F1236" i="7"/>
  <c r="H1235" i="7"/>
  <c r="G1235" i="7"/>
  <c r="F1235" i="7"/>
  <c r="H1234" i="7"/>
  <c r="G1234" i="7"/>
  <c r="F1234" i="7"/>
  <c r="H1233" i="7"/>
  <c r="G1233" i="7"/>
  <c r="F1233" i="7"/>
  <c r="H1232" i="7"/>
  <c r="G1232" i="7"/>
  <c r="F1232" i="7"/>
  <c r="H1231" i="7"/>
  <c r="G1231" i="7"/>
  <c r="F1231" i="7"/>
  <c r="H1230" i="7"/>
  <c r="G1230" i="7"/>
  <c r="F1230" i="7"/>
  <c r="H1229" i="7"/>
  <c r="G1229" i="7"/>
  <c r="F1229" i="7"/>
  <c r="H1228" i="7"/>
  <c r="G1228" i="7"/>
  <c r="F1228" i="7"/>
  <c r="H1227" i="7"/>
  <c r="G1227" i="7"/>
  <c r="F1227" i="7"/>
  <c r="H1226" i="7"/>
  <c r="G1226" i="7"/>
  <c r="F1226" i="7"/>
  <c r="H1225" i="7"/>
  <c r="G1225" i="7"/>
  <c r="F1225" i="7"/>
  <c r="H1224" i="7"/>
  <c r="G1224" i="7"/>
  <c r="F1224" i="7"/>
  <c r="H1223" i="7"/>
  <c r="G1223" i="7"/>
  <c r="F1223" i="7"/>
  <c r="H1222" i="7"/>
  <c r="G1222" i="7"/>
  <c r="F1222" i="7"/>
  <c r="H1221" i="7"/>
  <c r="G1221" i="7"/>
  <c r="F1221" i="7"/>
  <c r="H1220" i="7"/>
  <c r="G1220" i="7"/>
  <c r="F1220" i="7"/>
  <c r="H1219" i="7"/>
  <c r="G1219" i="7"/>
  <c r="F1219" i="7"/>
  <c r="H1218" i="7"/>
  <c r="G1218" i="7"/>
  <c r="F1218" i="7"/>
  <c r="H1217" i="7"/>
  <c r="G1217" i="7"/>
  <c r="F1217" i="7"/>
  <c r="H1216" i="7"/>
  <c r="G1216" i="7"/>
  <c r="F1216" i="7"/>
  <c r="H1215" i="7"/>
  <c r="G1215" i="7"/>
  <c r="F1215" i="7"/>
  <c r="H1214" i="7"/>
  <c r="G1214" i="7"/>
  <c r="F1214" i="7"/>
  <c r="H1213" i="7"/>
  <c r="G1213" i="7"/>
  <c r="F1213" i="7"/>
  <c r="H1212" i="7"/>
  <c r="G1212" i="7"/>
  <c r="F1212" i="7"/>
  <c r="H1211" i="7"/>
  <c r="G1211" i="7"/>
  <c r="F1211" i="7"/>
  <c r="H1210" i="7"/>
  <c r="G1210" i="7"/>
  <c r="F1210" i="7"/>
  <c r="H1209" i="7"/>
  <c r="G1209" i="7"/>
  <c r="F1209" i="7"/>
  <c r="H1208" i="7"/>
  <c r="G1208" i="7"/>
  <c r="F1208" i="7"/>
  <c r="H1207" i="7"/>
  <c r="G1207" i="7"/>
  <c r="F1207" i="7"/>
  <c r="H1206" i="7"/>
  <c r="G1206" i="7"/>
  <c r="F1206" i="7"/>
  <c r="H1205" i="7"/>
  <c r="G1205" i="7"/>
  <c r="F1205" i="7"/>
  <c r="H1204" i="7"/>
  <c r="G1204" i="7"/>
  <c r="F1204" i="7"/>
  <c r="H1203" i="7"/>
  <c r="G1203" i="7"/>
  <c r="F1203" i="7"/>
  <c r="H1202" i="7"/>
  <c r="G1202" i="7"/>
  <c r="F1202" i="7"/>
  <c r="H1201" i="7"/>
  <c r="G1201" i="7"/>
  <c r="F1201" i="7"/>
  <c r="H1200" i="7"/>
  <c r="G1200" i="7"/>
  <c r="F1200" i="7"/>
  <c r="H1199" i="7"/>
  <c r="G1199" i="7"/>
  <c r="F1199" i="7"/>
  <c r="H1198" i="7"/>
  <c r="G1198" i="7"/>
  <c r="F1198" i="7"/>
  <c r="H1197" i="7"/>
  <c r="G1197" i="7"/>
  <c r="F1197" i="7"/>
  <c r="H1196" i="7"/>
  <c r="G1196" i="7"/>
  <c r="F1196" i="7"/>
  <c r="H1195" i="7"/>
  <c r="G1195" i="7"/>
  <c r="F1195" i="7"/>
  <c r="H1194" i="7"/>
  <c r="G1194" i="7"/>
  <c r="F1194" i="7"/>
  <c r="H1193" i="7"/>
  <c r="G1193" i="7"/>
  <c r="F1193" i="7"/>
  <c r="H1192" i="7"/>
  <c r="G1192" i="7"/>
  <c r="F1192" i="7"/>
  <c r="H1191" i="7"/>
  <c r="G1191" i="7"/>
  <c r="F1191" i="7"/>
  <c r="H1190" i="7"/>
  <c r="G1190" i="7"/>
  <c r="F1190" i="7"/>
  <c r="H1189" i="7"/>
  <c r="G1189" i="7"/>
  <c r="F1189" i="7"/>
  <c r="H1188" i="7"/>
  <c r="G1188" i="7"/>
  <c r="F1188" i="7"/>
  <c r="H1187" i="7"/>
  <c r="G1187" i="7"/>
  <c r="F1187" i="7"/>
  <c r="H1186" i="7"/>
  <c r="G1186" i="7"/>
  <c r="F1186" i="7"/>
  <c r="H1185" i="7"/>
  <c r="G1185" i="7"/>
  <c r="F1185" i="7"/>
  <c r="H1184" i="7"/>
  <c r="G1184" i="7"/>
  <c r="F1184" i="7"/>
  <c r="H1183" i="7"/>
  <c r="G1183" i="7"/>
  <c r="F1183" i="7"/>
  <c r="H1182" i="7"/>
  <c r="G1182" i="7"/>
  <c r="F1182" i="7"/>
  <c r="H1181" i="7"/>
  <c r="G1181" i="7"/>
  <c r="F1181" i="7"/>
  <c r="H1180" i="7"/>
  <c r="G1180" i="7"/>
  <c r="F1180" i="7"/>
  <c r="H1179" i="7"/>
  <c r="G1179" i="7"/>
  <c r="F1179" i="7"/>
  <c r="H1178" i="7"/>
  <c r="G1178" i="7"/>
  <c r="F1178" i="7"/>
  <c r="H1177" i="7"/>
  <c r="G1177" i="7"/>
  <c r="F1177" i="7"/>
  <c r="H1176" i="7"/>
  <c r="G1176" i="7"/>
  <c r="F1176" i="7"/>
  <c r="H1175" i="7"/>
  <c r="G1175" i="7"/>
  <c r="F1175" i="7"/>
  <c r="H1174" i="7"/>
  <c r="G1174" i="7"/>
  <c r="F1174" i="7"/>
  <c r="H1173" i="7"/>
  <c r="G1173" i="7"/>
  <c r="F1173" i="7"/>
  <c r="H1172" i="7"/>
  <c r="G1172" i="7"/>
  <c r="F1172" i="7"/>
  <c r="H1171" i="7"/>
  <c r="G1171" i="7"/>
  <c r="F1171" i="7"/>
  <c r="H1170" i="7"/>
  <c r="G1170" i="7"/>
  <c r="F1170" i="7"/>
  <c r="H1169" i="7"/>
  <c r="G1169" i="7"/>
  <c r="F1169" i="7"/>
  <c r="H1168" i="7"/>
  <c r="G1168" i="7"/>
  <c r="F1168" i="7"/>
  <c r="H1167" i="7"/>
  <c r="G1167" i="7"/>
  <c r="F1167" i="7"/>
  <c r="H1166" i="7"/>
  <c r="G1166" i="7"/>
  <c r="F1166" i="7"/>
  <c r="H1165" i="7"/>
  <c r="G1165" i="7"/>
  <c r="F1165" i="7"/>
  <c r="H1164" i="7"/>
  <c r="G1164" i="7"/>
  <c r="F1164" i="7"/>
  <c r="H1163" i="7"/>
  <c r="G1163" i="7"/>
  <c r="F1163" i="7"/>
  <c r="H1162" i="7"/>
  <c r="G1162" i="7"/>
  <c r="F1162" i="7"/>
  <c r="H1161" i="7"/>
  <c r="G1161" i="7"/>
  <c r="F1161" i="7"/>
  <c r="H1160" i="7"/>
  <c r="G1160" i="7"/>
  <c r="F1160" i="7"/>
  <c r="H1159" i="7"/>
  <c r="G1159" i="7"/>
  <c r="F1159" i="7"/>
  <c r="H1158" i="7"/>
  <c r="G1158" i="7"/>
  <c r="F1158" i="7"/>
  <c r="H1157" i="7"/>
  <c r="G1157" i="7"/>
  <c r="F1157" i="7"/>
  <c r="H1156" i="7"/>
  <c r="G1156" i="7"/>
  <c r="F1156" i="7"/>
  <c r="H1155" i="7"/>
  <c r="G1155" i="7"/>
  <c r="F1155" i="7"/>
  <c r="H1154" i="7"/>
  <c r="G1154" i="7"/>
  <c r="F1154" i="7"/>
  <c r="H1153" i="7"/>
  <c r="G1153" i="7"/>
  <c r="F1153" i="7"/>
  <c r="H1152" i="7"/>
  <c r="G1152" i="7"/>
  <c r="F1152" i="7"/>
  <c r="H1151" i="7"/>
  <c r="G1151" i="7"/>
  <c r="F1151" i="7"/>
  <c r="H1150" i="7"/>
  <c r="G1150" i="7"/>
  <c r="F1150" i="7"/>
  <c r="H1149" i="7"/>
  <c r="G1149" i="7"/>
  <c r="F1149" i="7"/>
  <c r="H1148" i="7"/>
  <c r="G1148" i="7"/>
  <c r="F1148" i="7"/>
  <c r="H1147" i="7"/>
  <c r="G1147" i="7"/>
  <c r="F1147" i="7"/>
  <c r="H1146" i="7"/>
  <c r="G1146" i="7"/>
  <c r="F1146" i="7"/>
  <c r="H1145" i="7"/>
  <c r="G1145" i="7"/>
  <c r="F1145" i="7"/>
  <c r="H1144" i="7"/>
  <c r="G1144" i="7"/>
  <c r="F1144" i="7"/>
  <c r="H1143" i="7"/>
  <c r="G1143" i="7"/>
  <c r="F1143" i="7"/>
  <c r="H1142" i="7"/>
  <c r="G1142" i="7"/>
  <c r="F1142" i="7"/>
  <c r="H1141" i="7"/>
  <c r="G1141" i="7"/>
  <c r="F1141" i="7"/>
  <c r="H1140" i="7"/>
  <c r="G1140" i="7"/>
  <c r="F1140" i="7"/>
  <c r="H1139" i="7"/>
  <c r="G1139" i="7"/>
  <c r="F1139" i="7"/>
  <c r="H1138" i="7"/>
  <c r="G1138" i="7"/>
  <c r="F1138" i="7"/>
  <c r="H1137" i="7"/>
  <c r="G1137" i="7"/>
  <c r="F1137" i="7"/>
  <c r="H1136" i="7"/>
  <c r="G1136" i="7"/>
  <c r="F1136" i="7"/>
  <c r="H1135" i="7"/>
  <c r="G1135" i="7"/>
  <c r="F1135" i="7"/>
  <c r="H1134" i="7"/>
  <c r="G1134" i="7"/>
  <c r="F1134" i="7"/>
  <c r="H1133" i="7"/>
  <c r="G1133" i="7"/>
  <c r="F1133" i="7"/>
  <c r="H1132" i="7"/>
  <c r="G1132" i="7"/>
  <c r="F1132" i="7"/>
  <c r="H1131" i="7"/>
  <c r="G1131" i="7"/>
  <c r="F1131" i="7"/>
  <c r="H1130" i="7"/>
  <c r="G1130" i="7"/>
  <c r="F1130" i="7"/>
  <c r="H1129" i="7"/>
  <c r="G1129" i="7"/>
  <c r="F1129" i="7"/>
  <c r="H1128" i="7"/>
  <c r="G1128" i="7"/>
  <c r="F1128" i="7"/>
  <c r="H1127" i="7"/>
  <c r="G1127" i="7"/>
  <c r="F1127" i="7"/>
  <c r="H1126" i="7"/>
  <c r="G1126" i="7"/>
  <c r="F1126" i="7"/>
  <c r="H1125" i="7"/>
  <c r="G1125" i="7"/>
  <c r="F1125" i="7"/>
  <c r="H1124" i="7"/>
  <c r="G1124" i="7"/>
  <c r="F1124" i="7"/>
  <c r="H1123" i="7"/>
  <c r="G1123" i="7"/>
  <c r="F1123" i="7"/>
  <c r="H1122" i="7"/>
  <c r="G1122" i="7"/>
  <c r="F1122" i="7"/>
  <c r="H1121" i="7"/>
  <c r="G1121" i="7"/>
  <c r="F1121" i="7"/>
  <c r="H1120" i="7"/>
  <c r="G1120" i="7"/>
  <c r="F1120" i="7"/>
  <c r="H1119" i="7"/>
  <c r="G1119" i="7"/>
  <c r="F1119" i="7"/>
  <c r="H1118" i="7"/>
  <c r="G1118" i="7"/>
  <c r="F1118" i="7"/>
  <c r="H1117" i="7"/>
  <c r="G1117" i="7"/>
  <c r="F1117" i="7"/>
  <c r="H1116" i="7"/>
  <c r="G1116" i="7"/>
  <c r="F1116" i="7"/>
  <c r="H1115" i="7"/>
  <c r="G1115" i="7"/>
  <c r="F1115" i="7"/>
  <c r="H1114" i="7"/>
  <c r="G1114" i="7"/>
  <c r="F1114" i="7"/>
  <c r="H1113" i="7"/>
  <c r="G1113" i="7"/>
  <c r="F1113" i="7"/>
  <c r="H1112" i="7"/>
  <c r="G1112" i="7"/>
  <c r="F1112" i="7"/>
  <c r="H1111" i="7"/>
  <c r="G1111" i="7"/>
  <c r="F1111" i="7"/>
  <c r="H1110" i="7"/>
  <c r="G1110" i="7"/>
  <c r="F1110" i="7"/>
  <c r="H1109" i="7"/>
  <c r="G1109" i="7"/>
  <c r="F1109" i="7"/>
  <c r="H1108" i="7"/>
  <c r="G1108" i="7"/>
  <c r="F1108" i="7"/>
  <c r="H1107" i="7"/>
  <c r="G1107" i="7"/>
  <c r="F1107" i="7"/>
  <c r="H1106" i="7"/>
  <c r="G1106" i="7"/>
  <c r="F1106" i="7"/>
  <c r="H1105" i="7"/>
  <c r="G1105" i="7"/>
  <c r="F1105" i="7"/>
  <c r="H1104" i="7"/>
  <c r="G1104" i="7"/>
  <c r="F1104" i="7"/>
  <c r="H1103" i="7"/>
  <c r="G1103" i="7"/>
  <c r="F1103" i="7"/>
  <c r="H1102" i="7"/>
  <c r="G1102" i="7"/>
  <c r="F1102" i="7"/>
  <c r="H1101" i="7"/>
  <c r="G1101" i="7"/>
  <c r="F1101" i="7"/>
  <c r="H1100" i="7"/>
  <c r="G1100" i="7"/>
  <c r="F1100" i="7"/>
  <c r="H1099" i="7"/>
  <c r="G1099" i="7"/>
  <c r="F1099" i="7"/>
  <c r="H1098" i="7"/>
  <c r="G1098" i="7"/>
  <c r="F1098" i="7"/>
  <c r="H1097" i="7"/>
  <c r="G1097" i="7"/>
  <c r="F1097" i="7"/>
  <c r="H1096" i="7"/>
  <c r="G1096" i="7"/>
  <c r="F1096" i="7"/>
  <c r="H1095" i="7"/>
  <c r="G1095" i="7"/>
  <c r="F1095" i="7"/>
  <c r="H1094" i="7"/>
  <c r="G1094" i="7"/>
  <c r="F1094" i="7"/>
  <c r="H1093" i="7"/>
  <c r="G1093" i="7"/>
  <c r="F1093" i="7"/>
  <c r="H1092" i="7"/>
  <c r="G1092" i="7"/>
  <c r="F1092" i="7"/>
  <c r="H1091" i="7"/>
  <c r="G1091" i="7"/>
  <c r="F1091" i="7"/>
  <c r="H1090" i="7"/>
  <c r="G1090" i="7"/>
  <c r="F1090" i="7"/>
  <c r="H1089" i="7"/>
  <c r="G1089" i="7"/>
  <c r="F1089" i="7"/>
  <c r="H1088" i="7"/>
  <c r="G1088" i="7"/>
  <c r="F1088" i="7"/>
  <c r="H1087" i="7"/>
  <c r="G1087" i="7"/>
  <c r="F1087" i="7"/>
  <c r="H1086" i="7"/>
  <c r="G1086" i="7"/>
  <c r="F1086" i="7"/>
  <c r="H1085" i="7"/>
  <c r="G1085" i="7"/>
  <c r="F1085" i="7"/>
  <c r="H1084" i="7"/>
  <c r="G1084" i="7"/>
  <c r="F1084" i="7"/>
  <c r="H1083" i="7"/>
  <c r="G1083" i="7"/>
  <c r="F1083" i="7"/>
  <c r="H1082" i="7"/>
  <c r="G1082" i="7"/>
  <c r="F1082" i="7"/>
  <c r="H1081" i="7"/>
  <c r="G1081" i="7"/>
  <c r="F1081" i="7"/>
  <c r="H1080" i="7"/>
  <c r="G1080" i="7"/>
  <c r="F1080" i="7"/>
  <c r="H1079" i="7"/>
  <c r="G1079" i="7"/>
  <c r="F1079" i="7"/>
  <c r="H1078" i="7"/>
  <c r="G1078" i="7"/>
  <c r="F1078" i="7"/>
  <c r="H1077" i="7"/>
  <c r="G1077" i="7"/>
  <c r="F1077" i="7"/>
  <c r="H1076" i="7"/>
  <c r="G1076" i="7"/>
  <c r="F1076" i="7"/>
  <c r="H1075" i="7"/>
  <c r="G1075" i="7"/>
  <c r="F1075" i="7"/>
  <c r="H1074" i="7"/>
  <c r="G1074" i="7"/>
  <c r="F1074" i="7"/>
  <c r="H1073" i="7"/>
  <c r="G1073" i="7"/>
  <c r="F1073" i="7"/>
  <c r="H1072" i="7"/>
  <c r="G1072" i="7"/>
  <c r="F1072" i="7"/>
  <c r="H1071" i="7"/>
  <c r="G1071" i="7"/>
  <c r="F1071" i="7"/>
  <c r="H1070" i="7"/>
  <c r="G1070" i="7"/>
  <c r="F1070" i="7"/>
  <c r="H1069" i="7"/>
  <c r="G1069" i="7"/>
  <c r="F1069" i="7"/>
  <c r="H1068" i="7"/>
  <c r="G1068" i="7"/>
  <c r="F1068" i="7"/>
  <c r="H1067" i="7"/>
  <c r="G1067" i="7"/>
  <c r="F1067" i="7"/>
  <c r="H1066" i="7"/>
  <c r="G1066" i="7"/>
  <c r="F1066" i="7"/>
  <c r="H1065" i="7"/>
  <c r="G1065" i="7"/>
  <c r="F1065" i="7"/>
  <c r="H1064" i="7"/>
  <c r="G1064" i="7"/>
  <c r="F1064" i="7"/>
  <c r="H1063" i="7"/>
  <c r="G1063" i="7"/>
  <c r="F1063" i="7"/>
  <c r="H1062" i="7"/>
  <c r="G1062" i="7"/>
  <c r="F1062" i="7"/>
  <c r="H1061" i="7"/>
  <c r="G1061" i="7"/>
  <c r="F1061" i="7"/>
  <c r="H1060" i="7"/>
  <c r="G1060" i="7"/>
  <c r="F1060" i="7"/>
  <c r="H1059" i="7"/>
  <c r="G1059" i="7"/>
  <c r="F1059" i="7"/>
  <c r="H1058" i="7"/>
  <c r="G1058" i="7"/>
  <c r="F1058" i="7"/>
  <c r="H1057" i="7"/>
  <c r="G1057" i="7"/>
  <c r="F1057" i="7"/>
  <c r="H1056" i="7"/>
  <c r="G1056" i="7"/>
  <c r="F1056" i="7"/>
  <c r="H1055" i="7"/>
  <c r="G1055" i="7"/>
  <c r="F1055" i="7"/>
  <c r="H1054" i="7"/>
  <c r="G1054" i="7"/>
  <c r="F1054" i="7"/>
  <c r="H1053" i="7"/>
  <c r="G1053" i="7"/>
  <c r="F1053" i="7"/>
  <c r="H1052" i="7"/>
  <c r="G1052" i="7"/>
  <c r="F1052" i="7"/>
  <c r="H1051" i="7"/>
  <c r="G1051" i="7"/>
  <c r="F1051" i="7"/>
  <c r="H1050" i="7"/>
  <c r="G1050" i="7"/>
  <c r="F1050" i="7"/>
  <c r="H1049" i="7"/>
  <c r="G1049" i="7"/>
  <c r="F1049" i="7"/>
  <c r="H1048" i="7"/>
  <c r="G1048" i="7"/>
  <c r="F1048" i="7"/>
  <c r="H1047" i="7"/>
  <c r="G1047" i="7"/>
  <c r="F1047" i="7"/>
  <c r="H1046" i="7"/>
  <c r="G1046" i="7"/>
  <c r="F1046" i="7"/>
  <c r="H1045" i="7"/>
  <c r="G1045" i="7"/>
  <c r="F1045" i="7"/>
  <c r="H1044" i="7"/>
  <c r="G1044" i="7"/>
  <c r="F1044" i="7"/>
  <c r="H1043" i="7"/>
  <c r="G1043" i="7"/>
  <c r="F1043" i="7"/>
  <c r="H1042" i="7"/>
  <c r="G1042" i="7"/>
  <c r="F1042" i="7"/>
  <c r="H1041" i="7"/>
  <c r="G1041" i="7"/>
  <c r="F1041" i="7"/>
  <c r="H1040" i="7"/>
  <c r="G1040" i="7"/>
  <c r="F1040" i="7"/>
  <c r="H1039" i="7"/>
  <c r="G1039" i="7"/>
  <c r="F1039" i="7"/>
  <c r="H1038" i="7"/>
  <c r="G1038" i="7"/>
  <c r="F1038" i="7"/>
  <c r="H1037" i="7"/>
  <c r="G1037" i="7"/>
  <c r="F1037" i="7"/>
  <c r="H1036" i="7"/>
  <c r="G1036" i="7"/>
  <c r="F1036" i="7"/>
  <c r="H1035" i="7"/>
  <c r="G1035" i="7"/>
  <c r="F1035" i="7"/>
  <c r="H1034" i="7"/>
  <c r="G1034" i="7"/>
  <c r="F1034" i="7"/>
  <c r="H1033" i="7"/>
  <c r="G1033" i="7"/>
  <c r="F1033" i="7"/>
  <c r="H1032" i="7"/>
  <c r="G1032" i="7"/>
  <c r="F1032" i="7"/>
  <c r="H1031" i="7"/>
  <c r="G1031" i="7"/>
  <c r="F1031" i="7"/>
  <c r="H1030" i="7"/>
  <c r="G1030" i="7"/>
  <c r="F1030" i="7"/>
  <c r="H1029" i="7"/>
  <c r="G1029" i="7"/>
  <c r="F1029" i="7"/>
  <c r="H1028" i="7"/>
  <c r="G1028" i="7"/>
  <c r="F1028" i="7"/>
  <c r="H1027" i="7"/>
  <c r="G1027" i="7"/>
  <c r="F1027" i="7"/>
  <c r="H1026" i="7"/>
  <c r="G1026" i="7"/>
  <c r="F1026" i="7"/>
  <c r="H1025" i="7"/>
  <c r="G1025" i="7"/>
  <c r="F1025" i="7"/>
  <c r="H1024" i="7"/>
  <c r="G1024" i="7"/>
  <c r="F1024" i="7"/>
  <c r="H1023" i="7"/>
  <c r="G1023" i="7"/>
  <c r="F1023" i="7"/>
  <c r="H1022" i="7"/>
  <c r="G1022" i="7"/>
  <c r="F1022" i="7"/>
  <c r="H1021" i="7"/>
  <c r="G1021" i="7"/>
  <c r="F1021" i="7"/>
  <c r="H1020" i="7"/>
  <c r="G1020" i="7"/>
  <c r="F1020" i="7"/>
  <c r="H1019" i="7"/>
  <c r="G1019" i="7"/>
  <c r="F1019" i="7"/>
  <c r="H1018" i="7"/>
  <c r="G1018" i="7"/>
  <c r="F1018" i="7"/>
  <c r="H1017" i="7"/>
  <c r="G1017" i="7"/>
  <c r="F1017" i="7"/>
  <c r="H1016" i="7"/>
  <c r="G1016" i="7"/>
  <c r="F1016" i="7"/>
  <c r="H1015" i="7"/>
  <c r="G1015" i="7"/>
  <c r="F1015" i="7"/>
  <c r="H1014" i="7"/>
  <c r="G1014" i="7"/>
  <c r="F1014" i="7"/>
  <c r="H1013" i="7"/>
  <c r="G1013" i="7"/>
  <c r="F1013" i="7"/>
  <c r="H1012" i="7"/>
  <c r="G1012" i="7"/>
  <c r="F1012" i="7"/>
  <c r="H1011" i="7"/>
  <c r="G1011" i="7"/>
  <c r="F1011" i="7"/>
  <c r="H1010" i="7"/>
  <c r="G1010" i="7"/>
  <c r="F1010" i="7"/>
  <c r="H1009" i="7"/>
  <c r="G1009" i="7"/>
  <c r="F1009" i="7"/>
  <c r="H1008" i="7"/>
  <c r="G1008" i="7"/>
  <c r="F1008" i="7"/>
  <c r="H1007" i="7"/>
  <c r="G1007" i="7"/>
  <c r="F1007" i="7"/>
  <c r="H1006" i="7"/>
  <c r="G1006" i="7"/>
  <c r="F1006" i="7"/>
  <c r="H1005" i="7"/>
  <c r="G1005" i="7"/>
  <c r="F1005" i="7"/>
  <c r="H1004" i="7"/>
  <c r="G1004" i="7"/>
  <c r="F1004" i="7"/>
  <c r="H1003" i="7"/>
  <c r="G1003" i="7"/>
  <c r="F1003" i="7"/>
  <c r="H1002" i="7"/>
  <c r="G1002" i="7"/>
  <c r="F1002" i="7"/>
  <c r="H1001" i="7"/>
  <c r="G1001" i="7"/>
  <c r="F1001" i="7"/>
  <c r="H1000" i="7"/>
  <c r="G1000" i="7"/>
  <c r="F1000" i="7"/>
  <c r="H999" i="7"/>
  <c r="G999" i="7"/>
  <c r="F999" i="7"/>
  <c r="H998" i="7"/>
  <c r="G998" i="7"/>
  <c r="F998" i="7"/>
  <c r="H997" i="7"/>
  <c r="G997" i="7"/>
  <c r="F997" i="7"/>
  <c r="H996" i="7"/>
  <c r="G996" i="7"/>
  <c r="F996" i="7"/>
  <c r="H995" i="7"/>
  <c r="G995" i="7"/>
  <c r="F995" i="7"/>
  <c r="H994" i="7"/>
  <c r="G994" i="7"/>
  <c r="F994" i="7"/>
  <c r="H993" i="7"/>
  <c r="G993" i="7"/>
  <c r="F993" i="7"/>
  <c r="H992" i="7"/>
  <c r="G992" i="7"/>
  <c r="F992" i="7"/>
  <c r="H991" i="7"/>
  <c r="G991" i="7"/>
  <c r="F991" i="7"/>
  <c r="H990" i="7"/>
  <c r="G990" i="7"/>
  <c r="F990" i="7"/>
  <c r="H989" i="7"/>
  <c r="G989" i="7"/>
  <c r="F989" i="7"/>
  <c r="H988" i="7"/>
  <c r="G988" i="7"/>
  <c r="F988" i="7"/>
  <c r="H987" i="7"/>
  <c r="G987" i="7"/>
  <c r="F987" i="7"/>
  <c r="H986" i="7"/>
  <c r="G986" i="7"/>
  <c r="F986" i="7"/>
  <c r="H985" i="7"/>
  <c r="G985" i="7"/>
  <c r="F985" i="7"/>
  <c r="H984" i="7"/>
  <c r="G984" i="7"/>
  <c r="F984" i="7"/>
  <c r="H983" i="7"/>
  <c r="G983" i="7"/>
  <c r="F983" i="7"/>
  <c r="H982" i="7"/>
  <c r="G982" i="7"/>
  <c r="F982" i="7"/>
  <c r="H981" i="7"/>
  <c r="G981" i="7"/>
  <c r="F981" i="7"/>
  <c r="H980" i="7"/>
  <c r="G980" i="7"/>
  <c r="F980" i="7"/>
  <c r="H979" i="7"/>
  <c r="G979" i="7"/>
  <c r="F979" i="7"/>
  <c r="H978" i="7"/>
  <c r="G978" i="7"/>
  <c r="F978" i="7"/>
  <c r="H977" i="7"/>
  <c r="G977" i="7"/>
  <c r="F977" i="7"/>
  <c r="H976" i="7"/>
  <c r="G976" i="7"/>
  <c r="F976" i="7"/>
  <c r="H975" i="7"/>
  <c r="G975" i="7"/>
  <c r="F975" i="7"/>
  <c r="H974" i="7"/>
  <c r="G974" i="7"/>
  <c r="F974" i="7"/>
  <c r="H973" i="7"/>
  <c r="G973" i="7"/>
  <c r="F973" i="7"/>
  <c r="H972" i="7"/>
  <c r="G972" i="7"/>
  <c r="F972" i="7"/>
  <c r="H971" i="7"/>
  <c r="G971" i="7"/>
  <c r="F971" i="7"/>
  <c r="H970" i="7"/>
  <c r="G970" i="7"/>
  <c r="F970" i="7"/>
  <c r="H969" i="7"/>
  <c r="G969" i="7"/>
  <c r="F969" i="7"/>
  <c r="H968" i="7"/>
  <c r="G968" i="7"/>
  <c r="F968" i="7"/>
  <c r="H967" i="7"/>
  <c r="G967" i="7"/>
  <c r="F967" i="7"/>
  <c r="H966" i="7"/>
  <c r="G966" i="7"/>
  <c r="F966" i="7"/>
  <c r="H965" i="7"/>
  <c r="G965" i="7"/>
  <c r="F965" i="7"/>
  <c r="H964" i="7"/>
  <c r="G964" i="7"/>
  <c r="F964" i="7"/>
  <c r="H963" i="7"/>
  <c r="G963" i="7"/>
  <c r="F963" i="7"/>
  <c r="H962" i="7"/>
  <c r="G962" i="7"/>
  <c r="F962" i="7"/>
  <c r="H961" i="7"/>
  <c r="G961" i="7"/>
  <c r="F961" i="7"/>
  <c r="H960" i="7"/>
  <c r="G960" i="7"/>
  <c r="F960" i="7"/>
  <c r="H959" i="7"/>
  <c r="G959" i="7"/>
  <c r="F959" i="7"/>
  <c r="H958" i="7"/>
  <c r="G958" i="7"/>
  <c r="F958" i="7"/>
  <c r="H957" i="7"/>
  <c r="G957" i="7"/>
  <c r="F957" i="7"/>
  <c r="H956" i="7"/>
  <c r="G956" i="7"/>
  <c r="F956" i="7"/>
  <c r="H955" i="7"/>
  <c r="G955" i="7"/>
  <c r="F955" i="7"/>
  <c r="H954" i="7"/>
  <c r="G954" i="7"/>
  <c r="F954" i="7"/>
  <c r="H953" i="7"/>
  <c r="G953" i="7"/>
  <c r="F953" i="7"/>
  <c r="H952" i="7"/>
  <c r="G952" i="7"/>
  <c r="F952" i="7"/>
  <c r="H951" i="7"/>
  <c r="G951" i="7"/>
  <c r="F951" i="7"/>
  <c r="H950" i="7"/>
  <c r="G950" i="7"/>
  <c r="F950" i="7"/>
  <c r="H949" i="7"/>
  <c r="G949" i="7"/>
  <c r="F949" i="7"/>
  <c r="H948" i="7"/>
  <c r="G948" i="7"/>
  <c r="F948" i="7"/>
  <c r="H947" i="7"/>
  <c r="G947" i="7"/>
  <c r="F947" i="7"/>
  <c r="H946" i="7"/>
  <c r="G946" i="7"/>
  <c r="F946" i="7"/>
  <c r="H945" i="7"/>
  <c r="G945" i="7"/>
  <c r="F945" i="7"/>
  <c r="H944" i="7"/>
  <c r="G944" i="7"/>
  <c r="F944" i="7"/>
  <c r="H943" i="7"/>
  <c r="G943" i="7"/>
  <c r="F943" i="7"/>
  <c r="H942" i="7"/>
  <c r="G942" i="7"/>
  <c r="F942" i="7"/>
  <c r="H941" i="7"/>
  <c r="G941" i="7"/>
  <c r="F941" i="7"/>
  <c r="H940" i="7"/>
  <c r="G940" i="7"/>
  <c r="F940" i="7"/>
  <c r="H939" i="7"/>
  <c r="G939" i="7"/>
  <c r="F939" i="7"/>
  <c r="H938" i="7"/>
  <c r="G938" i="7"/>
  <c r="F938" i="7"/>
  <c r="H937" i="7"/>
  <c r="G937" i="7"/>
  <c r="F937" i="7"/>
  <c r="H936" i="7"/>
  <c r="G936" i="7"/>
  <c r="F936" i="7"/>
  <c r="H935" i="7"/>
  <c r="G935" i="7"/>
  <c r="F935" i="7"/>
  <c r="H934" i="7"/>
  <c r="G934" i="7"/>
  <c r="F934" i="7"/>
  <c r="H933" i="7"/>
  <c r="G933" i="7"/>
  <c r="F933" i="7"/>
  <c r="H932" i="7"/>
  <c r="G932" i="7"/>
  <c r="F932" i="7"/>
  <c r="H931" i="7"/>
  <c r="G931" i="7"/>
  <c r="F931" i="7"/>
  <c r="H930" i="7"/>
  <c r="G930" i="7"/>
  <c r="F930" i="7"/>
  <c r="H929" i="7"/>
  <c r="G929" i="7"/>
  <c r="F929" i="7"/>
  <c r="H928" i="7"/>
  <c r="G928" i="7"/>
  <c r="F928" i="7"/>
  <c r="H927" i="7"/>
  <c r="G927" i="7"/>
  <c r="F927" i="7"/>
  <c r="H926" i="7"/>
  <c r="G926" i="7"/>
  <c r="F926" i="7"/>
  <c r="H925" i="7"/>
  <c r="G925" i="7"/>
  <c r="F925" i="7"/>
  <c r="H924" i="7"/>
  <c r="G924" i="7"/>
  <c r="F924" i="7"/>
  <c r="H923" i="7"/>
  <c r="G923" i="7"/>
  <c r="F923" i="7"/>
  <c r="H922" i="7"/>
  <c r="G922" i="7"/>
  <c r="F922" i="7"/>
  <c r="H921" i="7"/>
  <c r="G921" i="7"/>
  <c r="F921" i="7"/>
  <c r="H920" i="7"/>
  <c r="G920" i="7"/>
  <c r="F920" i="7"/>
  <c r="H919" i="7"/>
  <c r="G919" i="7"/>
  <c r="F919" i="7"/>
  <c r="H918" i="7"/>
  <c r="G918" i="7"/>
  <c r="F918" i="7"/>
  <c r="H917" i="7"/>
  <c r="G917" i="7"/>
  <c r="F917" i="7"/>
  <c r="H916" i="7"/>
  <c r="G916" i="7"/>
  <c r="F916" i="7"/>
  <c r="H915" i="7"/>
  <c r="G915" i="7"/>
  <c r="F915" i="7"/>
  <c r="H914" i="7"/>
  <c r="G914" i="7"/>
  <c r="F914" i="7"/>
  <c r="H913" i="7"/>
  <c r="G913" i="7"/>
  <c r="F913" i="7"/>
  <c r="H912" i="7"/>
  <c r="G912" i="7"/>
  <c r="F912" i="7"/>
  <c r="H911" i="7"/>
  <c r="G911" i="7"/>
  <c r="F911" i="7"/>
  <c r="H910" i="7"/>
  <c r="G910" i="7"/>
  <c r="F910" i="7"/>
  <c r="H909" i="7"/>
  <c r="G909" i="7"/>
  <c r="F909" i="7"/>
  <c r="H908" i="7"/>
  <c r="G908" i="7"/>
  <c r="F908" i="7"/>
  <c r="H907" i="7"/>
  <c r="G907" i="7"/>
  <c r="F907" i="7"/>
  <c r="H906" i="7"/>
  <c r="G906" i="7"/>
  <c r="F906" i="7"/>
  <c r="H905" i="7"/>
  <c r="G905" i="7"/>
  <c r="F905" i="7"/>
  <c r="H904" i="7"/>
  <c r="G904" i="7"/>
  <c r="F904" i="7"/>
  <c r="H903" i="7"/>
  <c r="G903" i="7"/>
  <c r="F903" i="7"/>
  <c r="H902" i="7"/>
  <c r="G902" i="7"/>
  <c r="F902" i="7"/>
  <c r="H901" i="7"/>
  <c r="G901" i="7"/>
  <c r="F901" i="7"/>
  <c r="H900" i="7"/>
  <c r="G900" i="7"/>
  <c r="F900" i="7"/>
  <c r="H899" i="7"/>
  <c r="G899" i="7"/>
  <c r="F899" i="7"/>
  <c r="H898" i="7"/>
  <c r="G898" i="7"/>
  <c r="F898" i="7"/>
  <c r="H897" i="7"/>
  <c r="G897" i="7"/>
  <c r="F897" i="7"/>
  <c r="H896" i="7"/>
  <c r="G896" i="7"/>
  <c r="F896" i="7"/>
  <c r="H895" i="7"/>
  <c r="G895" i="7"/>
  <c r="F895" i="7"/>
  <c r="H894" i="7"/>
  <c r="G894" i="7"/>
  <c r="F894" i="7"/>
  <c r="H893" i="7"/>
  <c r="G893" i="7"/>
  <c r="F893" i="7"/>
  <c r="H892" i="7"/>
  <c r="G892" i="7"/>
  <c r="F892" i="7"/>
  <c r="H891" i="7"/>
  <c r="G891" i="7"/>
  <c r="F891" i="7"/>
  <c r="H890" i="7"/>
  <c r="G890" i="7"/>
  <c r="F890" i="7"/>
  <c r="H889" i="7"/>
  <c r="G889" i="7"/>
  <c r="F889" i="7"/>
  <c r="H888" i="7"/>
  <c r="G888" i="7"/>
  <c r="F888" i="7"/>
  <c r="H887" i="7"/>
  <c r="G887" i="7"/>
  <c r="F887" i="7"/>
  <c r="H886" i="7"/>
  <c r="G886" i="7"/>
  <c r="F886" i="7"/>
  <c r="H885" i="7"/>
  <c r="G885" i="7"/>
  <c r="F885" i="7"/>
  <c r="H884" i="7"/>
  <c r="G884" i="7"/>
  <c r="F884" i="7"/>
  <c r="H883" i="7"/>
  <c r="G883" i="7"/>
  <c r="F883" i="7"/>
  <c r="H882" i="7"/>
  <c r="G882" i="7"/>
  <c r="F882" i="7"/>
  <c r="H881" i="7"/>
  <c r="G881" i="7"/>
  <c r="F881" i="7"/>
  <c r="H880" i="7"/>
  <c r="G880" i="7"/>
  <c r="F880" i="7"/>
  <c r="H879" i="7"/>
  <c r="G879" i="7"/>
  <c r="F879" i="7"/>
  <c r="H878" i="7"/>
  <c r="G878" i="7"/>
  <c r="F878" i="7"/>
  <c r="H877" i="7"/>
  <c r="G877" i="7"/>
  <c r="F877" i="7"/>
  <c r="H876" i="7"/>
  <c r="G876" i="7"/>
  <c r="F876" i="7"/>
  <c r="H875" i="7"/>
  <c r="G875" i="7"/>
  <c r="F875" i="7"/>
  <c r="H874" i="7"/>
  <c r="G874" i="7"/>
  <c r="F874" i="7"/>
  <c r="H873" i="7"/>
  <c r="G873" i="7"/>
  <c r="F873" i="7"/>
  <c r="H872" i="7"/>
  <c r="G872" i="7"/>
  <c r="F872" i="7"/>
  <c r="H871" i="7"/>
  <c r="G871" i="7"/>
  <c r="F871" i="7"/>
  <c r="H870" i="7"/>
  <c r="G870" i="7"/>
  <c r="F870" i="7"/>
  <c r="H869" i="7"/>
  <c r="G869" i="7"/>
  <c r="F869" i="7"/>
  <c r="H868" i="7"/>
  <c r="G868" i="7"/>
  <c r="F868" i="7"/>
  <c r="H867" i="7"/>
  <c r="G867" i="7"/>
  <c r="F867" i="7"/>
  <c r="H866" i="7"/>
  <c r="G866" i="7"/>
  <c r="F866" i="7"/>
  <c r="H865" i="7"/>
  <c r="G865" i="7"/>
  <c r="F865" i="7"/>
  <c r="H864" i="7"/>
  <c r="G864" i="7"/>
  <c r="F864" i="7"/>
  <c r="H863" i="7"/>
  <c r="G863" i="7"/>
  <c r="F863" i="7"/>
  <c r="H862" i="7"/>
  <c r="G862" i="7"/>
  <c r="F862" i="7"/>
  <c r="H861" i="7"/>
  <c r="G861" i="7"/>
  <c r="F861" i="7"/>
  <c r="H860" i="7"/>
  <c r="G860" i="7"/>
  <c r="F860" i="7"/>
  <c r="H859" i="7"/>
  <c r="G859" i="7"/>
  <c r="F859" i="7"/>
  <c r="H858" i="7"/>
  <c r="G858" i="7"/>
  <c r="F858" i="7"/>
  <c r="H857" i="7"/>
  <c r="G857" i="7"/>
  <c r="F857" i="7"/>
  <c r="H856" i="7"/>
  <c r="G856" i="7"/>
  <c r="F856" i="7"/>
  <c r="H855" i="7"/>
  <c r="G855" i="7"/>
  <c r="F855" i="7"/>
  <c r="H854" i="7"/>
  <c r="G854" i="7"/>
  <c r="F854" i="7"/>
  <c r="H853" i="7"/>
  <c r="G853" i="7"/>
  <c r="F853" i="7"/>
  <c r="H852" i="7"/>
  <c r="G852" i="7"/>
  <c r="F852" i="7"/>
  <c r="H851" i="7"/>
  <c r="G851" i="7"/>
  <c r="F851" i="7"/>
  <c r="H850" i="7"/>
  <c r="G850" i="7"/>
  <c r="F850" i="7"/>
  <c r="H849" i="7"/>
  <c r="G849" i="7"/>
  <c r="F849" i="7"/>
  <c r="H848" i="7"/>
  <c r="G848" i="7"/>
  <c r="F848" i="7"/>
  <c r="H847" i="7"/>
  <c r="G847" i="7"/>
  <c r="F847" i="7"/>
  <c r="H846" i="7"/>
  <c r="G846" i="7"/>
  <c r="F846" i="7"/>
  <c r="H845" i="7"/>
  <c r="G845" i="7"/>
  <c r="F845" i="7"/>
  <c r="H844" i="7"/>
  <c r="G844" i="7"/>
  <c r="F844" i="7"/>
  <c r="H843" i="7"/>
  <c r="G843" i="7"/>
  <c r="F843" i="7"/>
  <c r="H842" i="7"/>
  <c r="G842" i="7"/>
  <c r="F842" i="7"/>
  <c r="H841" i="7"/>
  <c r="G841" i="7"/>
  <c r="F841" i="7"/>
  <c r="H840" i="7"/>
  <c r="G840" i="7"/>
  <c r="F840" i="7"/>
  <c r="H839" i="7"/>
  <c r="G839" i="7"/>
  <c r="F839" i="7"/>
  <c r="H838" i="7"/>
  <c r="G838" i="7"/>
  <c r="F838" i="7"/>
  <c r="H837" i="7"/>
  <c r="G837" i="7"/>
  <c r="F837" i="7"/>
  <c r="H836" i="7"/>
  <c r="G836" i="7"/>
  <c r="F836" i="7"/>
  <c r="H835" i="7"/>
  <c r="G835" i="7"/>
  <c r="F835" i="7"/>
  <c r="H834" i="7"/>
  <c r="G834" i="7"/>
  <c r="F834" i="7"/>
  <c r="H833" i="7"/>
  <c r="G833" i="7"/>
  <c r="F833" i="7"/>
  <c r="H832" i="7"/>
  <c r="G832" i="7"/>
  <c r="F832" i="7"/>
  <c r="H831" i="7"/>
  <c r="G831" i="7"/>
  <c r="F831" i="7"/>
  <c r="H830" i="7"/>
  <c r="G830" i="7"/>
  <c r="F830" i="7"/>
  <c r="H829" i="7"/>
  <c r="G829" i="7"/>
  <c r="F829" i="7"/>
  <c r="H828" i="7"/>
  <c r="G828" i="7"/>
  <c r="F828" i="7"/>
  <c r="H827" i="7"/>
  <c r="G827" i="7"/>
  <c r="F827" i="7"/>
  <c r="H826" i="7"/>
  <c r="G826" i="7"/>
  <c r="F826" i="7"/>
  <c r="H825" i="7"/>
  <c r="G825" i="7"/>
  <c r="F825" i="7"/>
  <c r="H824" i="7"/>
  <c r="G824" i="7"/>
  <c r="F824" i="7"/>
  <c r="H823" i="7"/>
  <c r="G823" i="7"/>
  <c r="F823" i="7"/>
  <c r="H822" i="7"/>
  <c r="G822" i="7"/>
  <c r="F822" i="7"/>
  <c r="H821" i="7"/>
  <c r="G821" i="7"/>
  <c r="F821" i="7"/>
  <c r="H820" i="7"/>
  <c r="G820" i="7"/>
  <c r="F820" i="7"/>
  <c r="H819" i="7"/>
  <c r="G819" i="7"/>
  <c r="F819" i="7"/>
  <c r="H818" i="7"/>
  <c r="G818" i="7"/>
  <c r="F818" i="7"/>
  <c r="H817" i="7"/>
  <c r="G817" i="7"/>
  <c r="F817" i="7"/>
  <c r="H816" i="7"/>
  <c r="G816" i="7"/>
  <c r="F816" i="7"/>
  <c r="H815" i="7"/>
  <c r="G815" i="7"/>
  <c r="F815" i="7"/>
  <c r="H814" i="7"/>
  <c r="G814" i="7"/>
  <c r="F814" i="7"/>
  <c r="H813" i="7"/>
  <c r="G813" i="7"/>
  <c r="F813" i="7"/>
  <c r="H812" i="7"/>
  <c r="G812" i="7"/>
  <c r="F812" i="7"/>
  <c r="H811" i="7"/>
  <c r="G811" i="7"/>
  <c r="F811" i="7"/>
  <c r="H810" i="7"/>
  <c r="G810" i="7"/>
  <c r="F810" i="7"/>
  <c r="H809" i="7"/>
  <c r="G809" i="7"/>
  <c r="F809" i="7"/>
  <c r="H808" i="7"/>
  <c r="G808" i="7"/>
  <c r="F808" i="7"/>
  <c r="H807" i="7"/>
  <c r="G807" i="7"/>
  <c r="F807" i="7"/>
  <c r="H806" i="7"/>
  <c r="G806" i="7"/>
  <c r="F806" i="7"/>
  <c r="H805" i="7"/>
  <c r="G805" i="7"/>
  <c r="F805" i="7"/>
  <c r="H804" i="7"/>
  <c r="G804" i="7"/>
  <c r="F804" i="7"/>
  <c r="H803" i="7"/>
  <c r="G803" i="7"/>
  <c r="F803" i="7"/>
  <c r="H802" i="7"/>
  <c r="G802" i="7"/>
  <c r="F802" i="7"/>
  <c r="H801" i="7"/>
  <c r="G801" i="7"/>
  <c r="F801" i="7"/>
  <c r="H800" i="7"/>
  <c r="G800" i="7"/>
  <c r="F800" i="7"/>
  <c r="H799" i="7"/>
  <c r="G799" i="7"/>
  <c r="F799" i="7"/>
  <c r="H798" i="7"/>
  <c r="G798" i="7"/>
  <c r="F798" i="7"/>
  <c r="H797" i="7"/>
  <c r="G797" i="7"/>
  <c r="F797" i="7"/>
  <c r="H796" i="7"/>
  <c r="G796" i="7"/>
  <c r="F796" i="7"/>
  <c r="H795" i="7"/>
  <c r="G795" i="7"/>
  <c r="F795" i="7"/>
  <c r="H794" i="7"/>
  <c r="G794" i="7"/>
  <c r="F794" i="7"/>
  <c r="H793" i="7"/>
  <c r="G793" i="7"/>
  <c r="F793" i="7"/>
  <c r="H792" i="7"/>
  <c r="G792" i="7"/>
  <c r="F792" i="7"/>
  <c r="H791" i="7"/>
  <c r="G791" i="7"/>
  <c r="F791" i="7"/>
  <c r="H790" i="7"/>
  <c r="G790" i="7"/>
  <c r="F790" i="7"/>
  <c r="H789" i="7"/>
  <c r="G789" i="7"/>
  <c r="F789" i="7"/>
  <c r="H788" i="7"/>
  <c r="G788" i="7"/>
  <c r="F788" i="7"/>
  <c r="H787" i="7"/>
  <c r="G787" i="7"/>
  <c r="F787" i="7"/>
  <c r="H786" i="7"/>
  <c r="G786" i="7"/>
  <c r="F786" i="7"/>
  <c r="H785" i="7"/>
  <c r="G785" i="7"/>
  <c r="F785" i="7"/>
  <c r="H784" i="7"/>
  <c r="G784" i="7"/>
  <c r="F784" i="7"/>
  <c r="H783" i="7"/>
  <c r="G783" i="7"/>
  <c r="F783" i="7"/>
  <c r="H782" i="7"/>
  <c r="G782" i="7"/>
  <c r="F782" i="7"/>
  <c r="H781" i="7"/>
  <c r="G781" i="7"/>
  <c r="F781" i="7"/>
  <c r="H780" i="7"/>
  <c r="G780" i="7"/>
  <c r="F780" i="7"/>
  <c r="H779" i="7"/>
  <c r="G779" i="7"/>
  <c r="F779" i="7"/>
  <c r="H778" i="7"/>
  <c r="G778" i="7"/>
  <c r="F778" i="7"/>
  <c r="H777" i="7"/>
  <c r="G777" i="7"/>
  <c r="F777" i="7"/>
  <c r="H776" i="7"/>
  <c r="G776" i="7"/>
  <c r="F776" i="7"/>
  <c r="H775" i="7"/>
  <c r="G775" i="7"/>
  <c r="F775" i="7"/>
  <c r="H774" i="7"/>
  <c r="G774" i="7"/>
  <c r="F774" i="7"/>
  <c r="H773" i="7"/>
  <c r="G773" i="7"/>
  <c r="F773" i="7"/>
  <c r="H772" i="7"/>
  <c r="G772" i="7"/>
  <c r="F772" i="7"/>
  <c r="H771" i="7"/>
  <c r="G771" i="7"/>
  <c r="F771" i="7"/>
  <c r="H770" i="7"/>
  <c r="G770" i="7"/>
  <c r="F770" i="7"/>
  <c r="H769" i="7"/>
  <c r="G769" i="7"/>
  <c r="F769" i="7"/>
  <c r="H768" i="7"/>
  <c r="G768" i="7"/>
  <c r="F768" i="7"/>
  <c r="H767" i="7"/>
  <c r="G767" i="7"/>
  <c r="F767" i="7"/>
  <c r="H766" i="7"/>
  <c r="G766" i="7"/>
  <c r="F766" i="7"/>
  <c r="H765" i="7"/>
  <c r="G765" i="7"/>
  <c r="F765" i="7"/>
  <c r="H764" i="7"/>
  <c r="G764" i="7"/>
  <c r="F764" i="7"/>
  <c r="H763" i="7"/>
  <c r="G763" i="7"/>
  <c r="F763" i="7"/>
  <c r="H762" i="7"/>
  <c r="G762" i="7"/>
  <c r="F762" i="7"/>
  <c r="H761" i="7"/>
  <c r="G761" i="7"/>
  <c r="F761" i="7"/>
  <c r="H760" i="7"/>
  <c r="G760" i="7"/>
  <c r="F760" i="7"/>
  <c r="H759" i="7"/>
  <c r="G759" i="7"/>
  <c r="F759" i="7"/>
  <c r="H758" i="7"/>
  <c r="G758" i="7"/>
  <c r="F758" i="7"/>
  <c r="H757" i="7"/>
  <c r="G757" i="7"/>
  <c r="F757" i="7"/>
  <c r="H756" i="7"/>
  <c r="G756" i="7"/>
  <c r="F756" i="7"/>
  <c r="H755" i="7"/>
  <c r="G755" i="7"/>
  <c r="F755" i="7"/>
  <c r="H754" i="7"/>
  <c r="G754" i="7"/>
  <c r="F754" i="7"/>
  <c r="H753" i="7"/>
  <c r="G753" i="7"/>
  <c r="F753" i="7"/>
  <c r="H752" i="7"/>
  <c r="G752" i="7"/>
  <c r="F752" i="7"/>
  <c r="H751" i="7"/>
  <c r="G751" i="7"/>
  <c r="F751" i="7"/>
  <c r="H750" i="7"/>
  <c r="G750" i="7"/>
  <c r="F750" i="7"/>
  <c r="H749" i="7"/>
  <c r="G749" i="7"/>
  <c r="F749" i="7"/>
  <c r="H748" i="7"/>
  <c r="G748" i="7"/>
  <c r="F748" i="7"/>
  <c r="H747" i="7"/>
  <c r="G747" i="7"/>
  <c r="F747" i="7"/>
  <c r="H746" i="7"/>
  <c r="G746" i="7"/>
  <c r="F746" i="7"/>
  <c r="H745" i="7"/>
  <c r="G745" i="7"/>
  <c r="F745" i="7"/>
  <c r="H744" i="7"/>
  <c r="G744" i="7"/>
  <c r="F744" i="7"/>
  <c r="H743" i="7"/>
  <c r="G743" i="7"/>
  <c r="F743" i="7"/>
  <c r="H742" i="7"/>
  <c r="G742" i="7"/>
  <c r="F742" i="7"/>
  <c r="H741" i="7"/>
  <c r="G741" i="7"/>
  <c r="F741" i="7"/>
  <c r="H740" i="7"/>
  <c r="G740" i="7"/>
  <c r="F740" i="7"/>
  <c r="H739" i="7"/>
  <c r="G739" i="7"/>
  <c r="F739" i="7"/>
  <c r="H738" i="7"/>
  <c r="G738" i="7"/>
  <c r="F738" i="7"/>
  <c r="H737" i="7"/>
  <c r="G737" i="7"/>
  <c r="F737" i="7"/>
  <c r="H736" i="7"/>
  <c r="G736" i="7"/>
  <c r="F736" i="7"/>
  <c r="H735" i="7"/>
  <c r="G735" i="7"/>
  <c r="F735" i="7"/>
  <c r="H734" i="7"/>
  <c r="G734" i="7"/>
  <c r="F734" i="7"/>
  <c r="H733" i="7"/>
  <c r="G733" i="7"/>
  <c r="F733" i="7"/>
  <c r="H732" i="7"/>
  <c r="G732" i="7"/>
  <c r="F732" i="7"/>
  <c r="H731" i="7"/>
  <c r="G731" i="7"/>
  <c r="F731" i="7"/>
  <c r="H730" i="7"/>
  <c r="G730" i="7"/>
  <c r="F730" i="7"/>
  <c r="H729" i="7"/>
  <c r="G729" i="7"/>
  <c r="F729" i="7"/>
  <c r="H728" i="7"/>
  <c r="G728" i="7"/>
  <c r="F728" i="7"/>
  <c r="H727" i="7"/>
  <c r="G727" i="7"/>
  <c r="F727" i="7"/>
  <c r="H726" i="7"/>
  <c r="G726" i="7"/>
  <c r="F726" i="7"/>
  <c r="H725" i="7"/>
  <c r="G725" i="7"/>
  <c r="F725" i="7"/>
  <c r="H724" i="7"/>
  <c r="G724" i="7"/>
  <c r="F724" i="7"/>
  <c r="H723" i="7"/>
  <c r="G723" i="7"/>
  <c r="F723" i="7"/>
  <c r="H722" i="7"/>
  <c r="G722" i="7"/>
  <c r="F722" i="7"/>
  <c r="H721" i="7"/>
  <c r="G721" i="7"/>
  <c r="F721" i="7"/>
  <c r="H720" i="7"/>
  <c r="G720" i="7"/>
  <c r="F720" i="7"/>
  <c r="H719" i="7"/>
  <c r="G719" i="7"/>
  <c r="F719" i="7"/>
  <c r="H718" i="7"/>
  <c r="G718" i="7"/>
  <c r="F718" i="7"/>
  <c r="H717" i="7"/>
  <c r="G717" i="7"/>
  <c r="F717" i="7"/>
  <c r="H716" i="7"/>
  <c r="G716" i="7"/>
  <c r="F716" i="7"/>
  <c r="H715" i="7"/>
  <c r="G715" i="7"/>
  <c r="F715" i="7"/>
  <c r="H714" i="7"/>
  <c r="G714" i="7"/>
  <c r="F714" i="7"/>
  <c r="H713" i="7"/>
  <c r="G713" i="7"/>
  <c r="F713" i="7"/>
  <c r="H712" i="7"/>
  <c r="G712" i="7"/>
  <c r="F712" i="7"/>
  <c r="H711" i="7"/>
  <c r="G711" i="7"/>
  <c r="F711" i="7"/>
  <c r="H710" i="7"/>
  <c r="G710" i="7"/>
  <c r="F710" i="7"/>
  <c r="H709" i="7"/>
  <c r="G709" i="7"/>
  <c r="F709" i="7"/>
  <c r="H708" i="7"/>
  <c r="G708" i="7"/>
  <c r="F708" i="7"/>
  <c r="H707" i="7"/>
  <c r="G707" i="7"/>
  <c r="F707" i="7"/>
  <c r="H706" i="7"/>
  <c r="G706" i="7"/>
  <c r="F706" i="7"/>
  <c r="H705" i="7"/>
  <c r="G705" i="7"/>
  <c r="F705" i="7"/>
  <c r="H704" i="7"/>
  <c r="G704" i="7"/>
  <c r="F704" i="7"/>
  <c r="H703" i="7"/>
  <c r="G703" i="7"/>
  <c r="F703" i="7"/>
  <c r="H702" i="7"/>
  <c r="G702" i="7"/>
  <c r="F702" i="7"/>
  <c r="H701" i="7"/>
  <c r="G701" i="7"/>
  <c r="F701" i="7"/>
  <c r="H700" i="7"/>
  <c r="G700" i="7"/>
  <c r="F700" i="7"/>
  <c r="H699" i="7"/>
  <c r="G699" i="7"/>
  <c r="F699" i="7"/>
  <c r="H698" i="7"/>
  <c r="G698" i="7"/>
  <c r="F698" i="7"/>
  <c r="H697" i="7"/>
  <c r="G697" i="7"/>
  <c r="F697" i="7"/>
  <c r="H696" i="7"/>
  <c r="G696" i="7"/>
  <c r="F696" i="7"/>
  <c r="H695" i="7"/>
  <c r="G695" i="7"/>
  <c r="F695" i="7"/>
  <c r="H694" i="7"/>
  <c r="G694" i="7"/>
  <c r="F694" i="7"/>
  <c r="H693" i="7"/>
  <c r="G693" i="7"/>
  <c r="F693" i="7"/>
  <c r="H692" i="7"/>
  <c r="G692" i="7"/>
  <c r="F692" i="7"/>
  <c r="H691" i="7"/>
  <c r="G691" i="7"/>
  <c r="F691" i="7"/>
  <c r="H690" i="7"/>
  <c r="G690" i="7"/>
  <c r="F690" i="7"/>
  <c r="H689" i="7"/>
  <c r="G689" i="7"/>
  <c r="F689" i="7"/>
  <c r="H688" i="7"/>
  <c r="G688" i="7"/>
  <c r="F688" i="7"/>
  <c r="H687" i="7"/>
  <c r="G687" i="7"/>
  <c r="F687" i="7"/>
  <c r="H686" i="7"/>
  <c r="G686" i="7"/>
  <c r="F686" i="7"/>
  <c r="H685" i="7"/>
  <c r="G685" i="7"/>
  <c r="F685" i="7"/>
  <c r="H684" i="7"/>
  <c r="G684" i="7"/>
  <c r="F684" i="7"/>
  <c r="H683" i="7"/>
  <c r="G683" i="7"/>
  <c r="F683" i="7"/>
  <c r="H682" i="7"/>
  <c r="G682" i="7"/>
  <c r="F682" i="7"/>
  <c r="H681" i="7"/>
  <c r="G681" i="7"/>
  <c r="F681" i="7"/>
  <c r="H680" i="7"/>
  <c r="G680" i="7"/>
  <c r="F680" i="7"/>
  <c r="H679" i="7"/>
  <c r="G679" i="7"/>
  <c r="F679" i="7"/>
  <c r="H678" i="7"/>
  <c r="G678" i="7"/>
  <c r="F678" i="7"/>
  <c r="H677" i="7"/>
  <c r="G677" i="7"/>
  <c r="F677" i="7"/>
  <c r="H676" i="7"/>
  <c r="G676" i="7"/>
  <c r="F676" i="7"/>
  <c r="H675" i="7"/>
  <c r="G675" i="7"/>
  <c r="F675" i="7"/>
  <c r="H674" i="7"/>
  <c r="G674" i="7"/>
  <c r="F674" i="7"/>
  <c r="H673" i="7"/>
  <c r="G673" i="7"/>
  <c r="F673" i="7"/>
  <c r="H672" i="7"/>
  <c r="G672" i="7"/>
  <c r="F672" i="7"/>
  <c r="H671" i="7"/>
  <c r="G671" i="7"/>
  <c r="F671" i="7"/>
  <c r="H670" i="7"/>
  <c r="G670" i="7"/>
  <c r="F670" i="7"/>
  <c r="H669" i="7"/>
  <c r="G669" i="7"/>
  <c r="F669" i="7"/>
  <c r="H668" i="7"/>
  <c r="G668" i="7"/>
  <c r="F668" i="7"/>
  <c r="H667" i="7"/>
  <c r="G667" i="7"/>
  <c r="F667" i="7"/>
  <c r="H666" i="7"/>
  <c r="G666" i="7"/>
  <c r="F666" i="7"/>
  <c r="H665" i="7"/>
  <c r="G665" i="7"/>
  <c r="F665" i="7"/>
  <c r="H664" i="7"/>
  <c r="G664" i="7"/>
  <c r="F664" i="7"/>
  <c r="H663" i="7"/>
  <c r="G663" i="7"/>
  <c r="F663" i="7"/>
  <c r="H662" i="7"/>
  <c r="G662" i="7"/>
  <c r="F662" i="7"/>
  <c r="H661" i="7"/>
  <c r="G661" i="7"/>
  <c r="F661" i="7"/>
  <c r="H660" i="7"/>
  <c r="G660" i="7"/>
  <c r="F660" i="7"/>
  <c r="H659" i="7"/>
  <c r="G659" i="7"/>
  <c r="F659" i="7"/>
  <c r="H658" i="7"/>
  <c r="G658" i="7"/>
  <c r="F658" i="7"/>
  <c r="H657" i="7"/>
  <c r="G657" i="7"/>
  <c r="F657" i="7"/>
  <c r="H656" i="7"/>
  <c r="G656" i="7"/>
  <c r="F656" i="7"/>
  <c r="H655" i="7"/>
  <c r="G655" i="7"/>
  <c r="F655" i="7"/>
  <c r="H654" i="7"/>
  <c r="G654" i="7"/>
  <c r="F654" i="7"/>
  <c r="H653" i="7"/>
  <c r="G653" i="7"/>
  <c r="F653" i="7"/>
  <c r="H652" i="7"/>
  <c r="G652" i="7"/>
  <c r="F652" i="7"/>
  <c r="H651" i="7"/>
  <c r="G651" i="7"/>
  <c r="F651" i="7"/>
  <c r="H650" i="7"/>
  <c r="G650" i="7"/>
  <c r="F650" i="7"/>
  <c r="H649" i="7"/>
  <c r="G649" i="7"/>
  <c r="F649" i="7"/>
  <c r="H648" i="7"/>
  <c r="G648" i="7"/>
  <c r="F648" i="7"/>
  <c r="H647" i="7"/>
  <c r="G647" i="7"/>
  <c r="F647" i="7"/>
  <c r="H646" i="7"/>
  <c r="G646" i="7"/>
  <c r="F646" i="7"/>
  <c r="H645" i="7"/>
  <c r="G645" i="7"/>
  <c r="F645" i="7"/>
  <c r="H644" i="7"/>
  <c r="G644" i="7"/>
  <c r="F644" i="7"/>
  <c r="H643" i="7"/>
  <c r="G643" i="7"/>
  <c r="F643" i="7"/>
  <c r="H642" i="7"/>
  <c r="G642" i="7"/>
  <c r="F642" i="7"/>
  <c r="H641" i="7"/>
  <c r="G641" i="7"/>
  <c r="F641" i="7"/>
  <c r="H640" i="7"/>
  <c r="G640" i="7"/>
  <c r="F640" i="7"/>
  <c r="H639" i="7"/>
  <c r="G639" i="7"/>
  <c r="F639" i="7"/>
  <c r="H638" i="7"/>
  <c r="G638" i="7"/>
  <c r="F638" i="7"/>
  <c r="H637" i="7"/>
  <c r="G637" i="7"/>
  <c r="F637" i="7"/>
  <c r="H636" i="7"/>
  <c r="G636" i="7"/>
  <c r="F636" i="7"/>
  <c r="H635" i="7"/>
  <c r="G635" i="7"/>
  <c r="F635" i="7"/>
  <c r="H634" i="7"/>
  <c r="G634" i="7"/>
  <c r="F634" i="7"/>
  <c r="H633" i="7"/>
  <c r="G633" i="7"/>
  <c r="F633" i="7"/>
  <c r="H632" i="7"/>
  <c r="G632" i="7"/>
  <c r="F632" i="7"/>
  <c r="H631" i="7"/>
  <c r="G631" i="7"/>
  <c r="F631" i="7"/>
  <c r="H630" i="7"/>
  <c r="G630" i="7"/>
  <c r="F630" i="7"/>
  <c r="H629" i="7"/>
  <c r="G629" i="7"/>
  <c r="F629" i="7"/>
  <c r="H628" i="7"/>
  <c r="G628" i="7"/>
  <c r="F628" i="7"/>
  <c r="H627" i="7"/>
  <c r="G627" i="7"/>
  <c r="F627" i="7"/>
  <c r="H626" i="7"/>
  <c r="G626" i="7"/>
  <c r="F626" i="7"/>
  <c r="H625" i="7"/>
  <c r="G625" i="7"/>
  <c r="F625" i="7"/>
  <c r="H624" i="7"/>
  <c r="G624" i="7"/>
  <c r="F624" i="7"/>
  <c r="H623" i="7"/>
  <c r="G623" i="7"/>
  <c r="F623" i="7"/>
  <c r="H622" i="7"/>
  <c r="G622" i="7"/>
  <c r="F622" i="7"/>
  <c r="H621" i="7"/>
  <c r="G621" i="7"/>
  <c r="F621" i="7"/>
  <c r="H620" i="7"/>
  <c r="G620" i="7"/>
  <c r="F620" i="7"/>
  <c r="H619" i="7"/>
  <c r="G619" i="7"/>
  <c r="F619" i="7"/>
  <c r="H618" i="7"/>
  <c r="G618" i="7"/>
  <c r="F618" i="7"/>
  <c r="H617" i="7"/>
  <c r="G617" i="7"/>
  <c r="F617" i="7"/>
  <c r="H616" i="7"/>
  <c r="G616" i="7"/>
  <c r="F616" i="7"/>
  <c r="H615" i="7"/>
  <c r="G615" i="7"/>
  <c r="F615" i="7"/>
  <c r="H614" i="7"/>
  <c r="G614" i="7"/>
  <c r="F614" i="7"/>
  <c r="H613" i="7"/>
  <c r="G613" i="7"/>
  <c r="F613" i="7"/>
  <c r="H612" i="7"/>
  <c r="G612" i="7"/>
  <c r="F612" i="7"/>
  <c r="H611" i="7"/>
  <c r="G611" i="7"/>
  <c r="F611" i="7"/>
  <c r="H610" i="7"/>
  <c r="G610" i="7"/>
  <c r="F610" i="7"/>
  <c r="H609" i="7"/>
  <c r="G609" i="7"/>
  <c r="F609" i="7"/>
  <c r="H608" i="7"/>
  <c r="G608" i="7"/>
  <c r="F608" i="7"/>
  <c r="H607" i="7"/>
  <c r="G607" i="7"/>
  <c r="F607" i="7"/>
  <c r="H606" i="7"/>
  <c r="G606" i="7"/>
  <c r="F606" i="7"/>
  <c r="H605" i="7"/>
  <c r="G605" i="7"/>
  <c r="F605" i="7"/>
  <c r="H604" i="7"/>
  <c r="G604" i="7"/>
  <c r="F604" i="7"/>
  <c r="H603" i="7"/>
  <c r="G603" i="7"/>
  <c r="F603" i="7"/>
  <c r="H602" i="7"/>
  <c r="G602" i="7"/>
  <c r="F602" i="7"/>
  <c r="H601" i="7"/>
  <c r="G601" i="7"/>
  <c r="F601" i="7"/>
  <c r="H600" i="7"/>
  <c r="G600" i="7"/>
  <c r="F600" i="7"/>
  <c r="H599" i="7"/>
  <c r="G599" i="7"/>
  <c r="F599" i="7"/>
  <c r="H598" i="7"/>
  <c r="G598" i="7"/>
  <c r="F598" i="7"/>
  <c r="H597" i="7"/>
  <c r="G597" i="7"/>
  <c r="F597" i="7"/>
  <c r="H596" i="7"/>
  <c r="G596" i="7"/>
  <c r="F596" i="7"/>
  <c r="H595" i="7"/>
  <c r="G595" i="7"/>
  <c r="F595" i="7"/>
  <c r="H594" i="7"/>
  <c r="G594" i="7"/>
  <c r="F594" i="7"/>
  <c r="H593" i="7"/>
  <c r="G593" i="7"/>
  <c r="F593" i="7"/>
  <c r="H592" i="7"/>
  <c r="G592" i="7"/>
  <c r="F592" i="7"/>
  <c r="H591" i="7"/>
  <c r="G591" i="7"/>
  <c r="F591" i="7"/>
  <c r="H590" i="7"/>
  <c r="G590" i="7"/>
  <c r="F590" i="7"/>
  <c r="H589" i="7"/>
  <c r="G589" i="7"/>
  <c r="F589" i="7"/>
  <c r="H588" i="7"/>
  <c r="G588" i="7"/>
  <c r="F588" i="7"/>
  <c r="H587" i="7"/>
  <c r="G587" i="7"/>
  <c r="F587" i="7"/>
  <c r="H586" i="7"/>
  <c r="G586" i="7"/>
  <c r="F586" i="7"/>
  <c r="H585" i="7"/>
  <c r="G585" i="7"/>
  <c r="F585" i="7"/>
  <c r="H584" i="7"/>
  <c r="G584" i="7"/>
  <c r="F584" i="7"/>
  <c r="H583" i="7"/>
  <c r="G583" i="7"/>
  <c r="F583" i="7"/>
  <c r="H582" i="7"/>
  <c r="G582" i="7"/>
  <c r="F582" i="7"/>
  <c r="H581" i="7"/>
  <c r="G581" i="7"/>
  <c r="F581" i="7"/>
  <c r="H580" i="7"/>
  <c r="G580" i="7"/>
  <c r="F580" i="7"/>
  <c r="H579" i="7"/>
  <c r="G579" i="7"/>
  <c r="F579" i="7"/>
  <c r="H578" i="7"/>
  <c r="G578" i="7"/>
  <c r="F578" i="7"/>
  <c r="H577" i="7"/>
  <c r="G577" i="7"/>
  <c r="F577" i="7"/>
  <c r="H576" i="7"/>
  <c r="G576" i="7"/>
  <c r="F576" i="7"/>
  <c r="H575" i="7"/>
  <c r="G575" i="7"/>
  <c r="F575" i="7"/>
  <c r="H574" i="7"/>
  <c r="G574" i="7"/>
  <c r="F574" i="7"/>
  <c r="H573" i="7"/>
  <c r="G573" i="7"/>
  <c r="F573" i="7"/>
  <c r="H572" i="7"/>
  <c r="G572" i="7"/>
  <c r="F572" i="7"/>
  <c r="H571" i="7"/>
  <c r="G571" i="7"/>
  <c r="F571" i="7"/>
  <c r="H570" i="7"/>
  <c r="G570" i="7"/>
  <c r="F570" i="7"/>
  <c r="H569" i="7"/>
  <c r="G569" i="7"/>
  <c r="F569" i="7"/>
  <c r="H568" i="7"/>
  <c r="G568" i="7"/>
  <c r="F568" i="7"/>
  <c r="H567" i="7"/>
  <c r="G567" i="7"/>
  <c r="F567" i="7"/>
  <c r="H566" i="7"/>
  <c r="G566" i="7"/>
  <c r="F566" i="7"/>
  <c r="H565" i="7"/>
  <c r="G565" i="7"/>
  <c r="F565" i="7"/>
  <c r="H564" i="7"/>
  <c r="G564" i="7"/>
  <c r="F564" i="7"/>
  <c r="H563" i="7"/>
  <c r="G563" i="7"/>
  <c r="F563" i="7"/>
  <c r="H562" i="7"/>
  <c r="G562" i="7"/>
  <c r="F562" i="7"/>
  <c r="H561" i="7"/>
  <c r="G561" i="7"/>
  <c r="F561" i="7"/>
  <c r="H560" i="7"/>
  <c r="G560" i="7"/>
  <c r="F560" i="7"/>
  <c r="H559" i="7"/>
  <c r="G559" i="7"/>
  <c r="F559" i="7"/>
  <c r="H558" i="7"/>
  <c r="G558" i="7"/>
  <c r="F558" i="7"/>
  <c r="H557" i="7"/>
  <c r="G557" i="7"/>
  <c r="F557" i="7"/>
  <c r="H556" i="7"/>
  <c r="G556" i="7"/>
  <c r="F556" i="7"/>
  <c r="H555" i="7"/>
  <c r="G555" i="7"/>
  <c r="F555" i="7"/>
  <c r="H554" i="7"/>
  <c r="G554" i="7"/>
  <c r="F554" i="7"/>
  <c r="H553" i="7"/>
  <c r="G553" i="7"/>
  <c r="F553" i="7"/>
  <c r="H552" i="7"/>
  <c r="G552" i="7"/>
  <c r="F552" i="7"/>
  <c r="H551" i="7"/>
  <c r="G551" i="7"/>
  <c r="F551" i="7"/>
  <c r="H550" i="7"/>
  <c r="G550" i="7"/>
  <c r="F550" i="7"/>
  <c r="H549" i="7"/>
  <c r="G549" i="7"/>
  <c r="F549" i="7"/>
  <c r="H548" i="7"/>
  <c r="G548" i="7"/>
  <c r="F548" i="7"/>
  <c r="H547" i="7"/>
  <c r="G547" i="7"/>
  <c r="F547" i="7"/>
  <c r="H546" i="7"/>
  <c r="G546" i="7"/>
  <c r="F546" i="7"/>
  <c r="H545" i="7"/>
  <c r="G545" i="7"/>
  <c r="F545" i="7"/>
  <c r="H544" i="7"/>
  <c r="G544" i="7"/>
  <c r="F544" i="7"/>
  <c r="H543" i="7"/>
  <c r="G543" i="7"/>
  <c r="F543" i="7"/>
  <c r="H542" i="7"/>
  <c r="G542" i="7"/>
  <c r="F542" i="7"/>
  <c r="H541" i="7"/>
  <c r="G541" i="7"/>
  <c r="F541" i="7"/>
  <c r="H540" i="7"/>
  <c r="G540" i="7"/>
  <c r="F540" i="7"/>
  <c r="H539" i="7"/>
  <c r="G539" i="7"/>
  <c r="F539" i="7"/>
  <c r="H538" i="7"/>
  <c r="G538" i="7"/>
  <c r="F538" i="7"/>
  <c r="H537" i="7"/>
  <c r="G537" i="7"/>
  <c r="F537" i="7"/>
  <c r="H536" i="7"/>
  <c r="G536" i="7"/>
  <c r="F536" i="7"/>
  <c r="H535" i="7"/>
  <c r="G535" i="7"/>
  <c r="F535" i="7"/>
  <c r="H534" i="7"/>
  <c r="G534" i="7"/>
  <c r="F534" i="7"/>
  <c r="H533" i="7"/>
  <c r="G533" i="7"/>
  <c r="F533" i="7"/>
  <c r="H532" i="7"/>
  <c r="G532" i="7"/>
  <c r="F532" i="7"/>
  <c r="H531" i="7"/>
  <c r="G531" i="7"/>
  <c r="F531" i="7"/>
  <c r="H530" i="7"/>
  <c r="G530" i="7"/>
  <c r="F530" i="7"/>
  <c r="H529" i="7"/>
  <c r="G529" i="7"/>
  <c r="F529" i="7"/>
  <c r="H528" i="7"/>
  <c r="G528" i="7"/>
  <c r="F528" i="7"/>
  <c r="H527" i="7"/>
  <c r="G527" i="7"/>
  <c r="F527" i="7"/>
  <c r="H526" i="7"/>
  <c r="G526" i="7"/>
  <c r="F526" i="7"/>
  <c r="H525" i="7"/>
  <c r="G525" i="7"/>
  <c r="F525" i="7"/>
  <c r="H524" i="7"/>
  <c r="G524" i="7"/>
  <c r="F524" i="7"/>
  <c r="H523" i="7"/>
  <c r="G523" i="7"/>
  <c r="F523" i="7"/>
  <c r="H522" i="7"/>
  <c r="G522" i="7"/>
  <c r="F522" i="7"/>
  <c r="H521" i="7"/>
  <c r="G521" i="7"/>
  <c r="F521" i="7"/>
  <c r="H520" i="7"/>
  <c r="G520" i="7"/>
  <c r="F520" i="7"/>
  <c r="H519" i="7"/>
  <c r="G519" i="7"/>
  <c r="F519" i="7"/>
  <c r="H518" i="7"/>
  <c r="G518" i="7"/>
  <c r="F518" i="7"/>
  <c r="H517" i="7"/>
  <c r="G517" i="7"/>
  <c r="F517" i="7"/>
  <c r="H516" i="7"/>
  <c r="G516" i="7"/>
  <c r="F516" i="7"/>
  <c r="H515" i="7"/>
  <c r="G515" i="7"/>
  <c r="F515" i="7"/>
  <c r="H514" i="7"/>
  <c r="G514" i="7"/>
  <c r="F514" i="7"/>
  <c r="H513" i="7"/>
  <c r="G513" i="7"/>
  <c r="F513" i="7"/>
  <c r="H512" i="7"/>
  <c r="G512" i="7"/>
  <c r="F512" i="7"/>
  <c r="H511" i="7"/>
  <c r="G511" i="7"/>
  <c r="F511" i="7"/>
  <c r="H510" i="7"/>
  <c r="G510" i="7"/>
  <c r="F510" i="7"/>
  <c r="H509" i="7"/>
  <c r="G509" i="7"/>
  <c r="F509" i="7"/>
  <c r="H508" i="7"/>
  <c r="G508" i="7"/>
  <c r="F508" i="7"/>
  <c r="H507" i="7"/>
  <c r="G507" i="7"/>
  <c r="F507" i="7"/>
  <c r="H506" i="7"/>
  <c r="G506" i="7"/>
  <c r="F506" i="7"/>
  <c r="H505" i="7"/>
  <c r="G505" i="7"/>
  <c r="F505" i="7"/>
  <c r="H504" i="7"/>
  <c r="G504" i="7"/>
  <c r="F504" i="7"/>
  <c r="H503" i="7"/>
  <c r="G503" i="7"/>
  <c r="F503" i="7"/>
  <c r="H502" i="7"/>
  <c r="G502" i="7"/>
  <c r="F502" i="7"/>
  <c r="H501" i="7"/>
  <c r="G501" i="7"/>
  <c r="F501" i="7"/>
  <c r="H500" i="7"/>
  <c r="G500" i="7"/>
  <c r="F500" i="7"/>
  <c r="H499" i="7"/>
  <c r="G499" i="7"/>
  <c r="F499" i="7"/>
  <c r="H498" i="7"/>
  <c r="G498" i="7"/>
  <c r="F498" i="7"/>
  <c r="H497" i="7"/>
  <c r="G497" i="7"/>
  <c r="F497" i="7"/>
  <c r="H496" i="7"/>
  <c r="G496" i="7"/>
  <c r="F496" i="7"/>
  <c r="H495" i="7"/>
  <c r="G495" i="7"/>
  <c r="F495" i="7"/>
  <c r="H494" i="7"/>
  <c r="G494" i="7"/>
  <c r="F494" i="7"/>
  <c r="H493" i="7"/>
  <c r="G493" i="7"/>
  <c r="F493" i="7"/>
  <c r="H492" i="7"/>
  <c r="G492" i="7"/>
  <c r="F492" i="7"/>
  <c r="H491" i="7"/>
  <c r="G491" i="7"/>
  <c r="F491" i="7"/>
  <c r="H490" i="7"/>
  <c r="G490" i="7"/>
  <c r="F490" i="7"/>
  <c r="H489" i="7"/>
  <c r="G489" i="7"/>
  <c r="F489" i="7"/>
  <c r="H488" i="7"/>
  <c r="G488" i="7"/>
  <c r="F488" i="7"/>
  <c r="H487" i="7"/>
  <c r="G487" i="7"/>
  <c r="F487" i="7"/>
  <c r="H486" i="7"/>
  <c r="G486" i="7"/>
  <c r="F486" i="7"/>
  <c r="H485" i="7"/>
  <c r="G485" i="7"/>
  <c r="F485" i="7"/>
  <c r="H484" i="7"/>
  <c r="G484" i="7"/>
  <c r="F484" i="7"/>
  <c r="H483" i="7"/>
  <c r="G483" i="7"/>
  <c r="F483" i="7"/>
  <c r="H482" i="7"/>
  <c r="G482" i="7"/>
  <c r="F482" i="7"/>
  <c r="H481" i="7"/>
  <c r="G481" i="7"/>
  <c r="F481" i="7"/>
  <c r="H480" i="7"/>
  <c r="G480" i="7"/>
  <c r="F480" i="7"/>
  <c r="H479" i="7"/>
  <c r="G479" i="7"/>
  <c r="F479" i="7"/>
  <c r="H478" i="7"/>
  <c r="G478" i="7"/>
  <c r="F478" i="7"/>
  <c r="H477" i="7"/>
  <c r="G477" i="7"/>
  <c r="F477" i="7"/>
  <c r="H476" i="7"/>
  <c r="G476" i="7"/>
  <c r="F476" i="7"/>
  <c r="H475" i="7"/>
  <c r="G475" i="7"/>
  <c r="F475" i="7"/>
  <c r="H474" i="7"/>
  <c r="G474" i="7"/>
  <c r="F474" i="7"/>
  <c r="H473" i="7"/>
  <c r="G473" i="7"/>
  <c r="F473" i="7"/>
  <c r="H472" i="7"/>
  <c r="G472" i="7"/>
  <c r="F472" i="7"/>
  <c r="H471" i="7"/>
  <c r="G471" i="7"/>
  <c r="F471" i="7"/>
  <c r="H470" i="7"/>
  <c r="G470" i="7"/>
  <c r="F470" i="7"/>
  <c r="H469" i="7"/>
  <c r="G469" i="7"/>
  <c r="F469" i="7"/>
  <c r="H468" i="7"/>
  <c r="G468" i="7"/>
  <c r="F468" i="7"/>
  <c r="H467" i="7"/>
  <c r="G467" i="7"/>
  <c r="F467" i="7"/>
  <c r="H466" i="7"/>
  <c r="G466" i="7"/>
  <c r="F466" i="7"/>
  <c r="H465" i="7"/>
  <c r="G465" i="7"/>
  <c r="F465" i="7"/>
  <c r="H464" i="7"/>
  <c r="G464" i="7"/>
  <c r="F464" i="7"/>
  <c r="H463" i="7"/>
  <c r="G463" i="7"/>
  <c r="F463" i="7"/>
  <c r="H462" i="7"/>
  <c r="G462" i="7"/>
  <c r="F462" i="7"/>
  <c r="H461" i="7"/>
  <c r="G461" i="7"/>
  <c r="F461" i="7"/>
  <c r="H460" i="7"/>
  <c r="G460" i="7"/>
  <c r="F460" i="7"/>
  <c r="H459" i="7"/>
  <c r="G459" i="7"/>
  <c r="F459" i="7"/>
  <c r="H458" i="7"/>
  <c r="G458" i="7"/>
  <c r="F458" i="7"/>
  <c r="H457" i="7"/>
  <c r="G457" i="7"/>
  <c r="F457" i="7"/>
  <c r="H456" i="7"/>
  <c r="G456" i="7"/>
  <c r="F456" i="7"/>
  <c r="H455" i="7"/>
  <c r="G455" i="7"/>
  <c r="F455" i="7"/>
  <c r="H454" i="7"/>
  <c r="G454" i="7"/>
  <c r="F454" i="7"/>
  <c r="H453" i="7"/>
  <c r="G453" i="7"/>
  <c r="F453" i="7"/>
  <c r="H452" i="7"/>
  <c r="G452" i="7"/>
  <c r="F452" i="7"/>
  <c r="H451" i="7"/>
  <c r="G451" i="7"/>
  <c r="F451" i="7"/>
  <c r="H450" i="7"/>
  <c r="G450" i="7"/>
  <c r="F450" i="7"/>
  <c r="H449" i="7"/>
  <c r="G449" i="7"/>
  <c r="F449" i="7"/>
  <c r="H448" i="7"/>
  <c r="G448" i="7"/>
  <c r="F448" i="7"/>
  <c r="H447" i="7"/>
  <c r="G447" i="7"/>
  <c r="F447" i="7"/>
  <c r="H446" i="7"/>
  <c r="G446" i="7"/>
  <c r="F446" i="7"/>
  <c r="H445" i="7"/>
  <c r="G445" i="7"/>
  <c r="F445" i="7"/>
  <c r="H444" i="7"/>
  <c r="G444" i="7"/>
  <c r="F444" i="7"/>
  <c r="H443" i="7"/>
  <c r="G443" i="7"/>
  <c r="F443" i="7"/>
  <c r="H442" i="7"/>
  <c r="G442" i="7"/>
  <c r="F442" i="7"/>
  <c r="H441" i="7"/>
  <c r="G441" i="7"/>
  <c r="F441" i="7"/>
  <c r="H440" i="7"/>
  <c r="G440" i="7"/>
  <c r="F440" i="7"/>
  <c r="H439" i="7"/>
  <c r="G439" i="7"/>
  <c r="F439" i="7"/>
  <c r="H438" i="7"/>
  <c r="G438" i="7"/>
  <c r="F438" i="7"/>
  <c r="H437" i="7"/>
  <c r="G437" i="7"/>
  <c r="F437" i="7"/>
  <c r="H436" i="7"/>
  <c r="G436" i="7"/>
  <c r="F436" i="7"/>
  <c r="H435" i="7"/>
  <c r="G435" i="7"/>
  <c r="F435" i="7"/>
  <c r="H434" i="7"/>
  <c r="G434" i="7"/>
  <c r="F434" i="7"/>
  <c r="H433" i="7"/>
  <c r="G433" i="7"/>
  <c r="F433" i="7"/>
  <c r="H432" i="7"/>
  <c r="G432" i="7"/>
  <c r="F432" i="7"/>
  <c r="H431" i="7"/>
  <c r="G431" i="7"/>
  <c r="F431" i="7"/>
  <c r="H430" i="7"/>
  <c r="G430" i="7"/>
  <c r="F430" i="7"/>
  <c r="H429" i="7"/>
  <c r="G429" i="7"/>
  <c r="F429" i="7"/>
  <c r="H428" i="7"/>
  <c r="G428" i="7"/>
  <c r="F428" i="7"/>
  <c r="H427" i="7"/>
  <c r="G427" i="7"/>
  <c r="F427" i="7"/>
  <c r="H426" i="7"/>
  <c r="G426" i="7"/>
  <c r="F426" i="7"/>
  <c r="H425" i="7"/>
  <c r="G425" i="7"/>
  <c r="F425" i="7"/>
  <c r="H424" i="7"/>
  <c r="G424" i="7"/>
  <c r="F424" i="7"/>
  <c r="H423" i="7"/>
  <c r="G423" i="7"/>
  <c r="F423" i="7"/>
  <c r="H422" i="7"/>
  <c r="G422" i="7"/>
  <c r="F422" i="7"/>
  <c r="H421" i="7"/>
  <c r="G421" i="7"/>
  <c r="F421" i="7"/>
  <c r="H420" i="7"/>
  <c r="G420" i="7"/>
  <c r="F420" i="7"/>
  <c r="H419" i="7"/>
  <c r="G419" i="7"/>
  <c r="F419" i="7"/>
  <c r="H418" i="7"/>
  <c r="G418" i="7"/>
  <c r="F418" i="7"/>
  <c r="H417" i="7"/>
  <c r="G417" i="7"/>
  <c r="F417" i="7"/>
  <c r="H416" i="7"/>
  <c r="G416" i="7"/>
  <c r="F416" i="7"/>
  <c r="H415" i="7"/>
  <c r="G415" i="7"/>
  <c r="F415" i="7"/>
  <c r="H414" i="7"/>
  <c r="G414" i="7"/>
  <c r="F414" i="7"/>
  <c r="H413" i="7"/>
  <c r="G413" i="7"/>
  <c r="F413" i="7"/>
  <c r="H412" i="7"/>
  <c r="G412" i="7"/>
  <c r="F412" i="7"/>
  <c r="H411" i="7"/>
  <c r="G411" i="7"/>
  <c r="F411" i="7"/>
  <c r="H410" i="7"/>
  <c r="G410" i="7"/>
  <c r="F410" i="7"/>
  <c r="H409" i="7"/>
  <c r="G409" i="7"/>
  <c r="F409" i="7"/>
  <c r="H408" i="7"/>
  <c r="G408" i="7"/>
  <c r="F408" i="7"/>
  <c r="H407" i="7"/>
  <c r="G407" i="7"/>
  <c r="F407" i="7"/>
  <c r="H406" i="7"/>
  <c r="G406" i="7"/>
  <c r="F406" i="7"/>
  <c r="H405" i="7"/>
  <c r="G405" i="7"/>
  <c r="F405" i="7"/>
  <c r="H404" i="7"/>
  <c r="G404" i="7"/>
  <c r="F404" i="7"/>
  <c r="H403" i="7"/>
  <c r="G403" i="7"/>
  <c r="F403" i="7"/>
  <c r="H402" i="7"/>
  <c r="G402" i="7"/>
  <c r="F402" i="7"/>
  <c r="H401" i="7"/>
  <c r="G401" i="7"/>
  <c r="F401" i="7"/>
  <c r="H400" i="7"/>
  <c r="G400" i="7"/>
  <c r="F400" i="7"/>
  <c r="H399" i="7"/>
  <c r="G399" i="7"/>
  <c r="F399" i="7"/>
  <c r="H398" i="7"/>
  <c r="G398" i="7"/>
  <c r="F398" i="7"/>
  <c r="H397" i="7"/>
  <c r="G397" i="7"/>
  <c r="F397" i="7"/>
  <c r="H396" i="7"/>
  <c r="G396" i="7"/>
  <c r="F396" i="7"/>
  <c r="H395" i="7"/>
  <c r="G395" i="7"/>
  <c r="F395" i="7"/>
  <c r="H394" i="7"/>
  <c r="G394" i="7"/>
  <c r="F394" i="7"/>
  <c r="H393" i="7"/>
  <c r="G393" i="7"/>
  <c r="F393" i="7"/>
  <c r="H392" i="7"/>
  <c r="G392" i="7"/>
  <c r="F392" i="7"/>
  <c r="H391" i="7"/>
  <c r="G391" i="7"/>
  <c r="F391" i="7"/>
  <c r="H390" i="7"/>
  <c r="G390" i="7"/>
  <c r="F390" i="7"/>
  <c r="H389" i="7"/>
  <c r="G389" i="7"/>
  <c r="F389" i="7"/>
  <c r="H388" i="7"/>
  <c r="G388" i="7"/>
  <c r="F388" i="7"/>
  <c r="H387" i="7"/>
  <c r="G387" i="7"/>
  <c r="F387" i="7"/>
  <c r="H386" i="7"/>
  <c r="G386" i="7"/>
  <c r="F386" i="7"/>
  <c r="H385" i="7"/>
  <c r="G385" i="7"/>
  <c r="F385" i="7"/>
  <c r="H384" i="7"/>
  <c r="G384" i="7"/>
  <c r="F384" i="7"/>
  <c r="H383" i="7"/>
  <c r="G383" i="7"/>
  <c r="F383" i="7"/>
  <c r="H382" i="7"/>
  <c r="G382" i="7"/>
  <c r="F382" i="7"/>
  <c r="H381" i="7"/>
  <c r="G381" i="7"/>
  <c r="F381" i="7"/>
  <c r="H380" i="7"/>
  <c r="G380" i="7"/>
  <c r="F380" i="7"/>
  <c r="H379" i="7"/>
  <c r="G379" i="7"/>
  <c r="F379" i="7"/>
  <c r="H378" i="7"/>
  <c r="G378" i="7"/>
  <c r="F378" i="7"/>
  <c r="H377" i="7"/>
  <c r="G377" i="7"/>
  <c r="F377" i="7"/>
  <c r="H376" i="7"/>
  <c r="G376" i="7"/>
  <c r="F376" i="7"/>
  <c r="H375" i="7"/>
  <c r="G375" i="7"/>
  <c r="F375" i="7"/>
  <c r="H374" i="7"/>
  <c r="G374" i="7"/>
  <c r="F374" i="7"/>
  <c r="H373" i="7"/>
  <c r="G373" i="7"/>
  <c r="F373" i="7"/>
  <c r="H372" i="7"/>
  <c r="G372" i="7"/>
  <c r="F372" i="7"/>
  <c r="H371" i="7"/>
  <c r="G371" i="7"/>
  <c r="F371" i="7"/>
  <c r="H370" i="7"/>
  <c r="G370" i="7"/>
  <c r="F370" i="7"/>
  <c r="H369" i="7"/>
  <c r="G369" i="7"/>
  <c r="F369" i="7"/>
  <c r="H368" i="7"/>
  <c r="G368" i="7"/>
  <c r="F368" i="7"/>
  <c r="H367" i="7"/>
  <c r="G367" i="7"/>
  <c r="F367" i="7"/>
  <c r="H366" i="7"/>
  <c r="G366" i="7"/>
  <c r="F366" i="7"/>
  <c r="H365" i="7"/>
  <c r="G365" i="7"/>
  <c r="F365" i="7"/>
  <c r="H364" i="7"/>
  <c r="G364" i="7"/>
  <c r="F364" i="7"/>
  <c r="H363" i="7"/>
  <c r="G363" i="7"/>
  <c r="F363" i="7"/>
  <c r="H362" i="7"/>
  <c r="G362" i="7"/>
  <c r="F362" i="7"/>
  <c r="H361" i="7"/>
  <c r="G361" i="7"/>
  <c r="F361" i="7"/>
  <c r="H360" i="7"/>
  <c r="G360" i="7"/>
  <c r="F360" i="7"/>
  <c r="H359" i="7"/>
  <c r="G359" i="7"/>
  <c r="F359" i="7"/>
  <c r="H358" i="7"/>
  <c r="G358" i="7"/>
  <c r="F358" i="7"/>
  <c r="H357" i="7"/>
  <c r="G357" i="7"/>
  <c r="F357" i="7"/>
  <c r="H356" i="7"/>
  <c r="G356" i="7"/>
  <c r="F356" i="7"/>
  <c r="H355" i="7"/>
  <c r="G355" i="7"/>
  <c r="F355" i="7"/>
  <c r="H354" i="7"/>
  <c r="G354" i="7"/>
  <c r="F354" i="7"/>
  <c r="H353" i="7"/>
  <c r="G353" i="7"/>
  <c r="F353" i="7"/>
  <c r="H352" i="7"/>
  <c r="G352" i="7"/>
  <c r="F352" i="7"/>
  <c r="H351" i="7"/>
  <c r="G351" i="7"/>
  <c r="F351" i="7"/>
  <c r="H350" i="7"/>
  <c r="G350" i="7"/>
  <c r="F350" i="7"/>
  <c r="H349" i="7"/>
  <c r="G349" i="7"/>
  <c r="F349" i="7"/>
  <c r="H348" i="7"/>
  <c r="G348" i="7"/>
  <c r="F348" i="7"/>
  <c r="H347" i="7"/>
  <c r="G347" i="7"/>
  <c r="F347" i="7"/>
  <c r="H346" i="7"/>
  <c r="G346" i="7"/>
  <c r="F346" i="7"/>
  <c r="H345" i="7"/>
  <c r="G345" i="7"/>
  <c r="F345" i="7"/>
  <c r="H344" i="7"/>
  <c r="G344" i="7"/>
  <c r="F344" i="7"/>
  <c r="H343" i="7"/>
  <c r="G343" i="7"/>
  <c r="F343" i="7"/>
  <c r="H342" i="7"/>
  <c r="G342" i="7"/>
  <c r="F342" i="7"/>
  <c r="H341" i="7"/>
  <c r="G341" i="7"/>
  <c r="F341" i="7"/>
  <c r="H340" i="7"/>
  <c r="G340" i="7"/>
  <c r="F340" i="7"/>
  <c r="H339" i="7"/>
  <c r="G339" i="7"/>
  <c r="F339" i="7"/>
  <c r="H338" i="7"/>
  <c r="G338" i="7"/>
  <c r="F338" i="7"/>
  <c r="H337" i="7"/>
  <c r="G337" i="7"/>
  <c r="F337" i="7"/>
  <c r="H336" i="7"/>
  <c r="G336" i="7"/>
  <c r="F336" i="7"/>
  <c r="H335" i="7"/>
  <c r="G335" i="7"/>
  <c r="F335" i="7"/>
  <c r="H334" i="7"/>
  <c r="G334" i="7"/>
  <c r="F334" i="7"/>
  <c r="H333" i="7"/>
  <c r="G333" i="7"/>
  <c r="F333" i="7"/>
  <c r="H332" i="7"/>
  <c r="G332" i="7"/>
  <c r="F332" i="7"/>
  <c r="H331" i="7"/>
  <c r="G331" i="7"/>
  <c r="F331" i="7"/>
  <c r="H330" i="7"/>
  <c r="G330" i="7"/>
  <c r="F330" i="7"/>
  <c r="H329" i="7"/>
  <c r="G329" i="7"/>
  <c r="F329" i="7"/>
  <c r="H328" i="7"/>
  <c r="G328" i="7"/>
  <c r="F328" i="7"/>
  <c r="H327" i="7"/>
  <c r="G327" i="7"/>
  <c r="F327" i="7"/>
  <c r="H326" i="7"/>
  <c r="G326" i="7"/>
  <c r="F326" i="7"/>
  <c r="H325" i="7"/>
  <c r="G325" i="7"/>
  <c r="F325" i="7"/>
  <c r="H324" i="7"/>
  <c r="G324" i="7"/>
  <c r="F324" i="7"/>
  <c r="H323" i="7"/>
  <c r="G323" i="7"/>
  <c r="F323" i="7"/>
  <c r="H322" i="7"/>
  <c r="G322" i="7"/>
  <c r="F322" i="7"/>
  <c r="H321" i="7"/>
  <c r="G321" i="7"/>
  <c r="F321" i="7"/>
  <c r="H320" i="7"/>
  <c r="G320" i="7"/>
  <c r="F320" i="7"/>
  <c r="H319" i="7"/>
  <c r="G319" i="7"/>
  <c r="F319" i="7"/>
  <c r="H318" i="7"/>
  <c r="G318" i="7"/>
  <c r="F318" i="7"/>
  <c r="H317" i="7"/>
  <c r="G317" i="7"/>
  <c r="F317" i="7"/>
  <c r="H316" i="7"/>
  <c r="G316" i="7"/>
  <c r="F316" i="7"/>
  <c r="H315" i="7"/>
  <c r="G315" i="7"/>
  <c r="F315" i="7"/>
  <c r="H314" i="7"/>
  <c r="G314" i="7"/>
  <c r="F314" i="7"/>
  <c r="H313" i="7"/>
  <c r="G313" i="7"/>
  <c r="F313" i="7"/>
  <c r="H312" i="7"/>
  <c r="G312" i="7"/>
  <c r="F312" i="7"/>
  <c r="H311" i="7"/>
  <c r="G311" i="7"/>
  <c r="F311" i="7"/>
  <c r="H310" i="7"/>
  <c r="G310" i="7"/>
  <c r="F310" i="7"/>
  <c r="H309" i="7"/>
  <c r="G309" i="7"/>
  <c r="F309" i="7"/>
  <c r="H308" i="7"/>
  <c r="G308" i="7"/>
  <c r="F308" i="7"/>
  <c r="H307" i="7"/>
  <c r="G307" i="7"/>
  <c r="F307" i="7"/>
  <c r="H306" i="7"/>
  <c r="G306" i="7"/>
  <c r="F306" i="7"/>
  <c r="H305" i="7"/>
  <c r="G305" i="7"/>
  <c r="F305" i="7"/>
  <c r="H304" i="7"/>
  <c r="G304" i="7"/>
  <c r="F304" i="7"/>
  <c r="H303" i="7"/>
  <c r="G303" i="7"/>
  <c r="F303" i="7"/>
  <c r="H302" i="7"/>
  <c r="G302" i="7"/>
  <c r="F302" i="7"/>
  <c r="H301" i="7"/>
  <c r="G301" i="7"/>
  <c r="F301" i="7"/>
  <c r="H300" i="7"/>
  <c r="G300" i="7"/>
  <c r="F300" i="7"/>
  <c r="H299" i="7"/>
  <c r="G299" i="7"/>
  <c r="F299" i="7"/>
  <c r="H298" i="7"/>
  <c r="G298" i="7"/>
  <c r="F298" i="7"/>
  <c r="H297" i="7"/>
  <c r="G297" i="7"/>
  <c r="F297" i="7"/>
  <c r="H296" i="7"/>
  <c r="G296" i="7"/>
  <c r="F296" i="7"/>
  <c r="H295" i="7"/>
  <c r="G295" i="7"/>
  <c r="F295" i="7"/>
  <c r="H294" i="7"/>
  <c r="G294" i="7"/>
  <c r="F294" i="7"/>
  <c r="H293" i="7"/>
  <c r="G293" i="7"/>
  <c r="F293" i="7"/>
  <c r="H292" i="7"/>
  <c r="G292" i="7"/>
  <c r="F292" i="7"/>
  <c r="H291" i="7"/>
  <c r="G291" i="7"/>
  <c r="F291" i="7"/>
  <c r="H290" i="7"/>
  <c r="G290" i="7"/>
  <c r="F290" i="7"/>
  <c r="H289" i="7"/>
  <c r="G289" i="7"/>
  <c r="F289" i="7"/>
  <c r="H288" i="7"/>
  <c r="G288" i="7"/>
  <c r="F288" i="7"/>
  <c r="H287" i="7"/>
  <c r="G287" i="7"/>
  <c r="F287" i="7"/>
  <c r="H286" i="7"/>
  <c r="G286" i="7"/>
  <c r="F286" i="7"/>
  <c r="H285" i="7"/>
  <c r="G285" i="7"/>
  <c r="F285" i="7"/>
  <c r="H284" i="7"/>
  <c r="G284" i="7"/>
  <c r="F284" i="7"/>
  <c r="H283" i="7"/>
  <c r="G283" i="7"/>
  <c r="F283" i="7"/>
  <c r="H282" i="7"/>
  <c r="G282" i="7"/>
  <c r="F282" i="7"/>
  <c r="H281" i="7"/>
  <c r="G281" i="7"/>
  <c r="F281" i="7"/>
  <c r="H280" i="7"/>
  <c r="G280" i="7"/>
  <c r="F280" i="7"/>
  <c r="H279" i="7"/>
  <c r="G279" i="7"/>
  <c r="F279" i="7"/>
  <c r="H278" i="7"/>
  <c r="G278" i="7"/>
  <c r="F278" i="7"/>
  <c r="H277" i="7"/>
  <c r="G277" i="7"/>
  <c r="F277" i="7"/>
  <c r="H276" i="7"/>
  <c r="G276" i="7"/>
  <c r="F276" i="7"/>
  <c r="H275" i="7"/>
  <c r="G275" i="7"/>
  <c r="F275" i="7"/>
  <c r="H274" i="7"/>
  <c r="G274" i="7"/>
  <c r="F274" i="7"/>
  <c r="H273" i="7"/>
  <c r="G273" i="7"/>
  <c r="F273" i="7"/>
  <c r="H272" i="7"/>
  <c r="G272" i="7"/>
  <c r="F272" i="7"/>
  <c r="H271" i="7"/>
  <c r="G271" i="7"/>
  <c r="F271" i="7"/>
  <c r="H270" i="7"/>
  <c r="G270" i="7"/>
  <c r="F270" i="7"/>
  <c r="H269" i="7"/>
  <c r="G269" i="7"/>
  <c r="F269" i="7"/>
  <c r="H268" i="7"/>
  <c r="G268" i="7"/>
  <c r="F268" i="7"/>
  <c r="H267" i="7"/>
  <c r="G267" i="7"/>
  <c r="F267" i="7"/>
  <c r="H266" i="7"/>
  <c r="G266" i="7"/>
  <c r="F266" i="7"/>
  <c r="H265" i="7"/>
  <c r="G265" i="7"/>
  <c r="F265" i="7"/>
  <c r="H264" i="7"/>
  <c r="G264" i="7"/>
  <c r="F264" i="7"/>
  <c r="H263" i="7"/>
  <c r="G263" i="7"/>
  <c r="F263" i="7"/>
  <c r="H262" i="7"/>
  <c r="G262" i="7"/>
  <c r="F262" i="7"/>
  <c r="H261" i="7"/>
  <c r="G261" i="7"/>
  <c r="F261" i="7"/>
  <c r="H260" i="7"/>
  <c r="G260" i="7"/>
  <c r="F260" i="7"/>
  <c r="H259" i="7"/>
  <c r="G259" i="7"/>
  <c r="F259" i="7"/>
  <c r="H258" i="7"/>
  <c r="G258" i="7"/>
  <c r="F258" i="7"/>
  <c r="H257" i="7"/>
  <c r="G257" i="7"/>
  <c r="F257" i="7"/>
  <c r="H256" i="7"/>
  <c r="G256" i="7"/>
  <c r="F256" i="7"/>
  <c r="H255" i="7"/>
  <c r="G255" i="7"/>
  <c r="F255" i="7"/>
  <c r="H254" i="7"/>
  <c r="G254" i="7"/>
  <c r="F254" i="7"/>
  <c r="H253" i="7"/>
  <c r="G253" i="7"/>
  <c r="F253" i="7"/>
  <c r="H252" i="7"/>
  <c r="G252" i="7"/>
  <c r="F252" i="7"/>
  <c r="H251" i="7"/>
  <c r="G251" i="7"/>
  <c r="F251" i="7"/>
  <c r="H250" i="7"/>
  <c r="G250" i="7"/>
  <c r="F250" i="7"/>
  <c r="H249" i="7"/>
  <c r="G249" i="7"/>
  <c r="F249" i="7"/>
  <c r="H248" i="7"/>
  <c r="G248" i="7"/>
  <c r="F248" i="7"/>
  <c r="H247" i="7"/>
  <c r="G247" i="7"/>
  <c r="F247" i="7"/>
  <c r="H246" i="7"/>
  <c r="G246" i="7"/>
  <c r="F246" i="7"/>
  <c r="H245" i="7"/>
  <c r="G245" i="7"/>
  <c r="F245" i="7"/>
  <c r="H244" i="7"/>
  <c r="G244" i="7"/>
  <c r="F244" i="7"/>
  <c r="H243" i="7"/>
  <c r="G243" i="7"/>
  <c r="F243" i="7"/>
  <c r="H242" i="7"/>
  <c r="G242" i="7"/>
  <c r="F242" i="7"/>
  <c r="H241" i="7"/>
  <c r="G241" i="7"/>
  <c r="F241" i="7"/>
  <c r="H240" i="7"/>
  <c r="G240" i="7"/>
  <c r="F240" i="7"/>
  <c r="H239" i="7"/>
  <c r="G239" i="7"/>
  <c r="F239" i="7"/>
  <c r="H238" i="7"/>
  <c r="G238" i="7"/>
  <c r="F238" i="7"/>
  <c r="H237" i="7"/>
  <c r="G237" i="7"/>
  <c r="F237" i="7"/>
  <c r="H236" i="7"/>
  <c r="G236" i="7"/>
  <c r="F236" i="7"/>
  <c r="H235" i="7"/>
  <c r="G235" i="7"/>
  <c r="F235" i="7"/>
  <c r="H234" i="7"/>
  <c r="G234" i="7"/>
  <c r="F234" i="7"/>
  <c r="H233" i="7"/>
  <c r="G233" i="7"/>
  <c r="F233" i="7"/>
  <c r="H232" i="7"/>
  <c r="G232" i="7"/>
  <c r="F232" i="7"/>
  <c r="H231" i="7"/>
  <c r="G231" i="7"/>
  <c r="F231" i="7"/>
  <c r="H230" i="7"/>
  <c r="G230" i="7"/>
  <c r="F230" i="7"/>
  <c r="H229" i="7"/>
  <c r="G229" i="7"/>
  <c r="F229" i="7"/>
  <c r="H228" i="7"/>
  <c r="G228" i="7"/>
  <c r="F228" i="7"/>
  <c r="H227" i="7"/>
  <c r="G227" i="7"/>
  <c r="F227" i="7"/>
  <c r="H226" i="7"/>
  <c r="G226" i="7"/>
  <c r="F226" i="7"/>
  <c r="H225" i="7"/>
  <c r="G225" i="7"/>
  <c r="F225" i="7"/>
  <c r="H224" i="7"/>
  <c r="G224" i="7"/>
  <c r="F224" i="7"/>
  <c r="H223" i="7"/>
  <c r="G223" i="7"/>
  <c r="F223" i="7"/>
  <c r="H222" i="7"/>
  <c r="G222" i="7"/>
  <c r="F222" i="7"/>
  <c r="H221" i="7"/>
  <c r="G221" i="7"/>
  <c r="F221" i="7"/>
  <c r="H220" i="7"/>
  <c r="G220" i="7"/>
  <c r="F220" i="7"/>
  <c r="H219" i="7"/>
  <c r="G219" i="7"/>
  <c r="F219" i="7"/>
  <c r="H218" i="7"/>
  <c r="G218" i="7"/>
  <c r="F218" i="7"/>
  <c r="H217" i="7"/>
  <c r="G217" i="7"/>
  <c r="F217" i="7"/>
  <c r="H216" i="7"/>
  <c r="G216" i="7"/>
  <c r="F216" i="7"/>
  <c r="H215" i="7"/>
  <c r="G215" i="7"/>
  <c r="F215" i="7"/>
  <c r="H214" i="7"/>
  <c r="G214" i="7"/>
  <c r="F214" i="7"/>
  <c r="H213" i="7"/>
  <c r="G213" i="7"/>
  <c r="F213" i="7"/>
  <c r="H212" i="7"/>
  <c r="G212" i="7"/>
  <c r="F212" i="7"/>
  <c r="H211" i="7"/>
  <c r="G211" i="7"/>
  <c r="F211" i="7"/>
  <c r="H210" i="7"/>
  <c r="G210" i="7"/>
  <c r="F210" i="7"/>
  <c r="H209" i="7"/>
  <c r="G209" i="7"/>
  <c r="F209" i="7"/>
  <c r="H208" i="7"/>
  <c r="G208" i="7"/>
  <c r="F208" i="7"/>
  <c r="H207" i="7"/>
  <c r="G207" i="7"/>
  <c r="F207" i="7"/>
  <c r="H206" i="7"/>
  <c r="G206" i="7"/>
  <c r="F206" i="7"/>
  <c r="H205" i="7"/>
  <c r="G205" i="7"/>
  <c r="F205" i="7"/>
  <c r="H204" i="7"/>
  <c r="G204" i="7"/>
  <c r="F204" i="7"/>
  <c r="H203" i="7"/>
  <c r="G203" i="7"/>
  <c r="F203" i="7"/>
  <c r="H202" i="7"/>
  <c r="G202" i="7"/>
  <c r="F202" i="7"/>
  <c r="H201" i="7"/>
  <c r="G201" i="7"/>
  <c r="F201" i="7"/>
  <c r="H200" i="7"/>
  <c r="G200" i="7"/>
  <c r="F200" i="7"/>
  <c r="H199" i="7"/>
  <c r="G199" i="7"/>
  <c r="F199" i="7"/>
  <c r="H198" i="7"/>
  <c r="G198" i="7"/>
  <c r="F198" i="7"/>
  <c r="H197" i="7"/>
  <c r="G197" i="7"/>
  <c r="F197" i="7"/>
  <c r="H196" i="7"/>
  <c r="G196" i="7"/>
  <c r="F196" i="7"/>
  <c r="H195" i="7"/>
  <c r="G195" i="7"/>
  <c r="F195" i="7"/>
  <c r="H194" i="7"/>
  <c r="G194" i="7"/>
  <c r="F194" i="7"/>
  <c r="H193" i="7"/>
  <c r="G193" i="7"/>
  <c r="F193" i="7"/>
  <c r="H192" i="7"/>
  <c r="G192" i="7"/>
  <c r="F192" i="7"/>
  <c r="H191" i="7"/>
  <c r="G191" i="7"/>
  <c r="F191" i="7"/>
  <c r="H190" i="7"/>
  <c r="G190" i="7"/>
  <c r="F190" i="7"/>
  <c r="H189" i="7"/>
  <c r="G189" i="7"/>
  <c r="F189" i="7"/>
  <c r="H188" i="7"/>
  <c r="G188" i="7"/>
  <c r="F188" i="7"/>
  <c r="H187" i="7"/>
  <c r="G187" i="7"/>
  <c r="F187" i="7"/>
  <c r="H186" i="7"/>
  <c r="G186" i="7"/>
  <c r="F186" i="7"/>
  <c r="H185" i="7"/>
  <c r="G185" i="7"/>
  <c r="F185" i="7"/>
  <c r="H184" i="7"/>
  <c r="G184" i="7"/>
  <c r="F184" i="7"/>
  <c r="H183" i="7"/>
  <c r="G183" i="7"/>
  <c r="F183" i="7"/>
  <c r="H182" i="7"/>
  <c r="G182" i="7"/>
  <c r="F182" i="7"/>
  <c r="H181" i="7"/>
  <c r="G181" i="7"/>
  <c r="F181" i="7"/>
  <c r="H180" i="7"/>
  <c r="G180" i="7"/>
  <c r="F180" i="7"/>
  <c r="H179" i="7"/>
  <c r="G179" i="7"/>
  <c r="F179" i="7"/>
  <c r="H178" i="7"/>
  <c r="G178" i="7"/>
  <c r="F178" i="7"/>
  <c r="H177" i="7"/>
  <c r="G177" i="7"/>
  <c r="F177" i="7"/>
  <c r="H176" i="7"/>
  <c r="G176" i="7"/>
  <c r="F176" i="7"/>
  <c r="H175" i="7"/>
  <c r="G175" i="7"/>
  <c r="F175" i="7"/>
  <c r="H174" i="7"/>
  <c r="G174" i="7"/>
  <c r="F174" i="7"/>
  <c r="H173" i="7"/>
  <c r="G173" i="7"/>
  <c r="F173" i="7"/>
  <c r="H172" i="7"/>
  <c r="G172" i="7"/>
  <c r="F172" i="7"/>
  <c r="H171" i="7"/>
  <c r="G171" i="7"/>
  <c r="F171" i="7"/>
  <c r="H170" i="7"/>
  <c r="G170" i="7"/>
  <c r="F170" i="7"/>
  <c r="H169" i="7"/>
  <c r="G169" i="7"/>
  <c r="F169" i="7"/>
  <c r="H168" i="7"/>
  <c r="G168" i="7"/>
  <c r="F168" i="7"/>
  <c r="H167" i="7"/>
  <c r="G167" i="7"/>
  <c r="F167" i="7"/>
  <c r="H166" i="7"/>
  <c r="G166" i="7"/>
  <c r="F166" i="7"/>
  <c r="H165" i="7"/>
  <c r="G165" i="7"/>
  <c r="F165" i="7"/>
  <c r="H164" i="7"/>
  <c r="G164" i="7"/>
  <c r="F164" i="7"/>
  <c r="H163" i="7"/>
  <c r="G163" i="7"/>
  <c r="F163" i="7"/>
  <c r="H162" i="7"/>
  <c r="G162" i="7"/>
  <c r="F162" i="7"/>
  <c r="H161" i="7"/>
  <c r="G161" i="7"/>
  <c r="F161" i="7"/>
  <c r="H160" i="7"/>
  <c r="G160" i="7"/>
  <c r="F160" i="7"/>
  <c r="H159" i="7"/>
  <c r="G159" i="7"/>
  <c r="F159" i="7"/>
  <c r="H158" i="7"/>
  <c r="G158" i="7"/>
  <c r="F158" i="7"/>
  <c r="H157" i="7"/>
  <c r="G157" i="7"/>
  <c r="F157" i="7"/>
  <c r="H156" i="7"/>
  <c r="G156" i="7"/>
  <c r="F156" i="7"/>
  <c r="H155" i="7"/>
  <c r="G155" i="7"/>
  <c r="F155" i="7"/>
  <c r="H154" i="7"/>
  <c r="G154" i="7"/>
  <c r="F154" i="7"/>
  <c r="H153" i="7"/>
  <c r="G153" i="7"/>
  <c r="F153" i="7"/>
  <c r="H152" i="7"/>
  <c r="G152" i="7"/>
  <c r="F152" i="7"/>
  <c r="H151" i="7"/>
  <c r="G151" i="7"/>
  <c r="F151" i="7"/>
  <c r="H150" i="7"/>
  <c r="G150" i="7"/>
  <c r="F150" i="7"/>
  <c r="H149" i="7"/>
  <c r="G149" i="7"/>
  <c r="F149" i="7"/>
  <c r="H148" i="7"/>
  <c r="G148" i="7"/>
  <c r="F148" i="7"/>
  <c r="H147" i="7"/>
  <c r="G147" i="7"/>
  <c r="F147" i="7"/>
  <c r="H146" i="7"/>
  <c r="G146" i="7"/>
  <c r="F146" i="7"/>
  <c r="H145" i="7"/>
  <c r="G145" i="7"/>
  <c r="F145" i="7"/>
  <c r="H144" i="7"/>
  <c r="G144" i="7"/>
  <c r="F144" i="7"/>
  <c r="H143" i="7"/>
  <c r="G143" i="7"/>
  <c r="F143" i="7"/>
  <c r="H142" i="7"/>
  <c r="G142" i="7"/>
  <c r="F142" i="7"/>
  <c r="H141" i="7"/>
  <c r="G141" i="7"/>
  <c r="F141" i="7"/>
  <c r="H140" i="7"/>
  <c r="G140" i="7"/>
  <c r="F140" i="7"/>
  <c r="H139" i="7"/>
  <c r="G139" i="7"/>
  <c r="F139" i="7"/>
  <c r="H138" i="7"/>
  <c r="G138" i="7"/>
  <c r="F138" i="7"/>
  <c r="H137" i="7"/>
  <c r="G137" i="7"/>
  <c r="F137" i="7"/>
  <c r="H136" i="7"/>
  <c r="G136" i="7"/>
  <c r="F136" i="7"/>
  <c r="H135" i="7"/>
  <c r="G135" i="7"/>
  <c r="F135" i="7"/>
  <c r="H134" i="7"/>
  <c r="G134" i="7"/>
  <c r="F134" i="7"/>
  <c r="H133" i="7"/>
  <c r="G133" i="7"/>
  <c r="F133" i="7"/>
  <c r="H132" i="7"/>
  <c r="G132" i="7"/>
  <c r="F132" i="7"/>
  <c r="H131" i="7"/>
  <c r="G131" i="7"/>
  <c r="F131" i="7"/>
  <c r="H130" i="7"/>
  <c r="G130" i="7"/>
  <c r="F130" i="7"/>
  <c r="H129" i="7"/>
  <c r="G129" i="7"/>
  <c r="F129" i="7"/>
  <c r="H128" i="7"/>
  <c r="G128" i="7"/>
  <c r="F128" i="7"/>
  <c r="H127" i="7"/>
  <c r="G127" i="7"/>
  <c r="F127" i="7"/>
  <c r="H126" i="7"/>
  <c r="G126" i="7"/>
  <c r="F126" i="7"/>
  <c r="H125" i="7"/>
  <c r="G125" i="7"/>
  <c r="F125" i="7"/>
  <c r="H124" i="7"/>
  <c r="G124" i="7"/>
  <c r="F124" i="7"/>
  <c r="H123" i="7"/>
  <c r="G123" i="7"/>
  <c r="F123" i="7"/>
  <c r="H122" i="7"/>
  <c r="G122" i="7"/>
  <c r="F122" i="7"/>
  <c r="H121" i="7"/>
  <c r="G121" i="7"/>
  <c r="F121" i="7"/>
  <c r="H120" i="7"/>
  <c r="G120" i="7"/>
  <c r="F120" i="7"/>
  <c r="H119" i="7"/>
  <c r="G119" i="7"/>
  <c r="F119" i="7"/>
  <c r="H118" i="7"/>
  <c r="G118" i="7"/>
  <c r="F118" i="7"/>
  <c r="H117" i="7"/>
  <c r="G117" i="7"/>
  <c r="F117" i="7"/>
  <c r="H116" i="7"/>
  <c r="G116" i="7"/>
  <c r="F116" i="7"/>
  <c r="H115" i="7"/>
  <c r="G115" i="7"/>
  <c r="F115" i="7"/>
  <c r="H114" i="7"/>
  <c r="G114" i="7"/>
  <c r="F114" i="7"/>
  <c r="H113" i="7"/>
  <c r="G113" i="7"/>
  <c r="F113" i="7"/>
  <c r="H112" i="7"/>
  <c r="G112" i="7"/>
  <c r="F112" i="7"/>
  <c r="H111" i="7"/>
  <c r="G111" i="7"/>
  <c r="F111" i="7"/>
  <c r="H110" i="7"/>
  <c r="G110" i="7"/>
  <c r="F110" i="7"/>
  <c r="H109" i="7"/>
  <c r="G109" i="7"/>
  <c r="F109" i="7"/>
  <c r="H108" i="7"/>
  <c r="G108" i="7"/>
  <c r="F108" i="7"/>
  <c r="H107" i="7"/>
  <c r="G107" i="7"/>
  <c r="F107" i="7"/>
  <c r="H106" i="7"/>
  <c r="G106" i="7"/>
  <c r="F106" i="7"/>
  <c r="H105" i="7"/>
  <c r="G105" i="7"/>
  <c r="F105" i="7"/>
  <c r="H104" i="7"/>
  <c r="G104" i="7"/>
  <c r="F104" i="7"/>
  <c r="H103" i="7"/>
  <c r="G103" i="7"/>
  <c r="F103" i="7"/>
  <c r="H102" i="7"/>
  <c r="G102" i="7"/>
  <c r="F102" i="7"/>
  <c r="H101" i="7"/>
  <c r="G101" i="7"/>
  <c r="F101" i="7"/>
  <c r="H100" i="7"/>
  <c r="G100" i="7"/>
  <c r="F100" i="7"/>
  <c r="H99" i="7"/>
  <c r="G99" i="7"/>
  <c r="F99" i="7"/>
  <c r="H98" i="7"/>
  <c r="G98" i="7"/>
  <c r="F98" i="7"/>
  <c r="H97" i="7"/>
  <c r="G97" i="7"/>
  <c r="F97" i="7"/>
  <c r="H96" i="7"/>
  <c r="G96" i="7"/>
  <c r="F96" i="7"/>
  <c r="H95" i="7"/>
  <c r="G95" i="7"/>
  <c r="F95" i="7"/>
  <c r="H94" i="7"/>
  <c r="G94" i="7"/>
  <c r="F94" i="7"/>
  <c r="H93" i="7"/>
  <c r="G93" i="7"/>
  <c r="F93" i="7"/>
  <c r="H92" i="7"/>
  <c r="G92" i="7"/>
  <c r="F92" i="7"/>
  <c r="H91" i="7"/>
  <c r="G91" i="7"/>
  <c r="F91" i="7"/>
  <c r="H90" i="7"/>
  <c r="G90" i="7"/>
  <c r="F90" i="7"/>
  <c r="H89" i="7"/>
  <c r="G89" i="7"/>
  <c r="F89" i="7"/>
  <c r="H88" i="7"/>
  <c r="G88" i="7"/>
  <c r="F88" i="7"/>
  <c r="H87" i="7"/>
  <c r="G87" i="7"/>
  <c r="F87" i="7"/>
  <c r="H86" i="7"/>
  <c r="G86" i="7"/>
  <c r="F86" i="7"/>
  <c r="H85" i="7"/>
  <c r="G85" i="7"/>
  <c r="F85" i="7"/>
  <c r="H84" i="7"/>
  <c r="G84" i="7"/>
  <c r="F84" i="7"/>
  <c r="H83" i="7"/>
  <c r="G83" i="7"/>
  <c r="F83" i="7"/>
  <c r="H82" i="7"/>
  <c r="G82" i="7"/>
  <c r="F82" i="7"/>
  <c r="H81" i="7"/>
  <c r="G81" i="7"/>
  <c r="F81" i="7"/>
  <c r="H80" i="7"/>
  <c r="G80" i="7"/>
  <c r="F80" i="7"/>
  <c r="H79" i="7"/>
  <c r="G79" i="7"/>
  <c r="F79" i="7"/>
  <c r="H78" i="7"/>
  <c r="G78" i="7"/>
  <c r="F78" i="7"/>
  <c r="H77" i="7"/>
  <c r="G77" i="7"/>
  <c r="F77" i="7"/>
  <c r="H76" i="7"/>
  <c r="G76" i="7"/>
  <c r="F76" i="7"/>
  <c r="H75" i="7"/>
  <c r="G75" i="7"/>
  <c r="F75" i="7"/>
  <c r="H74" i="7"/>
  <c r="G74" i="7"/>
  <c r="F74" i="7"/>
  <c r="H73" i="7"/>
  <c r="G73" i="7"/>
  <c r="F73" i="7"/>
  <c r="H72" i="7"/>
  <c r="G72" i="7"/>
  <c r="F72" i="7"/>
  <c r="H71" i="7"/>
  <c r="G71" i="7"/>
  <c r="F71" i="7"/>
  <c r="H70" i="7"/>
  <c r="G70" i="7"/>
  <c r="F70" i="7"/>
  <c r="H69" i="7"/>
  <c r="G69" i="7"/>
  <c r="F69" i="7"/>
  <c r="H68" i="7"/>
  <c r="G68" i="7"/>
  <c r="F68" i="7"/>
  <c r="H67" i="7"/>
  <c r="G67" i="7"/>
  <c r="F67" i="7"/>
  <c r="H66" i="7"/>
  <c r="G66" i="7"/>
  <c r="F66" i="7"/>
  <c r="H65" i="7"/>
  <c r="G65" i="7"/>
  <c r="F65" i="7"/>
  <c r="H64" i="7"/>
  <c r="G64" i="7"/>
  <c r="F64" i="7"/>
  <c r="H63" i="7"/>
  <c r="G63" i="7"/>
  <c r="F63" i="7"/>
  <c r="H62" i="7"/>
  <c r="G62" i="7"/>
  <c r="F62" i="7"/>
  <c r="H61" i="7"/>
  <c r="G61" i="7"/>
  <c r="F61" i="7"/>
  <c r="H60" i="7"/>
  <c r="G60" i="7"/>
  <c r="F60" i="7"/>
  <c r="H59" i="7"/>
  <c r="G59" i="7"/>
  <c r="F59" i="7"/>
  <c r="H58" i="7"/>
  <c r="G58" i="7"/>
  <c r="F58" i="7"/>
  <c r="H57" i="7"/>
  <c r="G57" i="7"/>
  <c r="F57" i="7"/>
  <c r="H56" i="7"/>
  <c r="G56" i="7"/>
  <c r="F56" i="7"/>
  <c r="H55" i="7"/>
  <c r="G55" i="7"/>
  <c r="F55" i="7"/>
  <c r="H54" i="7"/>
  <c r="G54" i="7"/>
  <c r="F54" i="7"/>
  <c r="H53" i="7"/>
  <c r="G53" i="7"/>
  <c r="F53" i="7"/>
  <c r="H52" i="7"/>
  <c r="G52" i="7"/>
  <c r="F52" i="7"/>
  <c r="H51" i="7"/>
  <c r="G51" i="7"/>
  <c r="F51" i="7"/>
  <c r="H50" i="7"/>
  <c r="G50" i="7"/>
  <c r="F50" i="7"/>
  <c r="H49" i="7"/>
  <c r="G49" i="7"/>
  <c r="F49" i="7"/>
  <c r="H48" i="7"/>
  <c r="G48" i="7"/>
  <c r="F48" i="7"/>
  <c r="H47" i="7"/>
  <c r="G47" i="7"/>
  <c r="F47" i="7"/>
  <c r="H46" i="7"/>
  <c r="G46" i="7"/>
  <c r="F46" i="7"/>
  <c r="H45" i="7"/>
  <c r="G45" i="7"/>
  <c r="F45" i="7"/>
  <c r="H44" i="7"/>
  <c r="G44" i="7"/>
  <c r="F44" i="7"/>
  <c r="H43" i="7"/>
  <c r="G43" i="7"/>
  <c r="F43" i="7"/>
  <c r="H42" i="7"/>
  <c r="G42" i="7"/>
  <c r="F42" i="7"/>
  <c r="H41" i="7"/>
  <c r="G41" i="7"/>
  <c r="F41" i="7"/>
  <c r="H40" i="7"/>
  <c r="G40" i="7"/>
  <c r="F40" i="7"/>
  <c r="H39" i="7"/>
  <c r="G39" i="7"/>
  <c r="F39" i="7"/>
  <c r="H38" i="7"/>
  <c r="G38" i="7"/>
  <c r="F38" i="7"/>
  <c r="H37" i="7"/>
  <c r="G37" i="7"/>
  <c r="F37" i="7"/>
  <c r="H36" i="7"/>
  <c r="G36" i="7"/>
  <c r="F36" i="7"/>
  <c r="H35" i="7"/>
  <c r="G35" i="7"/>
  <c r="F35" i="7"/>
  <c r="H34" i="7"/>
  <c r="G34" i="7"/>
  <c r="F34" i="7"/>
  <c r="H33" i="7"/>
  <c r="G33" i="7"/>
  <c r="F33" i="7"/>
  <c r="H32" i="7"/>
  <c r="G32" i="7"/>
  <c r="F32" i="7"/>
  <c r="H31" i="7"/>
  <c r="G31" i="7"/>
  <c r="F31" i="7"/>
  <c r="H30" i="7"/>
  <c r="G30" i="7"/>
  <c r="F30" i="7"/>
  <c r="H29" i="7"/>
  <c r="G29" i="7"/>
  <c r="F29" i="7"/>
  <c r="H28" i="7"/>
  <c r="G28" i="7"/>
  <c r="F28" i="7"/>
  <c r="H27" i="7"/>
  <c r="G27" i="7"/>
  <c r="F27" i="7"/>
  <c r="H26" i="7"/>
  <c r="G26" i="7"/>
  <c r="F26" i="7"/>
  <c r="H25" i="7"/>
  <c r="G25" i="7"/>
  <c r="F25" i="7"/>
  <c r="H24" i="7"/>
  <c r="G24" i="7"/>
  <c r="F24" i="7"/>
  <c r="H23" i="7"/>
  <c r="G23" i="7"/>
  <c r="F23" i="7"/>
  <c r="H22" i="7"/>
  <c r="G22" i="7"/>
  <c r="F22" i="7"/>
  <c r="H21" i="7"/>
  <c r="G21" i="7"/>
  <c r="F21" i="7"/>
  <c r="H20" i="7"/>
  <c r="G20" i="7"/>
  <c r="F20" i="7"/>
  <c r="H19" i="7"/>
  <c r="G19" i="7"/>
  <c r="F19" i="7"/>
  <c r="H18" i="7"/>
  <c r="G18" i="7"/>
  <c r="F18" i="7"/>
  <c r="H17" i="7"/>
  <c r="G17" i="7"/>
  <c r="F17" i="7"/>
  <c r="H16" i="7"/>
  <c r="G16" i="7"/>
  <c r="F16" i="7"/>
  <c r="H15" i="7"/>
  <c r="G15" i="7"/>
  <c r="F15" i="7"/>
  <c r="H14" i="7"/>
  <c r="G14" i="7"/>
  <c r="F14" i="7"/>
  <c r="H13" i="7"/>
  <c r="G13" i="7"/>
  <c r="F13" i="7"/>
  <c r="H12" i="7"/>
  <c r="G12" i="7"/>
  <c r="F12" i="7"/>
  <c r="H11" i="7"/>
  <c r="G11" i="7"/>
  <c r="F11" i="7"/>
  <c r="H10" i="7"/>
  <c r="G10" i="7"/>
  <c r="F10" i="7"/>
  <c r="H9" i="7"/>
  <c r="G9" i="7"/>
  <c r="F9" i="7"/>
  <c r="H8" i="7"/>
  <c r="G8" i="7"/>
  <c r="F8" i="7"/>
  <c r="H7" i="7"/>
  <c r="G7" i="7"/>
  <c r="F7" i="7"/>
  <c r="H6" i="7"/>
  <c r="G6" i="7"/>
  <c r="F6" i="7"/>
  <c r="B3" i="7"/>
  <c r="V7" i="3"/>
  <c r="L11" i="2"/>
  <c r="J11" i="2"/>
  <c r="K11" i="2" s="1"/>
  <c r="I11" i="2"/>
  <c r="H11" i="2"/>
  <c r="G11" i="2"/>
  <c r="F11" i="2"/>
  <c r="J10" i="2"/>
  <c r="K10" i="2" s="1"/>
  <c r="I10" i="2"/>
  <c r="H10" i="2"/>
  <c r="G10" i="2"/>
  <c r="F10" i="2"/>
  <c r="L10" i="2" s="1"/>
  <c r="J9" i="2"/>
  <c r="L9" i="2" s="1"/>
  <c r="I9" i="2"/>
  <c r="H9" i="2"/>
  <c r="G9" i="2"/>
  <c r="F9" i="2"/>
  <c r="J8" i="2"/>
  <c r="K8" i="2" s="1"/>
  <c r="I8" i="2"/>
  <c r="G8" i="2"/>
  <c r="F8" i="2"/>
  <c r="L8" i="2" s="1"/>
  <c r="J7" i="2"/>
  <c r="K7" i="2" s="1"/>
  <c r="I7" i="2"/>
  <c r="G7" i="2"/>
  <c r="F7" i="2"/>
  <c r="L7" i="2" s="1"/>
  <c r="U36" i="3"/>
  <c r="T36" i="3"/>
  <c r="S36" i="3"/>
  <c r="R36" i="3"/>
  <c r="Q36" i="3"/>
  <c r="P36" i="3"/>
  <c r="C36" i="3"/>
  <c r="U37" i="3"/>
  <c r="T37" i="3"/>
  <c r="S37" i="3"/>
  <c r="R37" i="3"/>
  <c r="Q37" i="3"/>
  <c r="P37" i="3"/>
  <c r="C37" i="3"/>
  <c r="U31" i="3"/>
  <c r="T31" i="3"/>
  <c r="S31" i="3"/>
  <c r="R31" i="3"/>
  <c r="Q31" i="3"/>
  <c r="P31" i="3"/>
  <c r="C31" i="3"/>
  <c r="U35" i="3"/>
  <c r="T35" i="3"/>
  <c r="S35" i="3"/>
  <c r="R35" i="3"/>
  <c r="Q35" i="3"/>
  <c r="P35" i="3"/>
  <c r="C35" i="3"/>
  <c r="U29" i="3"/>
  <c r="T29" i="3"/>
  <c r="S29" i="3"/>
  <c r="R29" i="3"/>
  <c r="Q29" i="3"/>
  <c r="P29" i="3"/>
  <c r="C29" i="3"/>
  <c r="U33" i="3"/>
  <c r="T33" i="3"/>
  <c r="S33" i="3"/>
  <c r="R33" i="3"/>
  <c r="Q33" i="3"/>
  <c r="P33" i="3"/>
  <c r="C33" i="3"/>
  <c r="U25" i="3"/>
  <c r="T25" i="3"/>
  <c r="S25" i="3"/>
  <c r="R25" i="3"/>
  <c r="Q25" i="3"/>
  <c r="P25" i="3"/>
  <c r="C25" i="3"/>
  <c r="U24" i="3"/>
  <c r="T24" i="3"/>
  <c r="S24" i="3"/>
  <c r="R24" i="3"/>
  <c r="Q24" i="3"/>
  <c r="P24" i="3"/>
  <c r="C24" i="3"/>
  <c r="U23" i="3"/>
  <c r="T23" i="3"/>
  <c r="S23" i="3"/>
  <c r="R23" i="3"/>
  <c r="Q23" i="3"/>
  <c r="P23" i="3"/>
  <c r="C23" i="3"/>
  <c r="U34" i="3"/>
  <c r="T34" i="3"/>
  <c r="S34" i="3"/>
  <c r="R34" i="3"/>
  <c r="Q34" i="3"/>
  <c r="P34" i="3"/>
  <c r="C34" i="3"/>
  <c r="U26" i="3"/>
  <c r="T26" i="3"/>
  <c r="S26" i="3"/>
  <c r="R26" i="3"/>
  <c r="Q26" i="3"/>
  <c r="P26" i="3"/>
  <c r="C26" i="3"/>
  <c r="U18" i="3"/>
  <c r="T18" i="3"/>
  <c r="S18" i="3"/>
  <c r="R18" i="3"/>
  <c r="Q18" i="3"/>
  <c r="P18" i="3"/>
  <c r="C18" i="3"/>
  <c r="U32" i="3"/>
  <c r="T32" i="3"/>
  <c r="S32" i="3"/>
  <c r="R32" i="3"/>
  <c r="Q32" i="3"/>
  <c r="P32" i="3"/>
  <c r="C32" i="3"/>
  <c r="U17" i="3"/>
  <c r="T17" i="3"/>
  <c r="S17" i="3"/>
  <c r="R17" i="3"/>
  <c r="Q17" i="3"/>
  <c r="P17" i="3"/>
  <c r="C17" i="3"/>
  <c r="U11" i="3"/>
  <c r="T11" i="3"/>
  <c r="S11" i="3"/>
  <c r="R11" i="3"/>
  <c r="Q11" i="3"/>
  <c r="P11" i="3"/>
  <c r="C11" i="3"/>
  <c r="U16" i="3"/>
  <c r="T16" i="3"/>
  <c r="S16" i="3"/>
  <c r="R16" i="3"/>
  <c r="Q16" i="3"/>
  <c r="P16" i="3"/>
  <c r="C16" i="3"/>
  <c r="U30" i="3"/>
  <c r="T30" i="3"/>
  <c r="S30" i="3"/>
  <c r="R30" i="3"/>
  <c r="Q30" i="3"/>
  <c r="P30" i="3"/>
  <c r="C30" i="3"/>
  <c r="U20" i="3"/>
  <c r="T20" i="3"/>
  <c r="S20" i="3"/>
  <c r="R20" i="3"/>
  <c r="Q20" i="3"/>
  <c r="P20" i="3"/>
  <c r="C20" i="3"/>
  <c r="U28" i="3"/>
  <c r="T28" i="3"/>
  <c r="S28" i="3"/>
  <c r="R28" i="3"/>
  <c r="Q28" i="3"/>
  <c r="P28" i="3"/>
  <c r="C28" i="3"/>
  <c r="U22" i="3"/>
  <c r="T22" i="3"/>
  <c r="S22" i="3"/>
  <c r="R22" i="3"/>
  <c r="Q22" i="3"/>
  <c r="P22" i="3"/>
  <c r="C22" i="3"/>
  <c r="U10" i="3"/>
  <c r="T10" i="3"/>
  <c r="S10" i="3"/>
  <c r="R10" i="3"/>
  <c r="Q10" i="3"/>
  <c r="P10" i="3"/>
  <c r="C10" i="3"/>
  <c r="U13" i="3"/>
  <c r="T13" i="3"/>
  <c r="S13" i="3"/>
  <c r="R13" i="3"/>
  <c r="Q13" i="3"/>
  <c r="P13" i="3"/>
  <c r="C13" i="3"/>
  <c r="U15" i="3"/>
  <c r="T15" i="3"/>
  <c r="S15" i="3"/>
  <c r="R15" i="3"/>
  <c r="Q15" i="3"/>
  <c r="P15" i="3"/>
  <c r="C15" i="3"/>
  <c r="U8" i="3"/>
  <c r="T8" i="3"/>
  <c r="S8" i="3"/>
  <c r="R8" i="3"/>
  <c r="Q8" i="3"/>
  <c r="P8" i="3"/>
  <c r="C8" i="3"/>
  <c r="U27" i="3"/>
  <c r="T27" i="3"/>
  <c r="S27" i="3"/>
  <c r="R27" i="3"/>
  <c r="Q27" i="3"/>
  <c r="P27" i="3"/>
  <c r="C27" i="3"/>
  <c r="U12" i="3"/>
  <c r="T12" i="3"/>
  <c r="S12" i="3"/>
  <c r="R12" i="3"/>
  <c r="Q12" i="3"/>
  <c r="P12" i="3"/>
  <c r="C12" i="3"/>
  <c r="U14" i="3"/>
  <c r="T14" i="3"/>
  <c r="S14" i="3"/>
  <c r="R14" i="3"/>
  <c r="Q14" i="3"/>
  <c r="P14" i="3"/>
  <c r="C14" i="3"/>
  <c r="U7" i="3"/>
  <c r="T7" i="3"/>
  <c r="S7" i="3"/>
  <c r="R7" i="3"/>
  <c r="Q7" i="3"/>
  <c r="P7" i="3"/>
  <c r="C7" i="3"/>
  <c r="U9" i="3"/>
  <c r="T9" i="3"/>
  <c r="S9" i="3"/>
  <c r="R9" i="3"/>
  <c r="Q9" i="3"/>
  <c r="P9" i="3"/>
  <c r="C9" i="3"/>
  <c r="U21" i="3"/>
  <c r="T21" i="3"/>
  <c r="S21" i="3"/>
  <c r="R21" i="3"/>
  <c r="Q21" i="3"/>
  <c r="P21" i="3"/>
  <c r="C21" i="3"/>
  <c r="U19" i="3"/>
  <c r="T19" i="3"/>
  <c r="S19" i="3"/>
  <c r="R19" i="3"/>
  <c r="Q19" i="3"/>
  <c r="P19" i="3"/>
  <c r="C19" i="3"/>
  <c r="U6" i="3"/>
  <c r="T6" i="3"/>
  <c r="S6" i="3"/>
  <c r="R6" i="3"/>
  <c r="Q6" i="3"/>
  <c r="P6" i="3"/>
  <c r="C6" i="3"/>
  <c r="K9" i="2" l="1"/>
  <c r="H7" i="2"/>
  <c r="H8" i="2"/>
</calcChain>
</file>

<file path=xl/sharedStrings.xml><?xml version="1.0" encoding="utf-8"?>
<sst xmlns="http://schemas.openxmlformats.org/spreadsheetml/2006/main" count="5457" uniqueCount="180">
  <si>
    <t>Robotic Surgical Instrument Adverse Events — FDA MAUDE Analysis</t>
  </si>
  <si>
    <t>Product code NAY (System, Surgical, Computer Controlled Instrument: da Vinci system, EndoWrist instruments &amp; accessories). Window 2021–2026 (date_received).</t>
  </si>
  <si>
    <t>Source: openFDA device/event (MAUDE), pulled 2026-06-25, 107,279 reports. Denominators: Intuitive preliminary FY results (worldwide da Vinci procedures).</t>
  </si>
  <si>
    <t>KEY FINDINGS</t>
  </si>
  <si>
    <t>1. Raw report totals are distorted.</t>
  </si>
  <si>
    <t>Total reports rose ~25x (2.0k→49.3k); normalised, all-reports/100k procedures still rose ~12.5x — a reporting/recall artifact, NOT a real failure surge.</t>
  </si>
  <si>
    <t>2. The artifact is 'Material Split, Cut or Torn'.</t>
  </si>
  <si>
    <t>Concentrated in high-volume reusable instruments (fenestrated bipolar, monopolar curved scissors, ProGrasp); these have very low harm fractions (~2%).</t>
  </si>
  <si>
    <t>3. Patient-harm rate is flat-to-declining.</t>
  </si>
  <si>
    <t>Injury+Death per 100k procedures: 36 (2021) → ~74–77 (2022–23) → 61 (2025). Death/100k stable at ~2.6–5.3.</t>
  </si>
  <si>
    <t>4. Harm concentrates in active energy instruments.</t>
  </si>
  <si>
    <t>Harmonic, Tip Cover Accessory, Vessel Sealer, SynchroSeal, Force Bipolar carry high harm fractions (10–38%).</t>
  </si>
  <si>
    <t>5. Component DETACHMENT is the dominant harm mode.</t>
  </si>
  <si>
    <t>#1 failure mode for nearly every instrument; Harmonic alone has 728 detachment-coded harm reports.</t>
  </si>
  <si>
    <t>6. Device-linked deaths sit with hemostasis devices.</t>
  </si>
  <si>
    <t>Vessel Sealer (15 deaths) and Stapler (6) — seal/staple-line failure → haemorrhage. System 'deaths' (cart/arm 352) are mostly 'no device problem identified' = procedure deaths.</t>
  </si>
  <si>
    <t>CAVEATS</t>
  </si>
  <si>
    <t>Passive surveillance</t>
  </si>
  <si>
    <t>Under-reporting, duplicate/supplemental MDRs, unverified causality. Counts are REPORTS, not validated events.</t>
  </si>
  <si>
    <t>Event type</t>
  </si>
  <si>
    <t>'Injury'/'Death' is the harm signal; 'Malfunction' alone is not. Severity is sometimes reclassified on manufacturer follow-up.</t>
  </si>
  <si>
    <t>Denominator</t>
  </si>
  <si>
    <t>Worldwide procedures used; MAUDE is US-FDA but includes manufacturer-reported OUS events. A US-only rate (see toggle) lifts levels ~1.3–1.5x, same shape.</t>
  </si>
  <si>
    <t>Instrument normalisation</t>
  </si>
  <si>
    <t>No per-instrument procedure denominator exists; instrument tables are absolute counts/shares, not per-procedure rates.</t>
  </si>
  <si>
    <t>2026</t>
  </si>
  <si>
    <t>Partial year (through ~June); excluded from annual rate calcs.</t>
  </si>
  <si>
    <t>Procedure-normalised reporting &amp; harm rates</t>
  </si>
  <si>
    <t>Blue = hardcoded input. Black = formula. Yellow = assumption you can change.</t>
  </si>
  <si>
    <t>US share of da Vinci procedures (estimate):</t>
  </si>
  <si>
    <t>&lt;- adjust; US-only rates (cols K–M) scale by this</t>
  </si>
  <si>
    <t>Year</t>
  </si>
  <si>
    <t>Procedures (WW)</t>
  </si>
  <si>
    <t>All reports</t>
  </si>
  <si>
    <t>Injury</t>
  </si>
  <si>
    <t>Death</t>
  </si>
  <si>
    <t>Injury+Death</t>
  </si>
  <si>
    <t>All /100k</t>
  </si>
  <si>
    <t>Harm /100k</t>
  </si>
  <si>
    <t>Death /100k</t>
  </si>
  <si>
    <t>US proc (est)</t>
  </si>
  <si>
    <t>US all/100k</t>
  </si>
  <si>
    <t>US harm/100k</t>
  </si>
  <si>
    <t>Source (proc)</t>
  </si>
  <si>
    <t>2021</t>
  </si>
  <si>
    <t>FY2021 prelim</t>
  </si>
  <si>
    <t>2022</t>
  </si>
  <si>
    <t>FY2022 prelim</t>
  </si>
  <si>
    <t>2023</t>
  </si>
  <si>
    <t>FY2023 prelim</t>
  </si>
  <si>
    <t>2024</t>
  </si>
  <si>
    <t>FY2024 prelim</t>
  </si>
  <si>
    <t>2025</t>
  </si>
  <si>
    <t>FY2025 prelim</t>
  </si>
  <si>
    <t>Failure &amp; harm by instrument (full set, 2021–2026)</t>
  </si>
  <si>
    <t>Reports, Injury+Death and harm fraction split by report year (2021–26; 2026 partial). Reports per surgical case = year reports ÷ that year's da Vinci procedures (linked to 'Normalised Rates'). Total reports = 2021–26 sum. Harm fraction = (Injury+Death)/Reports.</t>
  </si>
  <si>
    <t>Instrument family</t>
  </si>
  <si>
    <t>Group</t>
  </si>
  <si>
    <t>Total reports
2021–26</t>
  </si>
  <si>
    <t>Reports by year</t>
  </si>
  <si>
    <t>Injury+Death by year</t>
  </si>
  <si>
    <t>Harm fraction by year</t>
  </si>
  <si>
    <t>Top failure modes (Injury+Death)</t>
  </si>
  <si>
    <t>Patient-Side Cart/Arm</t>
  </si>
  <si>
    <t>system</t>
  </si>
  <si>
    <t>Adverse Event Without Identified Device or Use Problem (1554); Visual Prompts will not Clear (195); Insufficient Device Problem Information (191); Unintended System Motion (47)</t>
  </si>
  <si>
    <t>Harmonic (ultrasonic)</t>
  </si>
  <si>
    <t>energy</t>
  </si>
  <si>
    <t>Detachment of Device or Device Component (728); Material Fragmentation (163); Break (116); Material Separation (19)</t>
  </si>
  <si>
    <t>Vessel Sealer</t>
  </si>
  <si>
    <t>Failure to Deliver Energy (134); Failure to Seal (79); Material Fragmentation (62); Detachment of Device or Device Component (50)</t>
  </si>
  <si>
    <t>Vision System</t>
  </si>
  <si>
    <t>Visual Prompts will not Clear (108); Output Problem (74); Adverse Event Without Identified Device or Use Problem (48); Energy Output Problem (48)</t>
  </si>
  <si>
    <t>Fenestrated Bipolar</t>
  </si>
  <si>
    <t>Detachment of Device or Device Component (154); Material Fragmentation (145); Break (39); Material Split, Cut or Torn (18)</t>
  </si>
  <si>
    <t>Force Bipolar</t>
  </si>
  <si>
    <t>Detachment of Device or Device Component (119); Entrapment of Device (86); Material Fragmentation (76); Difficult to Open or Close (47)</t>
  </si>
  <si>
    <t>Generic System/Platform</t>
  </si>
  <si>
    <t>Adverse Event Without Identified Device or Use Problem (154); Insufficient Device Problem Information (28); Detachment of Device or Device Component (18); Break (17)</t>
  </si>
  <si>
    <t>Tip Cover Accessory</t>
  </si>
  <si>
    <t>Material Separation (147); Detachment of Device or Device Component (108); Arcing (24); Material Split, Cut or Torn (18)</t>
  </si>
  <si>
    <t>Monopolar Curved Scissors</t>
  </si>
  <si>
    <t>Detachment of Device or Device Component (82); Adverse Event Without Identified Device or Use Problem (39); Material Fragmentation (38); Material Separation (22)</t>
  </si>
  <si>
    <t>Clip Applier</t>
  </si>
  <si>
    <t>mechanical</t>
  </si>
  <si>
    <t>Detachment of Device or Device Component (130); Difficult to Open or Close (108); Material Separation (17); Unintended System Motion (10)</t>
  </si>
  <si>
    <t>Needle Driver / SutureCut</t>
  </si>
  <si>
    <t>Detachment of Device or Device Component (148); Material Fragmentation (61); Break (20); Difficult to Open or Close (12)</t>
  </si>
  <si>
    <t>ProGrasp Forceps</t>
  </si>
  <si>
    <t>Detachment of Device or Device Component (78); Material Fragmentation (67); Material Split, Cut or Torn (20); Entrapment of Device (14)</t>
  </si>
  <si>
    <t>Permanent Cautery Hook</t>
  </si>
  <si>
    <t>Detachment of Device or Device Component (96); Material Fragmentation (63); Break (15); Arcing (12)</t>
  </si>
  <si>
    <t>Stapler (SureForm/EndoWrist)</t>
  </si>
  <si>
    <t>Difficult to Open or Close (28); Detachment of Device or Device Component (27); Adverse Event Without Identified Device or Use Problem (24); Failure to Form Staple (21)</t>
  </si>
  <si>
    <t>Surgeon Console</t>
  </si>
  <si>
    <t>Visual Prompts will not Clear (38); No Display/Image (28); Adverse Event Without Identified Device or Use Problem (21); No Device Output (11)</t>
  </si>
  <si>
    <t>SynchroSeal</t>
  </si>
  <si>
    <t>Detachment of Device or Device Component (82); Material Fragmentation (25); Failure to Deliver Energy (12); Material Separation (10)</t>
  </si>
  <si>
    <t>Cadiere Forceps</t>
  </si>
  <si>
    <t>Detachment of Device or Device Component (73); Material Fragmentation (25); Adverse Event Without Identified Device or Use Problem (15); Break (14)</t>
  </si>
  <si>
    <t>Maryland Bipolar</t>
  </si>
  <si>
    <t>Detachment of Device or Device Component (37); Material Fragmentation (29); Adverse Event Without Identified Device or Use Problem (14); Break (9)</t>
  </si>
  <si>
    <t>Tip-Up Fenestrated Grasper</t>
  </si>
  <si>
    <t>Detachment of Device or Device Component (31); Material Fragmentation (30); Break (9); Adverse Event Without Identified Device or Use Problem (7)</t>
  </si>
  <si>
    <t>Suction Irrigator</t>
  </si>
  <si>
    <t>accessory</t>
  </si>
  <si>
    <t>Detachment of Device or Device Component (43); Material Fragmentation (10); Difficult to Remove (4); Suction Problem (3)</t>
  </si>
  <si>
    <t>Bipolar (other)</t>
  </si>
  <si>
    <t>Detachment of Device or Device Component (22); Material Fragmentation (13); Material Split, Cut or Torn (8); Adverse Event Without Identified Device or Use Problem (7)</t>
  </si>
  <si>
    <t>Permanent Cautery Spatula</t>
  </si>
  <si>
    <t>Detachment of Device or Device Component (24); Material Fragmentation (16); Adverse Event Without Identified Device or Use Problem (5); Break (4)</t>
  </si>
  <si>
    <t>Cannula/Trocar/Reducer/Sheath</t>
  </si>
  <si>
    <t>Detachment of Device or Device Component (29); Material Fragmentation (9); Insufficient Device Problem Information (7); Adverse Event Without Identified Device or Use Problem (4)</t>
  </si>
  <si>
    <t>Tenaculum Forceps</t>
  </si>
  <si>
    <t>Material Fragmentation (16); Detachment of Device or Device Component (7); Break (5); Difficult to Remove (4)</t>
  </si>
  <si>
    <t>Grasping Retractor</t>
  </si>
  <si>
    <t>Detachment of Device or Device Component (19); Material Fragmentation (8); Material Split, Cut or Torn (2); Break (1)</t>
  </si>
  <si>
    <t>Endoscope/Camera</t>
  </si>
  <si>
    <t>Display or Visual Feedback Problem (6); Output Problem (3); Misfocusing (3); Material Fragmentation (2)</t>
  </si>
  <si>
    <t>Grasper/Forceps (other)</t>
  </si>
  <si>
    <t>Detachment of Device or Device Component (8); Mechanical Problem (1); Break (1); Material Fragmentation (1)</t>
  </si>
  <si>
    <t>Curved Bipolar Dissector</t>
  </si>
  <si>
    <t>Detachment of Device or Device Component (3); Material Fragmentation (3); Adverse Event Without Identified Device or Use Problem (1); Break (1)</t>
  </si>
  <si>
    <t>Cobra Grasper</t>
  </si>
  <si>
    <t>Entrapment of Device (2); Defective Device (1); Material Fragmentation (1)</t>
  </si>
  <si>
    <t>Monopolar Cautery (other)</t>
  </si>
  <si>
    <t>Material Fragmentation (2); Use of Device Problem (1); Thermal Decomposition of Device (1); Detachment of Device or Device Component (1)</t>
  </si>
  <si>
    <t>PK Dissecting Forceps</t>
  </si>
  <si>
    <t>Break (2); Insufficient Device Problem Information (1); Detachment of Device or Device Component (1)</t>
  </si>
  <si>
    <t>Unknown/Unspecified</t>
  </si>
  <si>
    <t>unknown</t>
  </si>
  <si>
    <t>Adverse Event Without Identified Device or Use Problem (1)</t>
  </si>
  <si>
    <t>Injury+Death by instrument and year</t>
  </si>
  <si>
    <t>2025 now complete; 2026 partial (omitted).</t>
  </si>
  <si>
    <t>family</t>
  </si>
  <si>
    <t>Device-problem code x instrument (Injury+Death)</t>
  </si>
  <si>
    <t>Detachment of Device or Device Component</t>
  </si>
  <si>
    <t>Adverse Event Without Identified Device or Use Problem</t>
  </si>
  <si>
    <t>Material Fragmentation</t>
  </si>
  <si>
    <t>Insufficient Device Problem Information</t>
  </si>
  <si>
    <t>Visual Prompts will not Clear</t>
  </si>
  <si>
    <t>Break</t>
  </si>
  <si>
    <t>Material Separation</t>
  </si>
  <si>
    <t>Difficult to Open or Close</t>
  </si>
  <si>
    <t>Failure to Deliver Energy</t>
  </si>
  <si>
    <t>Entrapment of Device</t>
  </si>
  <si>
    <t>Material Split, Cut or Torn</t>
  </si>
  <si>
    <t>Output Problem</t>
  </si>
  <si>
    <t>Energy Output Problem</t>
  </si>
  <si>
    <t>Difficult to Remove</t>
  </si>
  <si>
    <t>Unintended System Motion</t>
  </si>
  <si>
    <t>No Device Output</t>
  </si>
  <si>
    <t>Arcing</t>
  </si>
  <si>
    <t>Failure to Seal</t>
  </si>
  <si>
    <t>Appropriate Device Problem Term/ Code Not Available</t>
  </si>
  <si>
    <t>Thermal Decomposition of Device</t>
  </si>
  <si>
    <t>Defective Device</t>
  </si>
  <si>
    <t>No Display/ Image</t>
  </si>
  <si>
    <t>Unintended Movement</t>
  </si>
  <si>
    <t>Physical Resistance/Sticking</t>
  </si>
  <si>
    <t>Use of Device Problem</t>
  </si>
  <si>
    <t>Reports per 1000 surgical cases by year</t>
  </si>
  <si>
    <t>Failure mode</t>
  </si>
  <si>
    <t>Neither</t>
  </si>
  <si>
    <t>Failure-mode deep dive — by year, instrument, mode and harm category</t>
  </si>
  <si>
    <t>Tidy/long format: one row per failure-mode x instrument x year x harm category, with report count. A report listing several problem codes is counted under each (so totals across modes exceed unique reports). Harm category: Death / Injury / Neither (malfunction, other or unspecified). 2026 partial. Use the column filters to slice.</t>
  </si>
  <si>
    <t>Filtered report-count total:</t>
  </si>
  <si>
    <t>Harm category</t>
  </si>
  <si>
    <t>Report count</t>
  </si>
  <si>
    <t>Row Labels</t>
  </si>
  <si>
    <t>Grand Total</t>
  </si>
  <si>
    <t>Column Labels</t>
  </si>
  <si>
    <t>Total Neither_</t>
  </si>
  <si>
    <t>Neither_</t>
  </si>
  <si>
    <t>Total Injury_</t>
  </si>
  <si>
    <t>Injury_</t>
  </si>
  <si>
    <t>Reports/1000 surgeries</t>
  </si>
  <si>
    <t>Neither%</t>
  </si>
  <si>
    <t>Death%</t>
  </si>
  <si>
    <t>Injury%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</si>
</sst>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%"/>
    <numFmt numFmtId="166" formatCode="#,##0;;&quot;&quot;"/>
  </numFmts>
  <fonts count="9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name val="Arial"/>
      <family val="2"/>
    </font>
    <font>
      <i/>
      <sz val="9"/>
      <color rgb="FF555555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F4CCCC"/>
        <bgColor rgb="FFD9D9D9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46">
    <xf numFmtId="0" fontId="0" fillId="0" borderId="0" xfId="0"/>
    <xf numFmtId="0" fontId="7" fillId="3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/>
    <xf numFmtId="9" fontId="6" fillId="2" borderId="1" xfId="0" applyNumberFormat="1" applyFont="1" applyFill="1" applyBorder="1"/>
    <xf numFmtId="0" fontId="7" fillId="3" borderId="1" xfId="0" applyFont="1" applyFill="1" applyBorder="1" applyAlignment="1">
      <alignment horizontal="center" vertical="top"/>
    </xf>
    <xf numFmtId="0" fontId="4" fillId="0" borderId="1" xfId="0" applyFont="1" applyBorder="1"/>
    <xf numFmtId="3" fontId="6" fillId="0" borderId="1" xfId="0" applyNumberFormat="1" applyFont="1" applyBorder="1"/>
    <xf numFmtId="3" fontId="4" fillId="0" borderId="1" xfId="0" applyNumberFormat="1" applyFont="1" applyBorder="1"/>
    <xf numFmtId="164" fontId="4" fillId="0" borderId="1" xfId="0" applyNumberFormat="1" applyFont="1" applyBorder="1"/>
    <xf numFmtId="4" fontId="4" fillId="0" borderId="1" xfId="0" applyNumberFormat="1" applyFont="1" applyBorder="1"/>
    <xf numFmtId="0" fontId="3" fillId="0" borderId="0" xfId="0" applyFont="1" applyAlignment="1">
      <alignment vertical="top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top" wrapText="1"/>
    </xf>
    <xf numFmtId="165" fontId="4" fillId="0" borderId="1" xfId="0" applyNumberFormat="1" applyFont="1" applyBorder="1"/>
    <xf numFmtId="0" fontId="4" fillId="0" borderId="1" xfId="0" applyFont="1" applyBorder="1" applyAlignment="1">
      <alignment horizontal="left" vertical="top" wrapText="1"/>
    </xf>
    <xf numFmtId="0" fontId="4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3" fontId="4" fillId="4" borderId="1" xfId="0" applyNumberFormat="1" applyFont="1" applyFill="1" applyBorder="1"/>
    <xf numFmtId="3" fontId="4" fillId="4" borderId="1" xfId="0" applyNumberFormat="1" applyFont="1" applyFill="1" applyBorder="1" applyAlignment="1">
      <alignment horizontal="left" vertical="top" wrapText="1"/>
    </xf>
    <xf numFmtId="165" fontId="4" fillId="4" borderId="1" xfId="0" applyNumberFormat="1" applyFont="1" applyFill="1" applyBorder="1"/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166" fontId="4" fillId="0" borderId="1" xfId="0" applyNumberFormat="1" applyFont="1" applyBorder="1"/>
    <xf numFmtId="165" fontId="1" fillId="0" borderId="1" xfId="1" applyNumberFormat="1" applyBorder="1"/>
    <xf numFmtId="0" fontId="4" fillId="0" borderId="1" xfId="0" applyFont="1" applyBorder="1" applyAlignment="1">
      <alignment horizontal="left" vertical="center" wrapText="1"/>
    </xf>
    <xf numFmtId="3" fontId="5" fillId="0" borderId="0" xfId="0" applyNumberFormat="1" applyFont="1"/>
    <xf numFmtId="1" fontId="4" fillId="0" borderId="1" xfId="0" applyNumberFormat="1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165" fontId="1" fillId="0" borderId="1" xfId="1" applyNumberForma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GB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Reports per 100k procedures: all vs patient-harm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'Normalised Rates'!$G$6</c:f>
              <c:strCache>
                <c:ptCount val="1"/>
                <c:pt idx="0">
                  <c:v>All /100k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'Normalised Rates'!$A$7:$A$11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'Normalised Rates'!$G$7:$G$11</c:f>
              <c:numCache>
                <c:formatCode>#,##0.0</c:formatCode>
                <c:ptCount val="5"/>
                <c:pt idx="0">
                  <c:v>125.28230865746549</c:v>
                </c:pt>
                <c:pt idx="1">
                  <c:v>305.44</c:v>
                </c:pt>
                <c:pt idx="2">
                  <c:v>476.72790901137358</c:v>
                </c:pt>
                <c:pt idx="3">
                  <c:v>479.76146105106227</c:v>
                </c:pt>
                <c:pt idx="4">
                  <c:v>1563.7805264827148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536-441A-924A-A86DF507E987}"/>
            </c:ext>
          </c:extLst>
        </c:ser>
        <c:ser>
          <c:idx val="1"/>
          <c:order val="1"/>
          <c:tx>
            <c:strRef>
              <c:f>'Normalised Rates'!$H$6</c:f>
              <c:strCache>
                <c:ptCount val="1"/>
                <c:pt idx="0">
                  <c:v>Harm /100k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'Normalised Rates'!$A$7:$A$11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'Normalised Rates'!$H$7:$H$11</c:f>
              <c:numCache>
                <c:formatCode>#,##0.0</c:formatCode>
                <c:ptCount val="5"/>
                <c:pt idx="0">
                  <c:v>36.072772898368882</c:v>
                </c:pt>
                <c:pt idx="1">
                  <c:v>73.333333333333329</c:v>
                </c:pt>
                <c:pt idx="2">
                  <c:v>76.859142607174107</c:v>
                </c:pt>
                <c:pt idx="3">
                  <c:v>68.803578084234076</c:v>
                </c:pt>
                <c:pt idx="4">
                  <c:v>61.24326038693308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536-441A-924A-A86DF507E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1957906"/>
        <c:axId val="25012125"/>
      </c:lineChart>
      <c:catAx>
        <c:axId val="6195790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GB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012125"/>
        <c:crosses val="autoZero"/>
        <c:auto val="1"/>
        <c:lblAlgn val="ctr"/>
        <c:lblOffset val="100"/>
        <c:noMultiLvlLbl val="0"/>
      </c:catAx>
      <c:valAx>
        <c:axId val="250121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GB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per 100,000 procedures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95790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160560</xdr:rowOff>
    </xdr:from>
    <xdr:to>
      <xdr:col>7</xdr:col>
      <xdr:colOff>402480</xdr:colOff>
      <xdr:row>27</xdr:row>
      <xdr:rowOff>182520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r20" refreshedDate="46198.506342245368" createdVersion="8" refreshedVersion="8" minRefreshableVersion="3" recordCount="1268" xr:uid="{C200D60F-EF49-4C84-A4CE-38C00A7FD282}">
  <cacheSource type="worksheet">
    <worksheetSource ref="A5:M1273" sheet="Failure Mode Deep Dive (2)"/>
  </cacheSource>
  <cacheFields count="13">
    <cacheField name="Failure mode" numFmtId="0">
      <sharedItems count="6">
        <s v="Detachment of Device or Device Component"/>
        <s v="Material Fragmentation"/>
        <s v="Break"/>
        <s v="Material Separation"/>
        <s v="Unintended System Motion"/>
        <s v="Material Split, Cut or Torn"/>
      </sharedItems>
    </cacheField>
    <cacheField name="Instrument family" numFmtId="0">
      <sharedItems count="32">
        <s v="Harmonic (ultrasonic)"/>
        <s v="Fenestrated Bipolar"/>
        <s v="ProGrasp Forceps"/>
        <s v="Force Bipolar"/>
        <s v="Needle Driver / SutureCut"/>
        <s v="Monopolar Curved Scissors"/>
        <s v="Permanent Cautery Hook"/>
        <s v="Tenaculum Forceps"/>
        <s v="Clip Applier"/>
        <s v="Maryland Bipolar"/>
        <s v="Grasping Retractor"/>
        <s v="Cadiere Forceps"/>
        <s v="Tip-Up Fenestrated Grasper"/>
        <s v="Permanent Cautery Spatula"/>
        <s v="Tip Cover Accessory"/>
        <s v="Vessel Sealer"/>
        <s v="Patient-Side Cart/Arm"/>
        <s v="SynchroSeal"/>
        <s v="Suction Irrigator"/>
        <s v="Bipolar (other)"/>
        <s v="Stapler (SureForm/EndoWrist)"/>
        <s v="Generic System/Platform"/>
        <s v="Cannula/Trocar/Reducer/Sheath"/>
        <s v="Endoscope/Camera"/>
        <s v="Monopolar Cautery (other)"/>
        <s v="Grasper/Forceps (other)"/>
        <s v="Curved Bipolar Dissector"/>
        <s v="Cobra Grasper"/>
        <s v="PK Dissecting Forceps"/>
        <s v="Surgeon Console"/>
        <s v="Vision System"/>
        <s v="Unknown/Unspecified"/>
      </sharedItems>
    </cacheField>
    <cacheField name="Group" numFmtId="0">
      <sharedItems/>
    </cacheField>
    <cacheField name="Year" numFmtId="1">
      <sharedItems containsSemiMixedTypes="0" containsString="0" containsNumber="1" containsInteger="1" minValue="2021" maxValue="2026" count="6">
        <n v="2021"/>
        <n v="2022"/>
        <n v="2023"/>
        <n v="2024"/>
        <n v="2025"/>
        <n v="2026"/>
      </sharedItems>
    </cacheField>
    <cacheField name="Harm category" numFmtId="0">
      <sharedItems/>
    </cacheField>
    <cacheField name="Neither" numFmtId="0">
      <sharedItems containsSemiMixedTypes="0" containsString="0" containsNumber="1" containsInteger="1" minValue="0" maxValue="7516"/>
    </cacheField>
    <cacheField name="Death" numFmtId="0">
      <sharedItems containsSemiMixedTypes="0" containsString="0" containsNumber="1" containsInteger="1" minValue="0" maxValue="1"/>
    </cacheField>
    <cacheField name="Injury" numFmtId="0">
      <sharedItems containsSemiMixedTypes="0" containsString="0" containsNumber="1" containsInteger="1" minValue="0" maxValue="253"/>
    </cacheField>
    <cacheField name="Neither%" numFmtId="165">
      <sharedItems containsSemiMixedTypes="0" containsString="0" containsNumber="1" minValue="0" maxValue="2.4220742150333017"/>
    </cacheField>
    <cacheField name="Death%" numFmtId="165">
      <sharedItems containsSemiMixedTypes="0" containsString="0" containsNumber="1" minValue="0" maxValue="4.3744531933508313E-4"/>
    </cacheField>
    <cacheField name="Injury%" numFmtId="165">
      <sharedItems containsSemiMixedTypes="0" containsString="0" containsNumber="1" minValue="0" maxValue="0.11067366579177602"/>
    </cacheField>
    <cacheField name="Reports/1000 surgeries" numFmtId="165">
      <sharedItems containsSemiMixedTypes="0" containsString="0" containsNumber="1" minValue="3.1715826197272439E-4" maxValue="2.4220742150333017"/>
    </cacheField>
    <cacheField name="Report count" numFmtId="3">
      <sharedItems containsSemiMixedTypes="0" containsString="0" containsNumber="1" containsInteger="1" minValue="1" maxValue="75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8">
  <r>
    <x v="0"/>
    <x v="0"/>
    <s v="energy"/>
    <x v="0"/>
    <s v="Injury"/>
    <n v="0"/>
    <n v="0"/>
    <n v="61"/>
    <n v="0"/>
    <n v="0"/>
    <n v="3.8268506900878296E-2"/>
    <n v="3.8268506900878296E-2"/>
    <n v="61"/>
  </r>
  <r>
    <x v="0"/>
    <x v="0"/>
    <s v="energy"/>
    <x v="0"/>
    <s v="Neither"/>
    <n v="1"/>
    <n v="0"/>
    <n v="0"/>
    <n v="6.2735257214554575E-4"/>
    <n v="0"/>
    <n v="0"/>
    <n v="6.2735257214554575E-4"/>
    <n v="1"/>
  </r>
  <r>
    <x v="0"/>
    <x v="0"/>
    <s v="energy"/>
    <x v="1"/>
    <s v="Injury"/>
    <n v="0"/>
    <n v="0"/>
    <n v="128"/>
    <n v="0"/>
    <n v="0"/>
    <n v="6.826666666666667E-2"/>
    <n v="6.826666666666667E-2"/>
    <n v="128"/>
  </r>
  <r>
    <x v="0"/>
    <x v="0"/>
    <s v="energy"/>
    <x v="1"/>
    <s v="Neither"/>
    <n v="88"/>
    <n v="0"/>
    <n v="0"/>
    <n v="4.6933333333333334E-2"/>
    <n v="0"/>
    <n v="0"/>
    <n v="4.6933333333333334E-2"/>
    <n v="88"/>
  </r>
  <r>
    <x v="0"/>
    <x v="0"/>
    <s v="energy"/>
    <x v="2"/>
    <s v="Injury"/>
    <n v="0"/>
    <n v="0"/>
    <n v="253"/>
    <n v="0"/>
    <n v="0"/>
    <n v="0.11067366579177602"/>
    <n v="0.11067366579177602"/>
    <n v="253"/>
  </r>
  <r>
    <x v="0"/>
    <x v="0"/>
    <s v="energy"/>
    <x v="2"/>
    <s v="Neither"/>
    <n v="278"/>
    <n v="0"/>
    <n v="0"/>
    <n v="0.1216097987751531"/>
    <n v="0"/>
    <n v="0"/>
    <n v="0.1216097987751531"/>
    <n v="278"/>
  </r>
  <r>
    <x v="0"/>
    <x v="0"/>
    <s v="energy"/>
    <x v="3"/>
    <s v="Injury"/>
    <n v="0"/>
    <n v="0"/>
    <n v="125"/>
    <n v="0"/>
    <n v="0"/>
    <n v="4.6589638464405517E-2"/>
    <n v="4.6589638464405517E-2"/>
    <n v="125"/>
  </r>
  <r>
    <x v="0"/>
    <x v="0"/>
    <s v="energy"/>
    <x v="3"/>
    <s v="Neither"/>
    <n v="116"/>
    <n v="0"/>
    <n v="0"/>
    <n v="4.3235184494968319E-2"/>
    <n v="0"/>
    <n v="0"/>
    <n v="4.3235184494968319E-2"/>
    <n v="116"/>
  </r>
  <r>
    <x v="0"/>
    <x v="0"/>
    <s v="energy"/>
    <x v="4"/>
    <s v="Injury"/>
    <n v="0"/>
    <n v="0"/>
    <n v="123"/>
    <n v="0"/>
    <n v="0"/>
    <n v="3.9010466222645097E-2"/>
    <n v="3.9010466222645097E-2"/>
    <n v="123"/>
  </r>
  <r>
    <x v="0"/>
    <x v="0"/>
    <s v="energy"/>
    <x v="4"/>
    <s v="Neither"/>
    <n v="46"/>
    <n v="0"/>
    <n v="0"/>
    <n v="1.4589280050745322E-2"/>
    <n v="0"/>
    <n v="0"/>
    <n v="1.4589280050745322E-2"/>
    <n v="46"/>
  </r>
  <r>
    <x v="0"/>
    <x v="0"/>
    <s v="energy"/>
    <x v="5"/>
    <s v="Injury"/>
    <n v="0"/>
    <n v="0"/>
    <n v="38"/>
    <n v="0"/>
    <n v="0"/>
    <n v="2.8924833491912463E-2"/>
    <n v="2.8924833491912463E-2"/>
    <n v="38"/>
  </r>
  <r>
    <x v="0"/>
    <x v="0"/>
    <s v="energy"/>
    <x v="5"/>
    <s v="Neither"/>
    <n v="25"/>
    <n v="0"/>
    <n v="0"/>
    <n v="1.9029495718363463E-2"/>
    <n v="0"/>
    <n v="0"/>
    <n v="1.9029495718363463E-2"/>
    <n v="25"/>
  </r>
  <r>
    <x v="0"/>
    <x v="1"/>
    <s v="energy"/>
    <x v="0"/>
    <s v="Injury"/>
    <n v="0"/>
    <n v="0"/>
    <n v="10"/>
    <n v="0"/>
    <n v="0"/>
    <n v="6.2735257214554582E-3"/>
    <n v="6.2735257214554582E-3"/>
    <n v="10"/>
  </r>
  <r>
    <x v="0"/>
    <x v="1"/>
    <s v="energy"/>
    <x v="0"/>
    <s v="Neither"/>
    <n v="5"/>
    <n v="0"/>
    <n v="0"/>
    <n v="3.1367628607277291E-3"/>
    <n v="0"/>
    <n v="0"/>
    <n v="3.1367628607277291E-3"/>
    <n v="5"/>
  </r>
  <r>
    <x v="0"/>
    <x v="1"/>
    <s v="energy"/>
    <x v="1"/>
    <s v="Injury"/>
    <n v="0"/>
    <n v="0"/>
    <n v="26"/>
    <n v="0"/>
    <n v="0"/>
    <n v="1.3866666666666666E-2"/>
    <n v="1.3866666666666666E-2"/>
    <n v="26"/>
  </r>
  <r>
    <x v="0"/>
    <x v="1"/>
    <s v="energy"/>
    <x v="1"/>
    <s v="Neither"/>
    <n v="33"/>
    <n v="0"/>
    <n v="0"/>
    <n v="1.7600000000000001E-2"/>
    <n v="0"/>
    <n v="0"/>
    <n v="1.7600000000000001E-2"/>
    <n v="33"/>
  </r>
  <r>
    <x v="0"/>
    <x v="1"/>
    <s v="energy"/>
    <x v="2"/>
    <s v="Injury"/>
    <n v="0"/>
    <n v="0"/>
    <n v="41"/>
    <n v="0"/>
    <n v="0"/>
    <n v="1.7935258092738406E-2"/>
    <n v="1.7935258092738406E-2"/>
    <n v="41"/>
  </r>
  <r>
    <x v="0"/>
    <x v="1"/>
    <s v="energy"/>
    <x v="2"/>
    <s v="Neither"/>
    <n v="96"/>
    <n v="0"/>
    <n v="0"/>
    <n v="4.1994750656167978E-2"/>
    <n v="0"/>
    <n v="0"/>
    <n v="4.1994750656167978E-2"/>
    <n v="96"/>
  </r>
  <r>
    <x v="0"/>
    <x v="1"/>
    <s v="energy"/>
    <x v="3"/>
    <s v="Injury"/>
    <n v="0"/>
    <n v="0"/>
    <n v="54"/>
    <n v="0"/>
    <n v="0"/>
    <n v="2.0126723816623181E-2"/>
    <n v="2.0126723816623181E-2"/>
    <n v="54"/>
  </r>
  <r>
    <x v="0"/>
    <x v="1"/>
    <s v="energy"/>
    <x v="3"/>
    <s v="Neither"/>
    <n v="61"/>
    <n v="0"/>
    <n v="0"/>
    <n v="2.2735743570629893E-2"/>
    <n v="0"/>
    <n v="0"/>
    <n v="2.2735743570629893E-2"/>
    <n v="61"/>
  </r>
  <r>
    <x v="0"/>
    <x v="1"/>
    <s v="energy"/>
    <x v="4"/>
    <s v="Injury"/>
    <n v="0"/>
    <n v="0"/>
    <n v="19"/>
    <n v="0"/>
    <n v="0"/>
    <n v="6.0260069774817635E-3"/>
    <n v="6.0260069774817635E-3"/>
    <n v="19"/>
  </r>
  <r>
    <x v="0"/>
    <x v="1"/>
    <s v="energy"/>
    <x v="4"/>
    <s v="Neither"/>
    <n v="143"/>
    <n v="0"/>
    <n v="0"/>
    <n v="4.5353631462099586E-2"/>
    <n v="0"/>
    <n v="0"/>
    <n v="4.5353631462099586E-2"/>
    <n v="143"/>
  </r>
  <r>
    <x v="0"/>
    <x v="1"/>
    <s v="energy"/>
    <x v="5"/>
    <s v="Injury"/>
    <n v="0"/>
    <n v="0"/>
    <n v="4"/>
    <n v="0"/>
    <n v="0"/>
    <n v="3.0447193149381541E-3"/>
    <n v="3.0447193149381541E-3"/>
    <n v="4"/>
  </r>
  <r>
    <x v="0"/>
    <x v="1"/>
    <s v="energy"/>
    <x v="5"/>
    <s v="Neither"/>
    <n v="88"/>
    <n v="0"/>
    <n v="0"/>
    <n v="6.6983824928639385E-2"/>
    <n v="0"/>
    <n v="0"/>
    <n v="6.6983824928639385E-2"/>
    <n v="88"/>
  </r>
  <r>
    <x v="0"/>
    <x v="2"/>
    <s v="mechanical"/>
    <x v="0"/>
    <s v="Injury"/>
    <n v="0"/>
    <n v="0"/>
    <n v="4"/>
    <n v="0"/>
    <n v="0"/>
    <n v="2.509410288582183E-3"/>
    <n v="2.509410288582183E-3"/>
    <n v="4"/>
  </r>
  <r>
    <x v="0"/>
    <x v="2"/>
    <s v="mechanical"/>
    <x v="0"/>
    <s v="Neither"/>
    <n v="7"/>
    <n v="0"/>
    <n v="0"/>
    <n v="4.3914680050188204E-3"/>
    <n v="0"/>
    <n v="0"/>
    <n v="4.3914680050188204E-3"/>
    <n v="7"/>
  </r>
  <r>
    <x v="0"/>
    <x v="2"/>
    <s v="mechanical"/>
    <x v="1"/>
    <s v="Injury"/>
    <n v="0"/>
    <n v="0"/>
    <n v="15"/>
    <n v="0"/>
    <n v="0"/>
    <n v="8.0000000000000002E-3"/>
    <n v="8.0000000000000002E-3"/>
    <n v="15"/>
  </r>
  <r>
    <x v="0"/>
    <x v="2"/>
    <s v="mechanical"/>
    <x v="1"/>
    <s v="Neither"/>
    <n v="21"/>
    <n v="0"/>
    <n v="0"/>
    <n v="1.12E-2"/>
    <n v="0"/>
    <n v="0"/>
    <n v="1.12E-2"/>
    <n v="21"/>
  </r>
  <r>
    <x v="0"/>
    <x v="2"/>
    <s v="mechanical"/>
    <x v="2"/>
    <s v="Injury"/>
    <n v="0"/>
    <n v="0"/>
    <n v="26"/>
    <n v="0"/>
    <n v="0"/>
    <n v="1.1373578302712161E-2"/>
    <n v="1.1373578302712161E-2"/>
    <n v="26"/>
  </r>
  <r>
    <x v="0"/>
    <x v="2"/>
    <s v="mechanical"/>
    <x v="2"/>
    <s v="Neither"/>
    <n v="61"/>
    <n v="0"/>
    <n v="0"/>
    <n v="2.6684164479440071E-2"/>
    <n v="0"/>
    <n v="0"/>
    <n v="2.6684164479440071E-2"/>
    <n v="61"/>
  </r>
  <r>
    <x v="0"/>
    <x v="2"/>
    <s v="mechanical"/>
    <x v="3"/>
    <s v="Injury"/>
    <n v="0"/>
    <n v="0"/>
    <n v="28"/>
    <n v="0"/>
    <n v="0"/>
    <n v="1.0436079016026835E-2"/>
    <n v="1.0436079016026835E-2"/>
    <n v="28"/>
  </r>
  <r>
    <x v="0"/>
    <x v="2"/>
    <s v="mechanical"/>
    <x v="3"/>
    <s v="Neither"/>
    <n v="61"/>
    <n v="0"/>
    <n v="0"/>
    <n v="2.2735743570629893E-2"/>
    <n v="0"/>
    <n v="0"/>
    <n v="2.2735743570629893E-2"/>
    <n v="61"/>
  </r>
  <r>
    <x v="0"/>
    <x v="2"/>
    <s v="mechanical"/>
    <x v="4"/>
    <s v="Injury"/>
    <n v="0"/>
    <n v="0"/>
    <n v="4"/>
    <n v="0"/>
    <n v="0"/>
    <n v="1.2686330478908975E-3"/>
    <n v="1.2686330478908975E-3"/>
    <n v="4"/>
  </r>
  <r>
    <x v="0"/>
    <x v="2"/>
    <s v="mechanical"/>
    <x v="4"/>
    <s v="Neither"/>
    <n v="136"/>
    <n v="0"/>
    <n v="0"/>
    <n v="4.3133523628290517E-2"/>
    <n v="0"/>
    <n v="0"/>
    <n v="4.3133523628290517E-2"/>
    <n v="136"/>
  </r>
  <r>
    <x v="0"/>
    <x v="2"/>
    <s v="mechanical"/>
    <x v="5"/>
    <s v="Injury"/>
    <n v="0"/>
    <n v="0"/>
    <n v="1"/>
    <n v="0"/>
    <n v="0"/>
    <n v="7.6117982873453852E-4"/>
    <n v="7.6117982873453852E-4"/>
    <n v="1"/>
  </r>
  <r>
    <x v="0"/>
    <x v="2"/>
    <s v="mechanical"/>
    <x v="5"/>
    <s v="Neither"/>
    <n v="80"/>
    <n v="0"/>
    <n v="0"/>
    <n v="6.0894386298763085E-2"/>
    <n v="0"/>
    <n v="0"/>
    <n v="6.0894386298763085E-2"/>
    <n v="80"/>
  </r>
  <r>
    <x v="0"/>
    <x v="3"/>
    <s v="energy"/>
    <x v="0"/>
    <s v="Injury"/>
    <n v="0"/>
    <n v="0"/>
    <n v="6"/>
    <n v="0"/>
    <n v="0"/>
    <n v="3.7641154328732747E-3"/>
    <n v="3.7641154328732747E-3"/>
    <n v="6"/>
  </r>
  <r>
    <x v="0"/>
    <x v="3"/>
    <s v="energy"/>
    <x v="0"/>
    <s v="Neither"/>
    <n v="2"/>
    <n v="0"/>
    <n v="0"/>
    <n v="1.2547051442910915E-3"/>
    <n v="0"/>
    <n v="0"/>
    <n v="1.2547051442910915E-3"/>
    <n v="2"/>
  </r>
  <r>
    <x v="0"/>
    <x v="3"/>
    <s v="energy"/>
    <x v="1"/>
    <s v="Injury"/>
    <n v="0"/>
    <n v="0"/>
    <n v="23"/>
    <n v="0"/>
    <n v="0"/>
    <n v="1.2266666666666667E-2"/>
    <n v="1.2266666666666667E-2"/>
    <n v="23"/>
  </r>
  <r>
    <x v="0"/>
    <x v="3"/>
    <s v="energy"/>
    <x v="1"/>
    <s v="Neither"/>
    <n v="18"/>
    <n v="0"/>
    <n v="0"/>
    <n v="9.5999999999999992E-3"/>
    <n v="0"/>
    <n v="0"/>
    <n v="9.5999999999999992E-3"/>
    <n v="18"/>
  </r>
  <r>
    <x v="0"/>
    <x v="3"/>
    <s v="energy"/>
    <x v="2"/>
    <s v="Injury"/>
    <n v="0"/>
    <n v="0"/>
    <n v="38"/>
    <n v="0"/>
    <n v="0"/>
    <n v="1.6622922134733157E-2"/>
    <n v="1.6622922134733157E-2"/>
    <n v="38"/>
  </r>
  <r>
    <x v="0"/>
    <x v="3"/>
    <s v="energy"/>
    <x v="2"/>
    <s v="Neither"/>
    <n v="69"/>
    <n v="0"/>
    <n v="0"/>
    <n v="3.0183727034120734E-2"/>
    <n v="0"/>
    <n v="0"/>
    <n v="3.0183727034120734E-2"/>
    <n v="69"/>
  </r>
  <r>
    <x v="0"/>
    <x v="3"/>
    <s v="energy"/>
    <x v="3"/>
    <s v="Injury"/>
    <n v="0"/>
    <n v="0"/>
    <n v="34"/>
    <n v="0"/>
    <n v="0"/>
    <n v="1.2672381662318301E-2"/>
    <n v="1.2672381662318301E-2"/>
    <n v="34"/>
  </r>
  <r>
    <x v="0"/>
    <x v="3"/>
    <s v="energy"/>
    <x v="3"/>
    <s v="Neither"/>
    <n v="87"/>
    <n v="0"/>
    <n v="0"/>
    <n v="3.2426388371226238E-2"/>
    <n v="0"/>
    <n v="0"/>
    <n v="3.2426388371226238E-2"/>
    <n v="87"/>
  </r>
  <r>
    <x v="0"/>
    <x v="3"/>
    <s v="energy"/>
    <x v="4"/>
    <s v="Injury"/>
    <n v="0"/>
    <n v="0"/>
    <n v="14"/>
    <n v="0"/>
    <n v="0"/>
    <n v="4.4402156676181413E-3"/>
    <n v="4.4402156676181413E-3"/>
    <n v="14"/>
  </r>
  <r>
    <x v="0"/>
    <x v="3"/>
    <s v="energy"/>
    <x v="4"/>
    <s v="Neither"/>
    <n v="96"/>
    <n v="0"/>
    <n v="0"/>
    <n v="3.0447193149381543E-2"/>
    <n v="0"/>
    <n v="0"/>
    <n v="3.0447193149381543E-2"/>
    <n v="96"/>
  </r>
  <r>
    <x v="0"/>
    <x v="3"/>
    <s v="energy"/>
    <x v="5"/>
    <s v="Injury"/>
    <n v="0"/>
    <n v="0"/>
    <n v="4"/>
    <n v="0"/>
    <n v="0"/>
    <n v="3.0447193149381541E-3"/>
    <n v="3.0447193149381541E-3"/>
    <n v="4"/>
  </r>
  <r>
    <x v="0"/>
    <x v="3"/>
    <s v="energy"/>
    <x v="5"/>
    <s v="Neither"/>
    <n v="46"/>
    <n v="0"/>
    <n v="0"/>
    <n v="3.5014272121788773E-2"/>
    <n v="0"/>
    <n v="0"/>
    <n v="3.5014272121788773E-2"/>
    <n v="46"/>
  </r>
  <r>
    <x v="0"/>
    <x v="4"/>
    <s v="mechanical"/>
    <x v="0"/>
    <s v="Injury"/>
    <n v="0"/>
    <n v="0"/>
    <n v="22"/>
    <n v="0"/>
    <n v="0"/>
    <n v="1.3801756587202008E-2"/>
    <n v="1.3801756587202008E-2"/>
    <n v="22"/>
  </r>
  <r>
    <x v="0"/>
    <x v="4"/>
    <s v="mechanical"/>
    <x v="0"/>
    <s v="Neither"/>
    <n v="10"/>
    <n v="0"/>
    <n v="0"/>
    <n v="6.2735257214554582E-3"/>
    <n v="0"/>
    <n v="0"/>
    <n v="6.2735257214554582E-3"/>
    <n v="10"/>
  </r>
  <r>
    <x v="0"/>
    <x v="4"/>
    <s v="mechanical"/>
    <x v="1"/>
    <s v="Injury"/>
    <n v="0"/>
    <n v="0"/>
    <n v="39"/>
    <n v="0"/>
    <n v="0"/>
    <n v="2.0799999999999999E-2"/>
    <n v="2.0799999999999999E-2"/>
    <n v="39"/>
  </r>
  <r>
    <x v="0"/>
    <x v="4"/>
    <s v="mechanical"/>
    <x v="1"/>
    <s v="Neither"/>
    <n v="23"/>
    <n v="0"/>
    <n v="0"/>
    <n v="1.2266666666666667E-2"/>
    <n v="0"/>
    <n v="0"/>
    <n v="1.2266666666666667E-2"/>
    <n v="23"/>
  </r>
  <r>
    <x v="0"/>
    <x v="4"/>
    <s v="mechanical"/>
    <x v="2"/>
    <s v="Injury"/>
    <n v="0"/>
    <n v="0"/>
    <n v="40"/>
    <n v="0"/>
    <n v="0"/>
    <n v="1.7497812773403325E-2"/>
    <n v="1.7497812773403325E-2"/>
    <n v="40"/>
  </r>
  <r>
    <x v="0"/>
    <x v="4"/>
    <s v="mechanical"/>
    <x v="2"/>
    <s v="Neither"/>
    <n v="59"/>
    <n v="0"/>
    <n v="0"/>
    <n v="2.5809273840769902E-2"/>
    <n v="0"/>
    <n v="0"/>
    <n v="2.5809273840769902E-2"/>
    <n v="59"/>
  </r>
  <r>
    <x v="0"/>
    <x v="4"/>
    <s v="mechanical"/>
    <x v="3"/>
    <s v="Injury"/>
    <n v="0"/>
    <n v="0"/>
    <n v="26"/>
    <n v="0"/>
    <n v="0"/>
    <n v="9.6906448005963479E-3"/>
    <n v="9.6906448005963479E-3"/>
    <n v="26"/>
  </r>
  <r>
    <x v="0"/>
    <x v="4"/>
    <s v="mechanical"/>
    <x v="3"/>
    <s v="Neither"/>
    <n v="32"/>
    <n v="0"/>
    <n v="0"/>
    <n v="1.1926947446887812E-2"/>
    <n v="0"/>
    <n v="0"/>
    <n v="1.1926947446887812E-2"/>
    <n v="32"/>
  </r>
  <r>
    <x v="0"/>
    <x v="4"/>
    <s v="mechanical"/>
    <x v="4"/>
    <s v="Injury"/>
    <n v="0"/>
    <n v="0"/>
    <n v="14"/>
    <n v="0"/>
    <n v="0"/>
    <n v="4.4402156676181413E-3"/>
    <n v="4.4402156676181413E-3"/>
    <n v="14"/>
  </r>
  <r>
    <x v="0"/>
    <x v="4"/>
    <s v="mechanical"/>
    <x v="4"/>
    <s v="Neither"/>
    <n v="64"/>
    <n v="0"/>
    <n v="0"/>
    <n v="2.0298128766254361E-2"/>
    <n v="0"/>
    <n v="0"/>
    <n v="2.0298128766254361E-2"/>
    <n v="64"/>
  </r>
  <r>
    <x v="0"/>
    <x v="4"/>
    <s v="mechanical"/>
    <x v="5"/>
    <s v="Injury"/>
    <n v="0"/>
    <n v="0"/>
    <n v="7"/>
    <n v="0"/>
    <n v="0"/>
    <n v="5.3282588011417699E-3"/>
    <n v="5.3282588011417699E-3"/>
    <n v="7"/>
  </r>
  <r>
    <x v="0"/>
    <x v="4"/>
    <s v="mechanical"/>
    <x v="5"/>
    <s v="Neither"/>
    <n v="30"/>
    <n v="0"/>
    <n v="0"/>
    <n v="2.2835394862036156E-2"/>
    <n v="0"/>
    <n v="0"/>
    <n v="2.2835394862036156E-2"/>
    <n v="30"/>
  </r>
  <r>
    <x v="0"/>
    <x v="5"/>
    <s v="energy"/>
    <x v="0"/>
    <s v="Injury"/>
    <n v="0"/>
    <n v="0"/>
    <n v="8"/>
    <n v="0"/>
    <n v="0"/>
    <n v="5.018820577164366E-3"/>
    <n v="5.018820577164366E-3"/>
    <n v="8"/>
  </r>
  <r>
    <x v="0"/>
    <x v="5"/>
    <s v="energy"/>
    <x v="0"/>
    <s v="Neither"/>
    <n v="1"/>
    <n v="0"/>
    <n v="0"/>
    <n v="6.2735257214554575E-4"/>
    <n v="0"/>
    <n v="0"/>
    <n v="6.2735257214554575E-4"/>
    <n v="1"/>
  </r>
  <r>
    <x v="0"/>
    <x v="5"/>
    <s v="energy"/>
    <x v="1"/>
    <s v="Injury"/>
    <n v="0"/>
    <n v="0"/>
    <n v="6"/>
    <n v="0"/>
    <n v="0"/>
    <n v="3.2000000000000002E-3"/>
    <n v="3.2000000000000002E-3"/>
    <n v="6"/>
  </r>
  <r>
    <x v="0"/>
    <x v="5"/>
    <s v="energy"/>
    <x v="1"/>
    <s v="Neither"/>
    <n v="21"/>
    <n v="0"/>
    <n v="0"/>
    <n v="1.12E-2"/>
    <n v="0"/>
    <n v="0"/>
    <n v="1.12E-2"/>
    <n v="21"/>
  </r>
  <r>
    <x v="0"/>
    <x v="5"/>
    <s v="energy"/>
    <x v="2"/>
    <s v="Injury"/>
    <n v="0"/>
    <n v="0"/>
    <n v="23"/>
    <n v="0"/>
    <n v="0"/>
    <n v="1.0061242344706912E-2"/>
    <n v="1.0061242344706912E-2"/>
    <n v="23"/>
  </r>
  <r>
    <x v="0"/>
    <x v="5"/>
    <s v="energy"/>
    <x v="2"/>
    <s v="Neither"/>
    <n v="64"/>
    <n v="0"/>
    <n v="0"/>
    <n v="2.799650043744532E-2"/>
    <n v="0"/>
    <n v="0"/>
    <n v="2.799650043744532E-2"/>
    <n v="64"/>
  </r>
  <r>
    <x v="0"/>
    <x v="5"/>
    <s v="energy"/>
    <x v="3"/>
    <s v="Injury"/>
    <n v="0"/>
    <n v="0"/>
    <n v="18"/>
    <n v="0"/>
    <n v="0"/>
    <n v="6.7089079388743941E-3"/>
    <n v="6.7089079388743941E-3"/>
    <n v="18"/>
  </r>
  <r>
    <x v="0"/>
    <x v="5"/>
    <s v="energy"/>
    <x v="3"/>
    <s v="Neither"/>
    <n v="56"/>
    <n v="0"/>
    <n v="0"/>
    <n v="2.0872158032053671E-2"/>
    <n v="0"/>
    <n v="0"/>
    <n v="2.0872158032053671E-2"/>
    <n v="56"/>
  </r>
  <r>
    <x v="0"/>
    <x v="5"/>
    <s v="energy"/>
    <x v="4"/>
    <s v="Injury"/>
    <n v="0"/>
    <n v="0"/>
    <n v="18"/>
    <n v="0"/>
    <n v="0"/>
    <n v="5.708848715509039E-3"/>
    <n v="5.708848715509039E-3"/>
    <n v="18"/>
  </r>
  <r>
    <x v="0"/>
    <x v="5"/>
    <s v="energy"/>
    <x v="4"/>
    <s v="Neither"/>
    <n v="72"/>
    <n v="0"/>
    <n v="0"/>
    <n v="2.2835394862036156E-2"/>
    <n v="0"/>
    <n v="0"/>
    <n v="2.2835394862036156E-2"/>
    <n v="72"/>
  </r>
  <r>
    <x v="0"/>
    <x v="5"/>
    <s v="energy"/>
    <x v="5"/>
    <s v="Injury"/>
    <n v="0"/>
    <n v="0"/>
    <n v="9"/>
    <n v="0"/>
    <n v="0"/>
    <n v="6.8506184586108465E-3"/>
    <n v="6.8506184586108465E-3"/>
    <n v="9"/>
  </r>
  <r>
    <x v="0"/>
    <x v="5"/>
    <s v="energy"/>
    <x v="5"/>
    <s v="Neither"/>
    <n v="70"/>
    <n v="0"/>
    <n v="0"/>
    <n v="5.3282588011417699E-2"/>
    <n v="0"/>
    <n v="0"/>
    <n v="5.3282588011417699E-2"/>
    <n v="70"/>
  </r>
  <r>
    <x v="0"/>
    <x v="6"/>
    <s v="energy"/>
    <x v="0"/>
    <s v="Injury"/>
    <n v="0"/>
    <n v="0"/>
    <n v="13"/>
    <n v="0"/>
    <n v="0"/>
    <n v="8.1555834378920951E-3"/>
    <n v="8.1555834378920951E-3"/>
    <n v="13"/>
  </r>
  <r>
    <x v="0"/>
    <x v="6"/>
    <s v="energy"/>
    <x v="0"/>
    <s v="Neither"/>
    <n v="39"/>
    <n v="0"/>
    <n v="0"/>
    <n v="2.4466750313676285E-2"/>
    <n v="0"/>
    <n v="0"/>
    <n v="2.4466750313676285E-2"/>
    <n v="39"/>
  </r>
  <r>
    <x v="0"/>
    <x v="6"/>
    <s v="energy"/>
    <x v="1"/>
    <s v="Injury"/>
    <n v="0"/>
    <n v="0"/>
    <n v="12"/>
    <n v="0"/>
    <n v="0"/>
    <n v="6.4000000000000003E-3"/>
    <n v="6.4000000000000003E-3"/>
    <n v="12"/>
  </r>
  <r>
    <x v="0"/>
    <x v="6"/>
    <s v="energy"/>
    <x v="1"/>
    <s v="Neither"/>
    <n v="49"/>
    <n v="0"/>
    <n v="0"/>
    <n v="2.6133333333333335E-2"/>
    <n v="0"/>
    <n v="0"/>
    <n v="2.6133333333333335E-2"/>
    <n v="49"/>
  </r>
  <r>
    <x v="0"/>
    <x v="6"/>
    <s v="energy"/>
    <x v="2"/>
    <s v="Injury"/>
    <n v="0"/>
    <n v="0"/>
    <n v="28"/>
    <n v="0"/>
    <n v="0"/>
    <n v="1.2248468941382326E-2"/>
    <n v="1.2248468941382326E-2"/>
    <n v="28"/>
  </r>
  <r>
    <x v="0"/>
    <x v="6"/>
    <s v="energy"/>
    <x v="2"/>
    <s v="Neither"/>
    <n v="71"/>
    <n v="0"/>
    <n v="0"/>
    <n v="3.10586176727909E-2"/>
    <n v="0"/>
    <n v="0"/>
    <n v="3.10586176727909E-2"/>
    <n v="71"/>
  </r>
  <r>
    <x v="0"/>
    <x v="6"/>
    <s v="energy"/>
    <x v="3"/>
    <s v="Injury"/>
    <n v="0"/>
    <n v="0"/>
    <n v="22"/>
    <n v="0"/>
    <n v="0"/>
    <n v="8.1997763697353714E-3"/>
    <n v="8.1997763697353714E-3"/>
    <n v="22"/>
  </r>
  <r>
    <x v="0"/>
    <x v="6"/>
    <s v="energy"/>
    <x v="3"/>
    <s v="Neither"/>
    <n v="40"/>
    <n v="0"/>
    <n v="0"/>
    <n v="1.4908684308609765E-2"/>
    <n v="0"/>
    <n v="0"/>
    <n v="1.4908684308609765E-2"/>
    <n v="40"/>
  </r>
  <r>
    <x v="0"/>
    <x v="6"/>
    <s v="energy"/>
    <x v="4"/>
    <s v="Injury"/>
    <n v="0"/>
    <n v="0"/>
    <n v="17"/>
    <n v="0"/>
    <n v="0"/>
    <n v="5.3916904535363146E-3"/>
    <n v="5.3916904535363146E-3"/>
    <n v="17"/>
  </r>
  <r>
    <x v="0"/>
    <x v="6"/>
    <s v="energy"/>
    <x v="4"/>
    <s v="Neither"/>
    <n v="30"/>
    <n v="0"/>
    <n v="0"/>
    <n v="9.5147478591817315E-3"/>
    <n v="0"/>
    <n v="0"/>
    <n v="9.5147478591817315E-3"/>
    <n v="30"/>
  </r>
  <r>
    <x v="0"/>
    <x v="6"/>
    <s v="energy"/>
    <x v="5"/>
    <s v="Injury"/>
    <n v="0"/>
    <n v="0"/>
    <n v="4"/>
    <n v="0"/>
    <n v="0"/>
    <n v="3.0447193149381541E-3"/>
    <n v="3.0447193149381541E-3"/>
    <n v="4"/>
  </r>
  <r>
    <x v="0"/>
    <x v="6"/>
    <s v="energy"/>
    <x v="5"/>
    <s v="Neither"/>
    <n v="16"/>
    <n v="0"/>
    <n v="0"/>
    <n v="1.2178877259752616E-2"/>
    <n v="0"/>
    <n v="0"/>
    <n v="1.2178877259752616E-2"/>
    <n v="16"/>
  </r>
  <r>
    <x v="0"/>
    <x v="7"/>
    <s v="mechanical"/>
    <x v="0"/>
    <s v="Injury"/>
    <n v="0"/>
    <n v="0"/>
    <n v="1"/>
    <n v="0"/>
    <n v="0"/>
    <n v="6.2735257214554575E-4"/>
    <n v="6.2735257214554575E-4"/>
    <n v="1"/>
  </r>
  <r>
    <x v="0"/>
    <x v="7"/>
    <s v="mechanical"/>
    <x v="0"/>
    <s v="Neither"/>
    <n v="105"/>
    <n v="0"/>
    <n v="0"/>
    <n v="6.5872020075282312E-2"/>
    <n v="0"/>
    <n v="0"/>
    <n v="6.5872020075282312E-2"/>
    <n v="105"/>
  </r>
  <r>
    <x v="0"/>
    <x v="7"/>
    <s v="mechanical"/>
    <x v="1"/>
    <s v="Injury"/>
    <n v="0"/>
    <n v="0"/>
    <n v="3"/>
    <n v="0"/>
    <n v="0"/>
    <n v="1.6000000000000001E-3"/>
    <n v="1.6000000000000001E-3"/>
    <n v="3"/>
  </r>
  <r>
    <x v="0"/>
    <x v="7"/>
    <s v="mechanical"/>
    <x v="1"/>
    <s v="Neither"/>
    <n v="87"/>
    <n v="0"/>
    <n v="0"/>
    <n v="4.6399999999999997E-2"/>
    <n v="0"/>
    <n v="0"/>
    <n v="4.6399999999999997E-2"/>
    <n v="87"/>
  </r>
  <r>
    <x v="0"/>
    <x v="7"/>
    <s v="mechanical"/>
    <x v="2"/>
    <s v="Injury"/>
    <n v="0"/>
    <n v="0"/>
    <n v="2"/>
    <n v="0"/>
    <n v="0"/>
    <n v="8.7489063867016625E-4"/>
    <n v="8.7489063867016625E-4"/>
    <n v="2"/>
  </r>
  <r>
    <x v="0"/>
    <x v="7"/>
    <s v="mechanical"/>
    <x v="2"/>
    <s v="Neither"/>
    <n v="79"/>
    <n v="0"/>
    <n v="0"/>
    <n v="3.4558180227471563E-2"/>
    <n v="0"/>
    <n v="0"/>
    <n v="3.4558180227471563E-2"/>
    <n v="79"/>
  </r>
  <r>
    <x v="0"/>
    <x v="7"/>
    <s v="mechanical"/>
    <x v="3"/>
    <s v="Injury"/>
    <n v="0"/>
    <n v="0"/>
    <n v="1"/>
    <n v="0"/>
    <n v="0"/>
    <n v="3.7271710771524412E-4"/>
    <n v="3.7271710771524412E-4"/>
    <n v="1"/>
  </r>
  <r>
    <x v="0"/>
    <x v="7"/>
    <s v="mechanical"/>
    <x v="3"/>
    <s v="Neither"/>
    <n v="31"/>
    <n v="0"/>
    <n v="0"/>
    <n v="1.1554230339172567E-2"/>
    <n v="0"/>
    <n v="0"/>
    <n v="1.1554230339172567E-2"/>
    <n v="31"/>
  </r>
  <r>
    <x v="0"/>
    <x v="7"/>
    <s v="mechanical"/>
    <x v="4"/>
    <s v="Neither"/>
    <n v="9"/>
    <n v="0"/>
    <n v="0"/>
    <n v="2.8544243577545195E-3"/>
    <n v="0"/>
    <n v="0"/>
    <n v="2.8544243577545195E-3"/>
    <n v="9"/>
  </r>
  <r>
    <x v="0"/>
    <x v="7"/>
    <s v="mechanical"/>
    <x v="5"/>
    <s v="Neither"/>
    <n v="5"/>
    <n v="0"/>
    <n v="0"/>
    <n v="3.8058991436726928E-3"/>
    <n v="0"/>
    <n v="0"/>
    <n v="3.8058991436726928E-3"/>
    <n v="5"/>
  </r>
  <r>
    <x v="0"/>
    <x v="8"/>
    <s v="mechanical"/>
    <x v="0"/>
    <s v="Injury"/>
    <n v="0"/>
    <n v="0"/>
    <n v="3"/>
    <n v="0"/>
    <n v="0"/>
    <n v="1.8820577164366374E-3"/>
    <n v="1.8820577164366374E-3"/>
    <n v="3"/>
  </r>
  <r>
    <x v="0"/>
    <x v="8"/>
    <s v="mechanical"/>
    <x v="0"/>
    <s v="Neither"/>
    <n v="16"/>
    <n v="0"/>
    <n v="0"/>
    <n v="1.0037641154328732E-2"/>
    <n v="0"/>
    <n v="0"/>
    <n v="1.0037641154328732E-2"/>
    <n v="16"/>
  </r>
  <r>
    <x v="0"/>
    <x v="8"/>
    <s v="mechanical"/>
    <x v="1"/>
    <s v="Injury"/>
    <n v="0"/>
    <n v="0"/>
    <n v="20"/>
    <n v="0"/>
    <n v="0"/>
    <n v="1.0666666666666666E-2"/>
    <n v="1.0666666666666666E-2"/>
    <n v="20"/>
  </r>
  <r>
    <x v="0"/>
    <x v="8"/>
    <s v="mechanical"/>
    <x v="1"/>
    <s v="Neither"/>
    <n v="17"/>
    <n v="0"/>
    <n v="0"/>
    <n v="9.0666666666666673E-3"/>
    <n v="0"/>
    <n v="0"/>
    <n v="9.0666666666666673E-3"/>
    <n v="17"/>
  </r>
  <r>
    <x v="0"/>
    <x v="8"/>
    <s v="mechanical"/>
    <x v="2"/>
    <s v="Injury"/>
    <n v="0"/>
    <n v="0"/>
    <n v="40"/>
    <n v="0"/>
    <n v="0"/>
    <n v="1.7497812773403325E-2"/>
    <n v="1.7497812773403325E-2"/>
    <n v="40"/>
  </r>
  <r>
    <x v="0"/>
    <x v="8"/>
    <s v="mechanical"/>
    <x v="2"/>
    <s v="Neither"/>
    <n v="14"/>
    <n v="0"/>
    <n v="0"/>
    <n v="6.1242344706911632E-3"/>
    <n v="0"/>
    <n v="0"/>
    <n v="6.1242344706911632E-3"/>
    <n v="14"/>
  </r>
  <r>
    <x v="0"/>
    <x v="8"/>
    <s v="mechanical"/>
    <x v="3"/>
    <s v="Injury"/>
    <n v="0"/>
    <n v="0"/>
    <n v="31"/>
    <n v="0"/>
    <n v="0"/>
    <n v="1.1554230339172567E-2"/>
    <n v="1.1554230339172567E-2"/>
    <n v="31"/>
  </r>
  <r>
    <x v="0"/>
    <x v="8"/>
    <s v="mechanical"/>
    <x v="3"/>
    <s v="Neither"/>
    <n v="14"/>
    <n v="0"/>
    <n v="0"/>
    <n v="5.2180395080134176E-3"/>
    <n v="0"/>
    <n v="0"/>
    <n v="5.2180395080134176E-3"/>
    <n v="14"/>
  </r>
  <r>
    <x v="0"/>
    <x v="8"/>
    <s v="mechanical"/>
    <x v="4"/>
    <s v="Injury"/>
    <n v="0"/>
    <n v="0"/>
    <n v="30"/>
    <n v="0"/>
    <n v="0"/>
    <n v="9.5147478591817315E-3"/>
    <n v="9.5147478591817315E-3"/>
    <n v="30"/>
  </r>
  <r>
    <x v="0"/>
    <x v="8"/>
    <s v="mechanical"/>
    <x v="4"/>
    <s v="Neither"/>
    <n v="29"/>
    <n v="0"/>
    <n v="0"/>
    <n v="9.197589597209007E-3"/>
    <n v="0"/>
    <n v="0"/>
    <n v="9.197589597209007E-3"/>
    <n v="29"/>
  </r>
  <r>
    <x v="0"/>
    <x v="8"/>
    <s v="mechanical"/>
    <x v="5"/>
    <s v="Injury"/>
    <n v="0"/>
    <n v="0"/>
    <n v="6"/>
    <n v="0"/>
    <n v="0"/>
    <n v="4.5670789724072316E-3"/>
    <n v="4.5670789724072316E-3"/>
    <n v="6"/>
  </r>
  <r>
    <x v="0"/>
    <x v="8"/>
    <s v="mechanical"/>
    <x v="5"/>
    <s v="Neither"/>
    <n v="11"/>
    <n v="0"/>
    <n v="0"/>
    <n v="8.3729781160799231E-3"/>
    <n v="0"/>
    <n v="0"/>
    <n v="8.3729781160799231E-3"/>
    <n v="11"/>
  </r>
  <r>
    <x v="0"/>
    <x v="9"/>
    <s v="energy"/>
    <x v="0"/>
    <s v="Injury"/>
    <n v="0"/>
    <n v="0"/>
    <n v="4"/>
    <n v="0"/>
    <n v="0"/>
    <n v="2.509410288582183E-3"/>
    <n v="2.509410288582183E-3"/>
    <n v="4"/>
  </r>
  <r>
    <x v="0"/>
    <x v="9"/>
    <s v="energy"/>
    <x v="0"/>
    <s v="Neither"/>
    <n v="3"/>
    <n v="0"/>
    <n v="0"/>
    <n v="1.8820577164366374E-3"/>
    <n v="0"/>
    <n v="0"/>
    <n v="1.8820577164366374E-3"/>
    <n v="3"/>
  </r>
  <r>
    <x v="0"/>
    <x v="9"/>
    <s v="energy"/>
    <x v="1"/>
    <s v="Injury"/>
    <n v="0"/>
    <n v="0"/>
    <n v="6"/>
    <n v="0"/>
    <n v="0"/>
    <n v="3.2000000000000002E-3"/>
    <n v="3.2000000000000002E-3"/>
    <n v="6"/>
  </r>
  <r>
    <x v="0"/>
    <x v="9"/>
    <s v="energy"/>
    <x v="1"/>
    <s v="Neither"/>
    <n v="10"/>
    <n v="0"/>
    <n v="0"/>
    <n v="5.3333333333333332E-3"/>
    <n v="0"/>
    <n v="0"/>
    <n v="5.3333333333333332E-3"/>
    <n v="10"/>
  </r>
  <r>
    <x v="0"/>
    <x v="9"/>
    <s v="energy"/>
    <x v="2"/>
    <s v="Injury"/>
    <n v="0"/>
    <n v="0"/>
    <n v="12"/>
    <n v="0"/>
    <n v="0"/>
    <n v="5.2493438320209973E-3"/>
    <n v="5.2493438320209973E-3"/>
    <n v="12"/>
  </r>
  <r>
    <x v="0"/>
    <x v="9"/>
    <s v="energy"/>
    <x v="2"/>
    <s v="Neither"/>
    <n v="41"/>
    <n v="0"/>
    <n v="0"/>
    <n v="1.7935258092738406E-2"/>
    <n v="0"/>
    <n v="0"/>
    <n v="1.7935258092738406E-2"/>
    <n v="41"/>
  </r>
  <r>
    <x v="0"/>
    <x v="9"/>
    <s v="energy"/>
    <x v="3"/>
    <s v="Injury"/>
    <n v="0"/>
    <n v="0"/>
    <n v="10"/>
    <n v="0"/>
    <n v="0"/>
    <n v="3.7271710771524412E-3"/>
    <n v="3.7271710771524412E-3"/>
    <n v="10"/>
  </r>
  <r>
    <x v="0"/>
    <x v="9"/>
    <s v="energy"/>
    <x v="3"/>
    <s v="Neither"/>
    <n v="29"/>
    <n v="0"/>
    <n v="0"/>
    <n v="1.080879612374208E-2"/>
    <n v="0"/>
    <n v="0"/>
    <n v="1.080879612374208E-2"/>
    <n v="29"/>
  </r>
  <r>
    <x v="0"/>
    <x v="9"/>
    <s v="energy"/>
    <x v="4"/>
    <s v="Injury"/>
    <n v="0"/>
    <n v="0"/>
    <n v="3"/>
    <n v="0"/>
    <n v="0"/>
    <n v="9.5147478591817321E-4"/>
    <n v="9.5147478591817321E-4"/>
    <n v="3"/>
  </r>
  <r>
    <x v="0"/>
    <x v="9"/>
    <s v="energy"/>
    <x v="4"/>
    <s v="Neither"/>
    <n v="72"/>
    <n v="0"/>
    <n v="0"/>
    <n v="2.2835394862036156E-2"/>
    <n v="0"/>
    <n v="0"/>
    <n v="2.2835394862036156E-2"/>
    <n v="72"/>
  </r>
  <r>
    <x v="0"/>
    <x v="9"/>
    <s v="energy"/>
    <x v="5"/>
    <s v="Injury"/>
    <n v="0"/>
    <n v="0"/>
    <n v="2"/>
    <n v="0"/>
    <n v="0"/>
    <n v="1.522359657469077E-3"/>
    <n v="1.522359657469077E-3"/>
    <n v="2"/>
  </r>
  <r>
    <x v="0"/>
    <x v="9"/>
    <s v="energy"/>
    <x v="5"/>
    <s v="Neither"/>
    <n v="30"/>
    <n v="0"/>
    <n v="0"/>
    <n v="2.2835394862036156E-2"/>
    <n v="0"/>
    <n v="0"/>
    <n v="2.2835394862036156E-2"/>
    <n v="30"/>
  </r>
  <r>
    <x v="0"/>
    <x v="10"/>
    <s v="mechanical"/>
    <x v="0"/>
    <s v="Injury"/>
    <n v="0"/>
    <n v="0"/>
    <n v="6"/>
    <n v="0"/>
    <n v="0"/>
    <n v="3.7641154328732747E-3"/>
    <n v="3.7641154328732747E-3"/>
    <n v="6"/>
  </r>
  <r>
    <x v="0"/>
    <x v="10"/>
    <s v="mechanical"/>
    <x v="0"/>
    <s v="Neither"/>
    <n v="98"/>
    <n v="0"/>
    <n v="0"/>
    <n v="6.148055207026349E-2"/>
    <n v="0"/>
    <n v="0"/>
    <n v="6.148055207026349E-2"/>
    <n v="98"/>
  </r>
  <r>
    <x v="0"/>
    <x v="10"/>
    <s v="mechanical"/>
    <x v="1"/>
    <s v="Injury"/>
    <n v="0"/>
    <n v="0"/>
    <n v="2"/>
    <n v="0"/>
    <n v="0"/>
    <n v="1.0666666666666667E-3"/>
    <n v="1.0666666666666667E-3"/>
    <n v="2"/>
  </r>
  <r>
    <x v="0"/>
    <x v="10"/>
    <s v="mechanical"/>
    <x v="1"/>
    <s v="Neither"/>
    <n v="36"/>
    <n v="0"/>
    <n v="0"/>
    <n v="1.9199999999999998E-2"/>
    <n v="0"/>
    <n v="0"/>
    <n v="1.9199999999999998E-2"/>
    <n v="36"/>
  </r>
  <r>
    <x v="0"/>
    <x v="10"/>
    <s v="mechanical"/>
    <x v="2"/>
    <s v="Injury"/>
    <n v="0"/>
    <n v="0"/>
    <n v="4"/>
    <n v="0"/>
    <n v="0"/>
    <n v="1.7497812773403325E-3"/>
    <n v="1.7497812773403325E-3"/>
    <n v="4"/>
  </r>
  <r>
    <x v="0"/>
    <x v="10"/>
    <s v="mechanical"/>
    <x v="2"/>
    <s v="Neither"/>
    <n v="32"/>
    <n v="0"/>
    <n v="0"/>
    <n v="1.399825021872266E-2"/>
    <n v="0"/>
    <n v="0"/>
    <n v="1.399825021872266E-2"/>
    <n v="32"/>
  </r>
  <r>
    <x v="0"/>
    <x v="10"/>
    <s v="mechanical"/>
    <x v="3"/>
    <s v="Injury"/>
    <n v="0"/>
    <n v="0"/>
    <n v="5"/>
    <n v="0"/>
    <n v="0"/>
    <n v="1.8635855385762206E-3"/>
    <n v="1.8635855385762206E-3"/>
    <n v="5"/>
  </r>
  <r>
    <x v="0"/>
    <x v="10"/>
    <s v="mechanical"/>
    <x v="3"/>
    <s v="Neither"/>
    <n v="15"/>
    <n v="0"/>
    <n v="0"/>
    <n v="5.5907566157286622E-3"/>
    <n v="0"/>
    <n v="0"/>
    <n v="5.5907566157286622E-3"/>
    <n v="15"/>
  </r>
  <r>
    <x v="0"/>
    <x v="10"/>
    <s v="mechanical"/>
    <x v="4"/>
    <s v="Injury"/>
    <n v="0"/>
    <n v="0"/>
    <n v="1"/>
    <n v="0"/>
    <n v="0"/>
    <n v="3.1715826197272439E-4"/>
    <n v="3.1715826197272439E-4"/>
    <n v="1"/>
  </r>
  <r>
    <x v="0"/>
    <x v="10"/>
    <s v="mechanical"/>
    <x v="4"/>
    <s v="Neither"/>
    <n v="14"/>
    <n v="0"/>
    <n v="0"/>
    <n v="4.4402156676181413E-3"/>
    <n v="0"/>
    <n v="0"/>
    <n v="4.4402156676181413E-3"/>
    <n v="14"/>
  </r>
  <r>
    <x v="0"/>
    <x v="10"/>
    <s v="mechanical"/>
    <x v="5"/>
    <s v="Injury"/>
    <n v="0"/>
    <n v="0"/>
    <n v="1"/>
    <n v="0"/>
    <n v="0"/>
    <n v="7.6117982873453852E-4"/>
    <n v="7.6117982873453852E-4"/>
    <n v="1"/>
  </r>
  <r>
    <x v="0"/>
    <x v="10"/>
    <s v="mechanical"/>
    <x v="5"/>
    <s v="Neither"/>
    <n v="2"/>
    <n v="0"/>
    <n v="0"/>
    <n v="1.522359657469077E-3"/>
    <n v="0"/>
    <n v="0"/>
    <n v="1.522359657469077E-3"/>
    <n v="2"/>
  </r>
  <r>
    <x v="0"/>
    <x v="11"/>
    <s v="mechanical"/>
    <x v="0"/>
    <s v="Injury"/>
    <n v="0"/>
    <n v="0"/>
    <n v="19"/>
    <n v="0"/>
    <n v="0"/>
    <n v="1.1919698870765371E-2"/>
    <n v="1.1919698870765371E-2"/>
    <n v="19"/>
  </r>
  <r>
    <x v="0"/>
    <x v="11"/>
    <s v="mechanical"/>
    <x v="0"/>
    <s v="Neither"/>
    <n v="10"/>
    <n v="0"/>
    <n v="0"/>
    <n v="6.2735257214554582E-3"/>
    <n v="0"/>
    <n v="0"/>
    <n v="6.2735257214554582E-3"/>
    <n v="10"/>
  </r>
  <r>
    <x v="0"/>
    <x v="11"/>
    <s v="mechanical"/>
    <x v="1"/>
    <s v="Injury"/>
    <n v="0"/>
    <n v="0"/>
    <n v="11"/>
    <n v="0"/>
    <n v="0"/>
    <n v="5.8666666666666667E-3"/>
    <n v="5.8666666666666667E-3"/>
    <n v="11"/>
  </r>
  <r>
    <x v="0"/>
    <x v="11"/>
    <s v="mechanical"/>
    <x v="1"/>
    <s v="Neither"/>
    <n v="8"/>
    <n v="0"/>
    <n v="0"/>
    <n v="4.2666666666666669E-3"/>
    <n v="0"/>
    <n v="0"/>
    <n v="4.2666666666666669E-3"/>
    <n v="8"/>
  </r>
  <r>
    <x v="0"/>
    <x v="11"/>
    <s v="mechanical"/>
    <x v="2"/>
    <s v="Injury"/>
    <n v="0"/>
    <n v="0"/>
    <n v="35"/>
    <n v="0"/>
    <n v="0"/>
    <n v="1.5310586176727909E-2"/>
    <n v="1.5310586176727909E-2"/>
    <n v="35"/>
  </r>
  <r>
    <x v="0"/>
    <x v="11"/>
    <s v="mechanical"/>
    <x v="2"/>
    <s v="Neither"/>
    <n v="57"/>
    <n v="0"/>
    <n v="0"/>
    <n v="2.4934383202099737E-2"/>
    <n v="0"/>
    <n v="0"/>
    <n v="2.4934383202099737E-2"/>
    <n v="57"/>
  </r>
  <r>
    <x v="0"/>
    <x v="11"/>
    <s v="mechanical"/>
    <x v="3"/>
    <s v="Injury"/>
    <n v="0"/>
    <n v="0"/>
    <n v="5"/>
    <n v="0"/>
    <n v="0"/>
    <n v="1.8635855385762206E-3"/>
    <n v="1.8635855385762206E-3"/>
    <n v="5"/>
  </r>
  <r>
    <x v="0"/>
    <x v="11"/>
    <s v="mechanical"/>
    <x v="3"/>
    <s v="Neither"/>
    <n v="13"/>
    <n v="0"/>
    <n v="0"/>
    <n v="4.8453224002981739E-3"/>
    <n v="0"/>
    <n v="0"/>
    <n v="4.8453224002981739E-3"/>
    <n v="13"/>
  </r>
  <r>
    <x v="0"/>
    <x v="11"/>
    <s v="mechanical"/>
    <x v="4"/>
    <s v="Injury"/>
    <n v="0"/>
    <n v="0"/>
    <n v="2"/>
    <n v="0"/>
    <n v="0"/>
    <n v="6.3431652394544877E-4"/>
    <n v="6.3431652394544877E-4"/>
    <n v="2"/>
  </r>
  <r>
    <x v="0"/>
    <x v="11"/>
    <s v="mechanical"/>
    <x v="4"/>
    <s v="Neither"/>
    <n v="37"/>
    <n v="0"/>
    <n v="0"/>
    <n v="1.1734855692990803E-2"/>
    <n v="0"/>
    <n v="0"/>
    <n v="1.1734855692990803E-2"/>
    <n v="37"/>
  </r>
  <r>
    <x v="0"/>
    <x v="11"/>
    <s v="mechanical"/>
    <x v="5"/>
    <s v="Injury"/>
    <n v="0"/>
    <n v="0"/>
    <n v="1"/>
    <n v="0"/>
    <n v="0"/>
    <n v="7.6117982873453852E-4"/>
    <n v="7.6117982873453852E-4"/>
    <n v="1"/>
  </r>
  <r>
    <x v="0"/>
    <x v="11"/>
    <s v="mechanical"/>
    <x v="5"/>
    <s v="Neither"/>
    <n v="15"/>
    <n v="0"/>
    <n v="0"/>
    <n v="1.1417697431018078E-2"/>
    <n v="0"/>
    <n v="0"/>
    <n v="1.1417697431018078E-2"/>
    <n v="15"/>
  </r>
  <r>
    <x v="0"/>
    <x v="12"/>
    <s v="mechanical"/>
    <x v="0"/>
    <s v="Injury"/>
    <n v="0"/>
    <n v="0"/>
    <n v="3"/>
    <n v="0"/>
    <n v="0"/>
    <n v="1.8820577164366374E-3"/>
    <n v="1.8820577164366374E-3"/>
    <n v="3"/>
  </r>
  <r>
    <x v="0"/>
    <x v="12"/>
    <s v="mechanical"/>
    <x v="0"/>
    <s v="Neither"/>
    <n v="2"/>
    <n v="0"/>
    <n v="0"/>
    <n v="1.2547051442910915E-3"/>
    <n v="0"/>
    <n v="0"/>
    <n v="1.2547051442910915E-3"/>
    <n v="2"/>
  </r>
  <r>
    <x v="0"/>
    <x v="12"/>
    <s v="mechanical"/>
    <x v="1"/>
    <s v="Injury"/>
    <n v="0"/>
    <n v="0"/>
    <n v="6"/>
    <n v="0"/>
    <n v="0"/>
    <n v="3.2000000000000002E-3"/>
    <n v="3.2000000000000002E-3"/>
    <n v="6"/>
  </r>
  <r>
    <x v="0"/>
    <x v="12"/>
    <s v="mechanical"/>
    <x v="1"/>
    <s v="Neither"/>
    <n v="35"/>
    <n v="0"/>
    <n v="0"/>
    <n v="1.8666666666666668E-2"/>
    <n v="0"/>
    <n v="0"/>
    <n v="1.8666666666666668E-2"/>
    <n v="35"/>
  </r>
  <r>
    <x v="0"/>
    <x v="12"/>
    <s v="mechanical"/>
    <x v="2"/>
    <s v="Injury"/>
    <n v="0"/>
    <n v="0"/>
    <n v="11"/>
    <n v="0"/>
    <n v="0"/>
    <n v="4.8118985126859139E-3"/>
    <n v="4.8118985126859139E-3"/>
    <n v="11"/>
  </r>
  <r>
    <x v="0"/>
    <x v="12"/>
    <s v="mechanical"/>
    <x v="2"/>
    <s v="Neither"/>
    <n v="51"/>
    <n v="0"/>
    <n v="0"/>
    <n v="2.2309711286089239E-2"/>
    <n v="0"/>
    <n v="0"/>
    <n v="2.2309711286089239E-2"/>
    <n v="51"/>
  </r>
  <r>
    <x v="0"/>
    <x v="12"/>
    <s v="mechanical"/>
    <x v="3"/>
    <s v="Injury"/>
    <n v="0"/>
    <n v="0"/>
    <n v="6"/>
    <n v="0"/>
    <n v="0"/>
    <n v="2.2363026462914647E-3"/>
    <n v="2.2363026462914647E-3"/>
    <n v="6"/>
  </r>
  <r>
    <x v="0"/>
    <x v="12"/>
    <s v="mechanical"/>
    <x v="3"/>
    <s v="Neither"/>
    <n v="12"/>
    <n v="0"/>
    <n v="0"/>
    <n v="4.4726052925829294E-3"/>
    <n v="0"/>
    <n v="0"/>
    <n v="4.4726052925829294E-3"/>
    <n v="12"/>
  </r>
  <r>
    <x v="0"/>
    <x v="12"/>
    <s v="mechanical"/>
    <x v="4"/>
    <s v="Injury"/>
    <n v="0"/>
    <n v="0"/>
    <n v="4"/>
    <n v="0"/>
    <n v="0"/>
    <n v="1.2686330478908975E-3"/>
    <n v="1.2686330478908975E-3"/>
    <n v="4"/>
  </r>
  <r>
    <x v="0"/>
    <x v="12"/>
    <s v="mechanical"/>
    <x v="4"/>
    <s v="Neither"/>
    <n v="26"/>
    <n v="0"/>
    <n v="0"/>
    <n v="8.2461148112908337E-3"/>
    <n v="0"/>
    <n v="0"/>
    <n v="8.2461148112908337E-3"/>
    <n v="26"/>
  </r>
  <r>
    <x v="0"/>
    <x v="12"/>
    <s v="mechanical"/>
    <x v="5"/>
    <s v="Injury"/>
    <n v="0"/>
    <n v="0"/>
    <n v="1"/>
    <n v="0"/>
    <n v="0"/>
    <n v="7.6117982873453852E-4"/>
    <n v="7.6117982873453852E-4"/>
    <n v="1"/>
  </r>
  <r>
    <x v="0"/>
    <x v="12"/>
    <s v="mechanical"/>
    <x v="5"/>
    <s v="Neither"/>
    <n v="15"/>
    <n v="0"/>
    <n v="0"/>
    <n v="1.1417697431018078E-2"/>
    <n v="0"/>
    <n v="0"/>
    <n v="1.1417697431018078E-2"/>
    <n v="15"/>
  </r>
  <r>
    <x v="0"/>
    <x v="13"/>
    <s v="energy"/>
    <x v="0"/>
    <s v="Injury"/>
    <n v="0"/>
    <n v="0"/>
    <n v="2"/>
    <n v="0"/>
    <n v="0"/>
    <n v="1.2547051442910915E-3"/>
    <n v="1.2547051442910915E-3"/>
    <n v="2"/>
  </r>
  <r>
    <x v="0"/>
    <x v="13"/>
    <s v="energy"/>
    <x v="0"/>
    <s v="Neither"/>
    <n v="45"/>
    <n v="0"/>
    <n v="0"/>
    <n v="2.8230865746549563E-2"/>
    <n v="0"/>
    <n v="0"/>
    <n v="2.8230865746549563E-2"/>
    <n v="45"/>
  </r>
  <r>
    <x v="0"/>
    <x v="13"/>
    <s v="energy"/>
    <x v="1"/>
    <s v="Injury"/>
    <n v="0"/>
    <n v="0"/>
    <n v="6"/>
    <n v="0"/>
    <n v="0"/>
    <n v="3.2000000000000002E-3"/>
    <n v="3.2000000000000002E-3"/>
    <n v="6"/>
  </r>
  <r>
    <x v="0"/>
    <x v="13"/>
    <s v="energy"/>
    <x v="1"/>
    <s v="Neither"/>
    <n v="42"/>
    <n v="0"/>
    <n v="0"/>
    <n v="2.24E-2"/>
    <n v="0"/>
    <n v="0"/>
    <n v="2.24E-2"/>
    <n v="42"/>
  </r>
  <r>
    <x v="0"/>
    <x v="13"/>
    <s v="energy"/>
    <x v="2"/>
    <s v="Injury"/>
    <n v="0"/>
    <n v="0"/>
    <n v="9"/>
    <n v="0"/>
    <n v="0"/>
    <n v="3.937007874015748E-3"/>
    <n v="3.937007874015748E-3"/>
    <n v="9"/>
  </r>
  <r>
    <x v="0"/>
    <x v="13"/>
    <s v="energy"/>
    <x v="2"/>
    <s v="Neither"/>
    <n v="31"/>
    <n v="0"/>
    <n v="0"/>
    <n v="1.3560804899387576E-2"/>
    <n v="0"/>
    <n v="0"/>
    <n v="1.3560804899387576E-2"/>
    <n v="31"/>
  </r>
  <r>
    <x v="0"/>
    <x v="13"/>
    <s v="energy"/>
    <x v="3"/>
    <s v="Injury"/>
    <n v="0"/>
    <n v="0"/>
    <n v="6"/>
    <n v="0"/>
    <n v="0"/>
    <n v="2.2363026462914647E-3"/>
    <n v="2.2363026462914647E-3"/>
    <n v="6"/>
  </r>
  <r>
    <x v="0"/>
    <x v="13"/>
    <s v="energy"/>
    <x v="3"/>
    <s v="Neither"/>
    <n v="10"/>
    <n v="0"/>
    <n v="0"/>
    <n v="3.7271710771524412E-3"/>
    <n v="0"/>
    <n v="0"/>
    <n v="3.7271710771524412E-3"/>
    <n v="10"/>
  </r>
  <r>
    <x v="0"/>
    <x v="13"/>
    <s v="energy"/>
    <x v="4"/>
    <s v="Injury"/>
    <n v="0"/>
    <n v="0"/>
    <n v="1"/>
    <n v="0"/>
    <n v="0"/>
    <n v="3.1715826197272439E-4"/>
    <n v="3.1715826197272439E-4"/>
    <n v="1"/>
  </r>
  <r>
    <x v="0"/>
    <x v="13"/>
    <s v="energy"/>
    <x v="4"/>
    <s v="Neither"/>
    <n v="14"/>
    <n v="0"/>
    <n v="0"/>
    <n v="4.4402156676181413E-3"/>
    <n v="0"/>
    <n v="0"/>
    <n v="4.4402156676181413E-3"/>
    <n v="14"/>
  </r>
  <r>
    <x v="0"/>
    <x v="13"/>
    <s v="energy"/>
    <x v="5"/>
    <s v="Neither"/>
    <n v="2"/>
    <n v="0"/>
    <n v="0"/>
    <n v="1.522359657469077E-3"/>
    <n v="0"/>
    <n v="0"/>
    <n v="1.522359657469077E-3"/>
    <n v="2"/>
  </r>
  <r>
    <x v="0"/>
    <x v="14"/>
    <s v="energy"/>
    <x v="0"/>
    <s v="Injury"/>
    <n v="0"/>
    <n v="0"/>
    <n v="13"/>
    <n v="0"/>
    <n v="0"/>
    <n v="8.1555834378920951E-3"/>
    <n v="8.1555834378920951E-3"/>
    <n v="13"/>
  </r>
  <r>
    <x v="0"/>
    <x v="14"/>
    <s v="energy"/>
    <x v="1"/>
    <s v="Injury"/>
    <n v="0"/>
    <n v="0"/>
    <n v="11"/>
    <n v="0"/>
    <n v="0"/>
    <n v="5.8666666666666667E-3"/>
    <n v="5.8666666666666667E-3"/>
    <n v="11"/>
  </r>
  <r>
    <x v="0"/>
    <x v="14"/>
    <s v="energy"/>
    <x v="2"/>
    <s v="Injury"/>
    <n v="0"/>
    <n v="0"/>
    <n v="34"/>
    <n v="0"/>
    <n v="0"/>
    <n v="1.4873140857392825E-2"/>
    <n v="1.4873140857392825E-2"/>
    <n v="34"/>
  </r>
  <r>
    <x v="0"/>
    <x v="14"/>
    <s v="energy"/>
    <x v="2"/>
    <s v="Neither"/>
    <n v="12"/>
    <n v="0"/>
    <n v="0"/>
    <n v="5.2493438320209973E-3"/>
    <n v="0"/>
    <n v="0"/>
    <n v="5.2493438320209973E-3"/>
    <n v="12"/>
  </r>
  <r>
    <x v="0"/>
    <x v="14"/>
    <s v="energy"/>
    <x v="3"/>
    <s v="Injury"/>
    <n v="0"/>
    <n v="0"/>
    <n v="16"/>
    <n v="0"/>
    <n v="0"/>
    <n v="5.9634737234439059E-3"/>
    <n v="5.9634737234439059E-3"/>
    <n v="16"/>
  </r>
  <r>
    <x v="0"/>
    <x v="14"/>
    <s v="energy"/>
    <x v="3"/>
    <s v="Neither"/>
    <n v="13"/>
    <n v="0"/>
    <n v="0"/>
    <n v="4.8453224002981739E-3"/>
    <n v="0"/>
    <n v="0"/>
    <n v="4.8453224002981739E-3"/>
    <n v="13"/>
  </r>
  <r>
    <x v="0"/>
    <x v="14"/>
    <s v="energy"/>
    <x v="4"/>
    <s v="Injury"/>
    <n v="0"/>
    <n v="0"/>
    <n v="23"/>
    <n v="0"/>
    <n v="0"/>
    <n v="7.2946400253726612E-3"/>
    <n v="7.2946400253726612E-3"/>
    <n v="23"/>
  </r>
  <r>
    <x v="0"/>
    <x v="14"/>
    <s v="energy"/>
    <x v="4"/>
    <s v="Neither"/>
    <n v="11"/>
    <n v="0"/>
    <n v="0"/>
    <n v="3.4887408816999684E-3"/>
    <n v="0"/>
    <n v="0"/>
    <n v="3.4887408816999684E-3"/>
    <n v="11"/>
  </r>
  <r>
    <x v="0"/>
    <x v="14"/>
    <s v="energy"/>
    <x v="5"/>
    <s v="Injury"/>
    <n v="0"/>
    <n v="0"/>
    <n v="11"/>
    <n v="0"/>
    <n v="0"/>
    <n v="8.3729781160799231E-3"/>
    <n v="8.3729781160799231E-3"/>
    <n v="11"/>
  </r>
  <r>
    <x v="0"/>
    <x v="14"/>
    <s v="energy"/>
    <x v="5"/>
    <s v="Neither"/>
    <n v="9"/>
    <n v="0"/>
    <n v="0"/>
    <n v="6.8506184586108465E-3"/>
    <n v="0"/>
    <n v="0"/>
    <n v="6.8506184586108465E-3"/>
    <n v="9"/>
  </r>
  <r>
    <x v="0"/>
    <x v="15"/>
    <s v="energy"/>
    <x v="0"/>
    <s v="Injury"/>
    <n v="0"/>
    <n v="0"/>
    <n v="4"/>
    <n v="0"/>
    <n v="0"/>
    <n v="2.509410288582183E-3"/>
    <n v="2.509410288582183E-3"/>
    <n v="4"/>
  </r>
  <r>
    <x v="0"/>
    <x v="15"/>
    <s v="energy"/>
    <x v="1"/>
    <s v="Injury"/>
    <n v="0"/>
    <n v="0"/>
    <n v="5"/>
    <n v="0"/>
    <n v="0"/>
    <n v="2.6666666666666666E-3"/>
    <n v="2.6666666666666666E-3"/>
    <n v="5"/>
  </r>
  <r>
    <x v="0"/>
    <x v="15"/>
    <s v="energy"/>
    <x v="1"/>
    <s v="Neither"/>
    <n v="8"/>
    <n v="0"/>
    <n v="0"/>
    <n v="4.2666666666666669E-3"/>
    <n v="0"/>
    <n v="0"/>
    <n v="4.2666666666666669E-3"/>
    <n v="8"/>
  </r>
  <r>
    <x v="0"/>
    <x v="15"/>
    <s v="energy"/>
    <x v="2"/>
    <s v="Injury"/>
    <n v="0"/>
    <n v="0"/>
    <n v="18"/>
    <n v="0"/>
    <n v="0"/>
    <n v="7.874015748031496E-3"/>
    <n v="7.874015748031496E-3"/>
    <n v="18"/>
  </r>
  <r>
    <x v="0"/>
    <x v="15"/>
    <s v="energy"/>
    <x v="2"/>
    <s v="Neither"/>
    <n v="46"/>
    <n v="0"/>
    <n v="0"/>
    <n v="2.0122484689413824E-2"/>
    <n v="0"/>
    <n v="0"/>
    <n v="2.0122484689413824E-2"/>
    <n v="46"/>
  </r>
  <r>
    <x v="0"/>
    <x v="15"/>
    <s v="energy"/>
    <x v="3"/>
    <s v="Injury"/>
    <n v="0"/>
    <n v="0"/>
    <n v="18"/>
    <n v="0"/>
    <n v="0"/>
    <n v="6.7089079388743941E-3"/>
    <n v="6.7089079388743941E-3"/>
    <n v="18"/>
  </r>
  <r>
    <x v="0"/>
    <x v="15"/>
    <s v="energy"/>
    <x v="3"/>
    <s v="Neither"/>
    <n v="7"/>
    <n v="0"/>
    <n v="0"/>
    <n v="2.6090197540067088E-3"/>
    <n v="0"/>
    <n v="0"/>
    <n v="2.6090197540067088E-3"/>
    <n v="7"/>
  </r>
  <r>
    <x v="0"/>
    <x v="15"/>
    <s v="energy"/>
    <x v="4"/>
    <s v="Injury"/>
    <n v="0"/>
    <n v="0"/>
    <n v="3"/>
    <n v="0"/>
    <n v="0"/>
    <n v="9.5147478591817321E-4"/>
    <n v="9.5147478591817321E-4"/>
    <n v="3"/>
  </r>
  <r>
    <x v="0"/>
    <x v="15"/>
    <s v="energy"/>
    <x v="4"/>
    <s v="Neither"/>
    <n v="8"/>
    <n v="0"/>
    <n v="0"/>
    <n v="2.5372660957817951E-3"/>
    <n v="0"/>
    <n v="0"/>
    <n v="2.5372660957817951E-3"/>
    <n v="8"/>
  </r>
  <r>
    <x v="0"/>
    <x v="15"/>
    <s v="energy"/>
    <x v="5"/>
    <s v="Injury"/>
    <n v="0"/>
    <n v="0"/>
    <n v="2"/>
    <n v="0"/>
    <n v="0"/>
    <n v="1.522359657469077E-3"/>
    <n v="1.522359657469077E-3"/>
    <n v="2"/>
  </r>
  <r>
    <x v="0"/>
    <x v="15"/>
    <s v="energy"/>
    <x v="5"/>
    <s v="Neither"/>
    <n v="9"/>
    <n v="0"/>
    <n v="0"/>
    <n v="6.8506184586108465E-3"/>
    <n v="0"/>
    <n v="0"/>
    <n v="6.8506184586108465E-3"/>
    <n v="9"/>
  </r>
  <r>
    <x v="0"/>
    <x v="16"/>
    <s v="system"/>
    <x v="1"/>
    <s v="Injury"/>
    <n v="0"/>
    <n v="0"/>
    <n v="1"/>
    <n v="0"/>
    <n v="0"/>
    <n v="5.3333333333333336E-4"/>
    <n v="5.3333333333333336E-4"/>
    <n v="1"/>
  </r>
  <r>
    <x v="0"/>
    <x v="16"/>
    <s v="system"/>
    <x v="1"/>
    <s v="Neither"/>
    <n v="1"/>
    <n v="0"/>
    <n v="0"/>
    <n v="5.3333333333333336E-4"/>
    <n v="0"/>
    <n v="0"/>
    <n v="5.3333333333333336E-4"/>
    <n v="1"/>
  </r>
  <r>
    <x v="0"/>
    <x v="16"/>
    <s v="system"/>
    <x v="2"/>
    <s v="Injury"/>
    <n v="0"/>
    <n v="0"/>
    <n v="4"/>
    <n v="0"/>
    <n v="0"/>
    <n v="1.7497812773403325E-3"/>
    <n v="1.7497812773403325E-3"/>
    <n v="4"/>
  </r>
  <r>
    <x v="0"/>
    <x v="16"/>
    <s v="system"/>
    <x v="2"/>
    <s v="Neither"/>
    <n v="5"/>
    <n v="0"/>
    <n v="0"/>
    <n v="2.1872265966754157E-3"/>
    <n v="0"/>
    <n v="0"/>
    <n v="2.1872265966754157E-3"/>
    <n v="5"/>
  </r>
  <r>
    <x v="0"/>
    <x v="16"/>
    <s v="system"/>
    <x v="3"/>
    <s v="Injury"/>
    <n v="0"/>
    <n v="0"/>
    <n v="4"/>
    <n v="0"/>
    <n v="0"/>
    <n v="1.4908684308609765E-3"/>
    <n v="1.4908684308609765E-3"/>
    <n v="4"/>
  </r>
  <r>
    <x v="0"/>
    <x v="16"/>
    <s v="system"/>
    <x v="3"/>
    <s v="Neither"/>
    <n v="1"/>
    <n v="0"/>
    <n v="0"/>
    <n v="3.7271710771524412E-4"/>
    <n v="0"/>
    <n v="0"/>
    <n v="3.7271710771524412E-4"/>
    <n v="1"/>
  </r>
  <r>
    <x v="0"/>
    <x v="16"/>
    <s v="system"/>
    <x v="4"/>
    <s v="Injury"/>
    <n v="0"/>
    <n v="0"/>
    <n v="3"/>
    <n v="0"/>
    <n v="0"/>
    <n v="9.5147478591817321E-4"/>
    <n v="9.5147478591817321E-4"/>
    <n v="3"/>
  </r>
  <r>
    <x v="0"/>
    <x v="16"/>
    <s v="system"/>
    <x v="4"/>
    <s v="Neither"/>
    <n v="11"/>
    <n v="0"/>
    <n v="0"/>
    <n v="3.4887408816999684E-3"/>
    <n v="0"/>
    <n v="0"/>
    <n v="3.4887408816999684E-3"/>
    <n v="11"/>
  </r>
  <r>
    <x v="0"/>
    <x v="16"/>
    <s v="system"/>
    <x v="5"/>
    <s v="Neither"/>
    <n v="92"/>
    <n v="0"/>
    <n v="0"/>
    <n v="7.0028544243577545E-2"/>
    <n v="0"/>
    <n v="0"/>
    <n v="7.0028544243577545E-2"/>
    <n v="92"/>
  </r>
  <r>
    <x v="0"/>
    <x v="17"/>
    <s v="energy"/>
    <x v="0"/>
    <s v="Injury"/>
    <n v="0"/>
    <n v="0"/>
    <n v="19"/>
    <n v="0"/>
    <n v="0"/>
    <n v="1.1919698870765371E-2"/>
    <n v="1.1919698870765371E-2"/>
    <n v="19"/>
  </r>
  <r>
    <x v="0"/>
    <x v="17"/>
    <s v="energy"/>
    <x v="0"/>
    <s v="Neither"/>
    <n v="1"/>
    <n v="0"/>
    <n v="0"/>
    <n v="6.2735257214554575E-4"/>
    <n v="0"/>
    <n v="0"/>
    <n v="6.2735257214554575E-4"/>
    <n v="1"/>
  </r>
  <r>
    <x v="0"/>
    <x v="17"/>
    <s v="energy"/>
    <x v="1"/>
    <s v="Injury"/>
    <n v="0"/>
    <n v="0"/>
    <n v="18"/>
    <n v="0"/>
    <n v="0"/>
    <n v="9.5999999999999992E-3"/>
    <n v="9.5999999999999992E-3"/>
    <n v="18"/>
  </r>
  <r>
    <x v="0"/>
    <x v="17"/>
    <s v="energy"/>
    <x v="1"/>
    <s v="Neither"/>
    <n v="3"/>
    <n v="0"/>
    <n v="0"/>
    <n v="1.6000000000000001E-3"/>
    <n v="0"/>
    <n v="0"/>
    <n v="1.6000000000000001E-3"/>
    <n v="3"/>
  </r>
  <r>
    <x v="0"/>
    <x v="17"/>
    <s v="energy"/>
    <x v="2"/>
    <s v="Injury"/>
    <n v="0"/>
    <n v="0"/>
    <n v="25"/>
    <n v="0"/>
    <n v="0"/>
    <n v="1.0936132983377077E-2"/>
    <n v="1.0936132983377077E-2"/>
    <n v="25"/>
  </r>
  <r>
    <x v="0"/>
    <x v="17"/>
    <s v="energy"/>
    <x v="2"/>
    <s v="Neither"/>
    <n v="12"/>
    <n v="0"/>
    <n v="0"/>
    <n v="5.2493438320209973E-3"/>
    <n v="0"/>
    <n v="0"/>
    <n v="5.2493438320209973E-3"/>
    <n v="12"/>
  </r>
  <r>
    <x v="0"/>
    <x v="17"/>
    <s v="energy"/>
    <x v="3"/>
    <s v="Injury"/>
    <n v="0"/>
    <n v="0"/>
    <n v="11"/>
    <n v="0"/>
    <n v="0"/>
    <n v="4.0998881848676857E-3"/>
    <n v="4.0998881848676857E-3"/>
    <n v="11"/>
  </r>
  <r>
    <x v="0"/>
    <x v="17"/>
    <s v="energy"/>
    <x v="3"/>
    <s v="Neither"/>
    <n v="6"/>
    <n v="0"/>
    <n v="0"/>
    <n v="2.2363026462914647E-3"/>
    <n v="0"/>
    <n v="0"/>
    <n v="2.2363026462914647E-3"/>
    <n v="6"/>
  </r>
  <r>
    <x v="0"/>
    <x v="17"/>
    <s v="energy"/>
    <x v="4"/>
    <s v="Injury"/>
    <n v="0"/>
    <n v="0"/>
    <n v="5"/>
    <n v="0"/>
    <n v="0"/>
    <n v="1.585791309863622E-3"/>
    <n v="1.585791309863622E-3"/>
    <n v="5"/>
  </r>
  <r>
    <x v="0"/>
    <x v="17"/>
    <s v="energy"/>
    <x v="4"/>
    <s v="Neither"/>
    <n v="5"/>
    <n v="0"/>
    <n v="0"/>
    <n v="1.585791309863622E-3"/>
    <n v="0"/>
    <n v="0"/>
    <n v="1.585791309863622E-3"/>
    <n v="5"/>
  </r>
  <r>
    <x v="0"/>
    <x v="17"/>
    <s v="energy"/>
    <x v="5"/>
    <s v="Injury"/>
    <n v="0"/>
    <n v="0"/>
    <n v="4"/>
    <n v="0"/>
    <n v="0"/>
    <n v="3.0447193149381541E-3"/>
    <n v="3.0447193149381541E-3"/>
    <n v="4"/>
  </r>
  <r>
    <x v="0"/>
    <x v="17"/>
    <s v="energy"/>
    <x v="5"/>
    <s v="Neither"/>
    <n v="4"/>
    <n v="0"/>
    <n v="0"/>
    <n v="3.0447193149381541E-3"/>
    <n v="0"/>
    <n v="0"/>
    <n v="3.0447193149381541E-3"/>
    <n v="4"/>
  </r>
  <r>
    <x v="0"/>
    <x v="18"/>
    <s v="accessory"/>
    <x v="0"/>
    <s v="Injury"/>
    <n v="0"/>
    <n v="0"/>
    <n v="1"/>
    <n v="0"/>
    <n v="0"/>
    <n v="6.2735257214554575E-4"/>
    <n v="6.2735257214554575E-4"/>
    <n v="1"/>
  </r>
  <r>
    <x v="0"/>
    <x v="18"/>
    <s v="accessory"/>
    <x v="1"/>
    <s v="Injury"/>
    <n v="0"/>
    <n v="0"/>
    <n v="8"/>
    <n v="0"/>
    <n v="0"/>
    <n v="4.2666666666666669E-3"/>
    <n v="4.2666666666666669E-3"/>
    <n v="8"/>
  </r>
  <r>
    <x v="0"/>
    <x v="18"/>
    <s v="accessory"/>
    <x v="1"/>
    <s v="Neither"/>
    <n v="1"/>
    <n v="0"/>
    <n v="0"/>
    <n v="5.3333333333333336E-4"/>
    <n v="0"/>
    <n v="0"/>
    <n v="5.3333333333333336E-4"/>
    <n v="1"/>
  </r>
  <r>
    <x v="0"/>
    <x v="18"/>
    <s v="accessory"/>
    <x v="2"/>
    <s v="Injury"/>
    <n v="0"/>
    <n v="0"/>
    <n v="15"/>
    <n v="0"/>
    <n v="0"/>
    <n v="6.5616797900262466E-3"/>
    <n v="6.5616797900262466E-3"/>
    <n v="15"/>
  </r>
  <r>
    <x v="0"/>
    <x v="18"/>
    <s v="accessory"/>
    <x v="2"/>
    <s v="Neither"/>
    <n v="11"/>
    <n v="0"/>
    <n v="0"/>
    <n v="4.8118985126859139E-3"/>
    <n v="0"/>
    <n v="0"/>
    <n v="4.8118985126859139E-3"/>
    <n v="11"/>
  </r>
  <r>
    <x v="0"/>
    <x v="18"/>
    <s v="accessory"/>
    <x v="3"/>
    <s v="Injury"/>
    <n v="0"/>
    <n v="0"/>
    <n v="13"/>
    <n v="0"/>
    <n v="0"/>
    <n v="4.8453224002981739E-3"/>
    <n v="4.8453224002981739E-3"/>
    <n v="13"/>
  </r>
  <r>
    <x v="0"/>
    <x v="18"/>
    <s v="accessory"/>
    <x v="3"/>
    <s v="Neither"/>
    <n v="9"/>
    <n v="0"/>
    <n v="0"/>
    <n v="3.354453969437197E-3"/>
    <n v="0"/>
    <n v="0"/>
    <n v="3.354453969437197E-3"/>
    <n v="9"/>
  </r>
  <r>
    <x v="0"/>
    <x v="18"/>
    <s v="accessory"/>
    <x v="4"/>
    <s v="Injury"/>
    <n v="0"/>
    <n v="0"/>
    <n v="5"/>
    <n v="0"/>
    <n v="0"/>
    <n v="1.585791309863622E-3"/>
    <n v="1.585791309863622E-3"/>
    <n v="5"/>
  </r>
  <r>
    <x v="0"/>
    <x v="18"/>
    <s v="accessory"/>
    <x v="4"/>
    <s v="Neither"/>
    <n v="4"/>
    <n v="0"/>
    <n v="0"/>
    <n v="1.2686330478908975E-3"/>
    <n v="0"/>
    <n v="0"/>
    <n v="1.2686330478908975E-3"/>
    <n v="4"/>
  </r>
  <r>
    <x v="0"/>
    <x v="18"/>
    <s v="accessory"/>
    <x v="5"/>
    <s v="Injury"/>
    <n v="0"/>
    <n v="0"/>
    <n v="1"/>
    <n v="0"/>
    <n v="0"/>
    <n v="7.6117982873453852E-4"/>
    <n v="7.6117982873453852E-4"/>
    <n v="1"/>
  </r>
  <r>
    <x v="0"/>
    <x v="18"/>
    <s v="accessory"/>
    <x v="5"/>
    <s v="Neither"/>
    <n v="1"/>
    <n v="0"/>
    <n v="0"/>
    <n v="7.6117982873453852E-4"/>
    <n v="0"/>
    <n v="0"/>
    <n v="7.6117982873453852E-4"/>
    <n v="1"/>
  </r>
  <r>
    <x v="0"/>
    <x v="19"/>
    <s v="energy"/>
    <x v="0"/>
    <s v="Injury"/>
    <n v="0"/>
    <n v="0"/>
    <n v="3"/>
    <n v="0"/>
    <n v="0"/>
    <n v="1.8820577164366374E-3"/>
    <n v="1.8820577164366374E-3"/>
    <n v="3"/>
  </r>
  <r>
    <x v="0"/>
    <x v="19"/>
    <s v="energy"/>
    <x v="1"/>
    <s v="Injury"/>
    <n v="0"/>
    <n v="0"/>
    <n v="2"/>
    <n v="0"/>
    <n v="0"/>
    <n v="1.0666666666666667E-3"/>
    <n v="1.0666666666666667E-3"/>
    <n v="2"/>
  </r>
  <r>
    <x v="0"/>
    <x v="19"/>
    <s v="energy"/>
    <x v="1"/>
    <s v="Neither"/>
    <n v="3"/>
    <n v="0"/>
    <n v="0"/>
    <n v="1.6000000000000001E-3"/>
    <n v="0"/>
    <n v="0"/>
    <n v="1.6000000000000001E-3"/>
    <n v="3"/>
  </r>
  <r>
    <x v="0"/>
    <x v="19"/>
    <s v="energy"/>
    <x v="2"/>
    <s v="Injury"/>
    <n v="0"/>
    <n v="0"/>
    <n v="12"/>
    <n v="0"/>
    <n v="0"/>
    <n v="5.2493438320209973E-3"/>
    <n v="5.2493438320209973E-3"/>
    <n v="12"/>
  </r>
  <r>
    <x v="0"/>
    <x v="19"/>
    <s v="energy"/>
    <x v="2"/>
    <s v="Neither"/>
    <n v="25"/>
    <n v="0"/>
    <n v="0"/>
    <n v="1.0936132983377077E-2"/>
    <n v="0"/>
    <n v="0"/>
    <n v="1.0936132983377077E-2"/>
    <n v="25"/>
  </r>
  <r>
    <x v="0"/>
    <x v="19"/>
    <s v="energy"/>
    <x v="3"/>
    <s v="Injury"/>
    <n v="0"/>
    <n v="0"/>
    <n v="4"/>
    <n v="0"/>
    <n v="0"/>
    <n v="1.4908684308609765E-3"/>
    <n v="1.4908684308609765E-3"/>
    <n v="4"/>
  </r>
  <r>
    <x v="0"/>
    <x v="19"/>
    <s v="energy"/>
    <x v="3"/>
    <s v="Neither"/>
    <n v="6"/>
    <n v="0"/>
    <n v="0"/>
    <n v="2.2363026462914647E-3"/>
    <n v="0"/>
    <n v="0"/>
    <n v="2.2363026462914647E-3"/>
    <n v="6"/>
  </r>
  <r>
    <x v="0"/>
    <x v="19"/>
    <s v="energy"/>
    <x v="4"/>
    <s v="Neither"/>
    <n v="6"/>
    <n v="0"/>
    <n v="0"/>
    <n v="1.9029495718363464E-3"/>
    <n v="0"/>
    <n v="0"/>
    <n v="1.9029495718363464E-3"/>
    <n v="6"/>
  </r>
  <r>
    <x v="0"/>
    <x v="19"/>
    <s v="energy"/>
    <x v="5"/>
    <s v="Injury"/>
    <n v="0"/>
    <n v="0"/>
    <n v="1"/>
    <n v="0"/>
    <n v="0"/>
    <n v="7.6117982873453852E-4"/>
    <n v="7.6117982873453852E-4"/>
    <n v="1"/>
  </r>
  <r>
    <x v="0"/>
    <x v="19"/>
    <s v="energy"/>
    <x v="5"/>
    <s v="Neither"/>
    <n v="7"/>
    <n v="0"/>
    <n v="0"/>
    <n v="5.3282588011417699E-3"/>
    <n v="0"/>
    <n v="0"/>
    <n v="5.3282588011417699E-3"/>
    <n v="7"/>
  </r>
  <r>
    <x v="0"/>
    <x v="20"/>
    <s v="mechanical"/>
    <x v="0"/>
    <s v="Injury"/>
    <n v="0"/>
    <n v="0"/>
    <n v="6"/>
    <n v="0"/>
    <n v="0"/>
    <n v="3.7641154328732747E-3"/>
    <n v="3.7641154328732747E-3"/>
    <n v="6"/>
  </r>
  <r>
    <x v="0"/>
    <x v="20"/>
    <s v="mechanical"/>
    <x v="0"/>
    <s v="Neither"/>
    <n v="1"/>
    <n v="0"/>
    <n v="0"/>
    <n v="6.2735257214554575E-4"/>
    <n v="0"/>
    <n v="0"/>
    <n v="6.2735257214554575E-4"/>
    <n v="1"/>
  </r>
  <r>
    <x v="0"/>
    <x v="20"/>
    <s v="mechanical"/>
    <x v="1"/>
    <s v="Injury"/>
    <n v="0"/>
    <n v="0"/>
    <n v="7"/>
    <n v="0"/>
    <n v="0"/>
    <n v="3.7333333333333333E-3"/>
    <n v="3.7333333333333333E-3"/>
    <n v="7"/>
  </r>
  <r>
    <x v="0"/>
    <x v="20"/>
    <s v="mechanical"/>
    <x v="1"/>
    <s v="Neither"/>
    <n v="4"/>
    <n v="0"/>
    <n v="0"/>
    <n v="2.1333333333333334E-3"/>
    <n v="0"/>
    <n v="0"/>
    <n v="2.1333333333333334E-3"/>
    <n v="4"/>
  </r>
  <r>
    <x v="0"/>
    <x v="20"/>
    <s v="mechanical"/>
    <x v="2"/>
    <s v="Injury"/>
    <n v="0"/>
    <n v="0"/>
    <n v="10"/>
    <n v="0"/>
    <n v="0"/>
    <n v="4.3744531933508314E-3"/>
    <n v="4.3744531933508314E-3"/>
    <n v="10"/>
  </r>
  <r>
    <x v="0"/>
    <x v="20"/>
    <s v="mechanical"/>
    <x v="2"/>
    <s v="Neither"/>
    <n v="19"/>
    <n v="0"/>
    <n v="0"/>
    <n v="8.3114610673665785E-3"/>
    <n v="0"/>
    <n v="0"/>
    <n v="8.3114610673665785E-3"/>
    <n v="19"/>
  </r>
  <r>
    <x v="0"/>
    <x v="20"/>
    <s v="mechanical"/>
    <x v="3"/>
    <s v="Injury"/>
    <n v="0"/>
    <n v="0"/>
    <n v="2"/>
    <n v="0"/>
    <n v="0"/>
    <n v="7.4543421543048823E-4"/>
    <n v="7.4543421543048823E-4"/>
    <n v="2"/>
  </r>
  <r>
    <x v="0"/>
    <x v="20"/>
    <s v="mechanical"/>
    <x v="3"/>
    <s v="Neither"/>
    <n v="6"/>
    <n v="0"/>
    <n v="0"/>
    <n v="2.2363026462914647E-3"/>
    <n v="0"/>
    <n v="0"/>
    <n v="2.2363026462914647E-3"/>
    <n v="6"/>
  </r>
  <r>
    <x v="0"/>
    <x v="20"/>
    <s v="mechanical"/>
    <x v="4"/>
    <s v="Injury"/>
    <n v="0"/>
    <n v="0"/>
    <n v="2"/>
    <n v="0"/>
    <n v="0"/>
    <n v="6.3431652394544877E-4"/>
    <n v="6.3431652394544877E-4"/>
    <n v="2"/>
  </r>
  <r>
    <x v="0"/>
    <x v="20"/>
    <s v="mechanical"/>
    <x v="4"/>
    <s v="Neither"/>
    <n v="8"/>
    <n v="0"/>
    <n v="0"/>
    <n v="2.5372660957817951E-3"/>
    <n v="0"/>
    <n v="0"/>
    <n v="2.5372660957817951E-3"/>
    <n v="8"/>
  </r>
  <r>
    <x v="0"/>
    <x v="20"/>
    <s v="mechanical"/>
    <x v="5"/>
    <s v="Neither"/>
    <n v="1"/>
    <n v="0"/>
    <n v="0"/>
    <n v="7.6117982873453852E-4"/>
    <n v="0"/>
    <n v="0"/>
    <n v="7.6117982873453852E-4"/>
    <n v="1"/>
  </r>
  <r>
    <x v="0"/>
    <x v="21"/>
    <s v="system"/>
    <x v="0"/>
    <s v="Injury"/>
    <n v="0"/>
    <n v="0"/>
    <n v="3"/>
    <n v="0"/>
    <n v="0"/>
    <n v="1.8820577164366374E-3"/>
    <n v="1.8820577164366374E-3"/>
    <n v="3"/>
  </r>
  <r>
    <x v="0"/>
    <x v="21"/>
    <s v="system"/>
    <x v="0"/>
    <s v="Neither"/>
    <n v="14"/>
    <n v="0"/>
    <n v="0"/>
    <n v="8.7829360100376407E-3"/>
    <n v="0"/>
    <n v="0"/>
    <n v="8.7829360100376407E-3"/>
    <n v="14"/>
  </r>
  <r>
    <x v="0"/>
    <x v="21"/>
    <s v="system"/>
    <x v="1"/>
    <s v="Injury"/>
    <n v="0"/>
    <n v="0"/>
    <n v="3"/>
    <n v="0"/>
    <n v="0"/>
    <n v="1.6000000000000001E-3"/>
    <n v="1.6000000000000001E-3"/>
    <n v="3"/>
  </r>
  <r>
    <x v="0"/>
    <x v="21"/>
    <s v="system"/>
    <x v="1"/>
    <s v="Neither"/>
    <n v="10"/>
    <n v="0"/>
    <n v="0"/>
    <n v="5.3333333333333332E-3"/>
    <n v="0"/>
    <n v="0"/>
    <n v="5.3333333333333332E-3"/>
    <n v="10"/>
  </r>
  <r>
    <x v="0"/>
    <x v="21"/>
    <s v="system"/>
    <x v="2"/>
    <s v="Injury"/>
    <n v="0"/>
    <n v="0"/>
    <n v="5"/>
    <n v="0"/>
    <n v="0"/>
    <n v="2.1872265966754157E-3"/>
    <n v="2.1872265966754157E-3"/>
    <n v="5"/>
  </r>
  <r>
    <x v="0"/>
    <x v="21"/>
    <s v="system"/>
    <x v="2"/>
    <s v="Neither"/>
    <n v="6"/>
    <n v="0"/>
    <n v="0"/>
    <n v="2.6246719160104987E-3"/>
    <n v="0"/>
    <n v="0"/>
    <n v="2.6246719160104987E-3"/>
    <n v="6"/>
  </r>
  <r>
    <x v="0"/>
    <x v="21"/>
    <s v="system"/>
    <x v="3"/>
    <s v="Injury"/>
    <n v="0"/>
    <n v="0"/>
    <n v="1"/>
    <n v="0"/>
    <n v="0"/>
    <n v="3.7271710771524412E-4"/>
    <n v="3.7271710771524412E-4"/>
    <n v="1"/>
  </r>
  <r>
    <x v="0"/>
    <x v="21"/>
    <s v="system"/>
    <x v="4"/>
    <s v="Injury"/>
    <n v="0"/>
    <n v="0"/>
    <n v="4"/>
    <n v="0"/>
    <n v="0"/>
    <n v="1.2686330478908975E-3"/>
    <n v="1.2686330478908975E-3"/>
    <n v="4"/>
  </r>
  <r>
    <x v="0"/>
    <x v="21"/>
    <s v="system"/>
    <x v="4"/>
    <s v="Neither"/>
    <n v="5"/>
    <n v="0"/>
    <n v="0"/>
    <n v="1.585791309863622E-3"/>
    <n v="0"/>
    <n v="0"/>
    <n v="1.585791309863622E-3"/>
    <n v="5"/>
  </r>
  <r>
    <x v="0"/>
    <x v="21"/>
    <s v="system"/>
    <x v="5"/>
    <s v="Injury"/>
    <n v="0"/>
    <n v="0"/>
    <n v="2"/>
    <n v="0"/>
    <n v="0"/>
    <n v="1.522359657469077E-3"/>
    <n v="1.522359657469077E-3"/>
    <n v="2"/>
  </r>
  <r>
    <x v="0"/>
    <x v="21"/>
    <s v="system"/>
    <x v="5"/>
    <s v="Neither"/>
    <n v="7"/>
    <n v="0"/>
    <n v="0"/>
    <n v="5.3282588011417699E-3"/>
    <n v="0"/>
    <n v="0"/>
    <n v="5.3282588011417699E-3"/>
    <n v="7"/>
  </r>
  <r>
    <x v="0"/>
    <x v="22"/>
    <s v="accessory"/>
    <x v="0"/>
    <s v="Injury"/>
    <n v="0"/>
    <n v="0"/>
    <n v="10"/>
    <n v="0"/>
    <n v="0"/>
    <n v="6.2735257214554582E-3"/>
    <n v="6.2735257214554582E-3"/>
    <n v="10"/>
  </r>
  <r>
    <x v="0"/>
    <x v="22"/>
    <s v="accessory"/>
    <x v="1"/>
    <s v="Injury"/>
    <n v="0"/>
    <n v="0"/>
    <n v="3"/>
    <n v="0"/>
    <n v="0"/>
    <n v="1.6000000000000001E-3"/>
    <n v="1.6000000000000001E-3"/>
    <n v="3"/>
  </r>
  <r>
    <x v="0"/>
    <x v="22"/>
    <s v="accessory"/>
    <x v="1"/>
    <s v="Neither"/>
    <n v="1"/>
    <n v="0"/>
    <n v="0"/>
    <n v="5.3333333333333336E-4"/>
    <n v="0"/>
    <n v="0"/>
    <n v="5.3333333333333336E-4"/>
    <n v="1"/>
  </r>
  <r>
    <x v="0"/>
    <x v="22"/>
    <s v="accessory"/>
    <x v="2"/>
    <s v="Injury"/>
    <n v="0"/>
    <n v="0"/>
    <n v="4"/>
    <n v="0"/>
    <n v="0"/>
    <n v="1.7497812773403325E-3"/>
    <n v="1.7497812773403325E-3"/>
    <n v="4"/>
  </r>
  <r>
    <x v="0"/>
    <x v="22"/>
    <s v="accessory"/>
    <x v="2"/>
    <s v="Neither"/>
    <n v="1"/>
    <n v="0"/>
    <n v="0"/>
    <n v="4.3744531933508313E-4"/>
    <n v="0"/>
    <n v="0"/>
    <n v="4.3744531933508313E-4"/>
    <n v="1"/>
  </r>
  <r>
    <x v="0"/>
    <x v="22"/>
    <s v="accessory"/>
    <x v="3"/>
    <s v="Injury"/>
    <n v="0"/>
    <n v="0"/>
    <n v="8"/>
    <n v="0"/>
    <n v="0"/>
    <n v="2.9817368617219529E-3"/>
    <n v="2.9817368617219529E-3"/>
    <n v="8"/>
  </r>
  <r>
    <x v="0"/>
    <x v="22"/>
    <s v="accessory"/>
    <x v="3"/>
    <s v="Neither"/>
    <n v="3"/>
    <n v="0"/>
    <n v="0"/>
    <n v="1.1181513231457323E-3"/>
    <n v="0"/>
    <n v="0"/>
    <n v="1.1181513231457323E-3"/>
    <n v="3"/>
  </r>
  <r>
    <x v="0"/>
    <x v="22"/>
    <s v="accessory"/>
    <x v="4"/>
    <s v="Injury"/>
    <n v="0"/>
    <n v="0"/>
    <n v="1"/>
    <n v="0"/>
    <n v="0"/>
    <n v="3.1715826197272439E-4"/>
    <n v="3.1715826197272439E-4"/>
    <n v="1"/>
  </r>
  <r>
    <x v="0"/>
    <x v="22"/>
    <s v="accessory"/>
    <x v="4"/>
    <s v="Neither"/>
    <n v="2"/>
    <n v="0"/>
    <n v="0"/>
    <n v="6.3431652394544877E-4"/>
    <n v="0"/>
    <n v="0"/>
    <n v="6.3431652394544877E-4"/>
    <n v="2"/>
  </r>
  <r>
    <x v="0"/>
    <x v="22"/>
    <s v="accessory"/>
    <x v="5"/>
    <s v="Injury"/>
    <n v="0"/>
    <n v="0"/>
    <n v="3"/>
    <n v="0"/>
    <n v="0"/>
    <n v="2.2835394862036158E-3"/>
    <n v="2.2835394862036158E-3"/>
    <n v="3"/>
  </r>
  <r>
    <x v="0"/>
    <x v="22"/>
    <s v="accessory"/>
    <x v="5"/>
    <s v="Neither"/>
    <n v="2"/>
    <n v="0"/>
    <n v="0"/>
    <n v="1.522359657469077E-3"/>
    <n v="0"/>
    <n v="0"/>
    <n v="1.522359657469077E-3"/>
    <n v="2"/>
  </r>
  <r>
    <x v="0"/>
    <x v="23"/>
    <s v="system"/>
    <x v="1"/>
    <s v="Neither"/>
    <n v="1"/>
    <n v="0"/>
    <n v="0"/>
    <n v="5.3333333333333336E-4"/>
    <n v="0"/>
    <n v="0"/>
    <n v="5.3333333333333336E-4"/>
    <n v="1"/>
  </r>
  <r>
    <x v="0"/>
    <x v="23"/>
    <s v="system"/>
    <x v="2"/>
    <s v="Injury"/>
    <n v="0"/>
    <n v="0"/>
    <n v="1"/>
    <n v="0"/>
    <n v="0"/>
    <n v="4.3744531933508313E-4"/>
    <n v="4.3744531933508313E-4"/>
    <n v="1"/>
  </r>
  <r>
    <x v="0"/>
    <x v="23"/>
    <s v="system"/>
    <x v="2"/>
    <s v="Neither"/>
    <n v="20"/>
    <n v="0"/>
    <n v="0"/>
    <n v="8.7489063867016627E-3"/>
    <n v="0"/>
    <n v="0"/>
    <n v="8.7489063867016627E-3"/>
    <n v="20"/>
  </r>
  <r>
    <x v="0"/>
    <x v="23"/>
    <s v="system"/>
    <x v="3"/>
    <s v="Injury"/>
    <n v="0"/>
    <n v="0"/>
    <n v="1"/>
    <n v="0"/>
    <n v="0"/>
    <n v="3.7271710771524412E-4"/>
    <n v="3.7271710771524412E-4"/>
    <n v="1"/>
  </r>
  <r>
    <x v="0"/>
    <x v="23"/>
    <s v="system"/>
    <x v="3"/>
    <s v="Neither"/>
    <n v="3"/>
    <n v="0"/>
    <n v="0"/>
    <n v="1.1181513231457323E-3"/>
    <n v="0"/>
    <n v="0"/>
    <n v="1.1181513231457323E-3"/>
    <n v="3"/>
  </r>
  <r>
    <x v="0"/>
    <x v="23"/>
    <s v="system"/>
    <x v="4"/>
    <s v="Neither"/>
    <n v="7"/>
    <n v="0"/>
    <n v="0"/>
    <n v="2.2201078338090706E-3"/>
    <n v="0"/>
    <n v="0"/>
    <n v="2.2201078338090706E-3"/>
    <n v="7"/>
  </r>
  <r>
    <x v="0"/>
    <x v="23"/>
    <s v="system"/>
    <x v="5"/>
    <s v="Neither"/>
    <n v="1"/>
    <n v="0"/>
    <n v="0"/>
    <n v="7.6117982873453852E-4"/>
    <n v="0"/>
    <n v="0"/>
    <n v="7.6117982873453852E-4"/>
    <n v="1"/>
  </r>
  <r>
    <x v="0"/>
    <x v="24"/>
    <s v="energy"/>
    <x v="1"/>
    <s v="Neither"/>
    <n v="5"/>
    <n v="0"/>
    <n v="0"/>
    <n v="2.6666666666666666E-3"/>
    <n v="0"/>
    <n v="0"/>
    <n v="2.6666666666666666E-3"/>
    <n v="5"/>
  </r>
  <r>
    <x v="0"/>
    <x v="24"/>
    <s v="energy"/>
    <x v="2"/>
    <s v="Neither"/>
    <n v="7"/>
    <n v="0"/>
    <n v="0"/>
    <n v="3.0621172353455816E-3"/>
    <n v="0"/>
    <n v="0"/>
    <n v="3.0621172353455816E-3"/>
    <n v="7"/>
  </r>
  <r>
    <x v="0"/>
    <x v="24"/>
    <s v="energy"/>
    <x v="3"/>
    <s v="Neither"/>
    <n v="11"/>
    <n v="0"/>
    <n v="0"/>
    <n v="4.0998881848676857E-3"/>
    <n v="0"/>
    <n v="0"/>
    <n v="4.0998881848676857E-3"/>
    <n v="11"/>
  </r>
  <r>
    <x v="0"/>
    <x v="24"/>
    <s v="energy"/>
    <x v="4"/>
    <s v="Injury"/>
    <n v="0"/>
    <n v="0"/>
    <n v="1"/>
    <n v="0"/>
    <n v="0"/>
    <n v="3.1715826197272439E-4"/>
    <n v="3.1715826197272439E-4"/>
    <n v="1"/>
  </r>
  <r>
    <x v="0"/>
    <x v="24"/>
    <s v="energy"/>
    <x v="4"/>
    <s v="Neither"/>
    <n v="2"/>
    <n v="0"/>
    <n v="0"/>
    <n v="6.3431652394544877E-4"/>
    <n v="0"/>
    <n v="0"/>
    <n v="6.3431652394544877E-4"/>
    <n v="2"/>
  </r>
  <r>
    <x v="0"/>
    <x v="24"/>
    <s v="energy"/>
    <x v="5"/>
    <s v="Neither"/>
    <n v="1"/>
    <n v="0"/>
    <n v="0"/>
    <n v="7.6117982873453852E-4"/>
    <n v="0"/>
    <n v="0"/>
    <n v="7.6117982873453852E-4"/>
    <n v="1"/>
  </r>
  <r>
    <x v="0"/>
    <x v="25"/>
    <s v="mechanical"/>
    <x v="0"/>
    <s v="Injury"/>
    <n v="0"/>
    <n v="0"/>
    <n v="1"/>
    <n v="0"/>
    <n v="0"/>
    <n v="6.2735257214554575E-4"/>
    <n v="6.2735257214554575E-4"/>
    <n v="1"/>
  </r>
  <r>
    <x v="0"/>
    <x v="25"/>
    <s v="mechanical"/>
    <x v="0"/>
    <s v="Neither"/>
    <n v="1"/>
    <n v="0"/>
    <n v="0"/>
    <n v="6.2735257214554575E-4"/>
    <n v="0"/>
    <n v="0"/>
    <n v="6.2735257214554575E-4"/>
    <n v="1"/>
  </r>
  <r>
    <x v="0"/>
    <x v="25"/>
    <s v="mechanical"/>
    <x v="1"/>
    <s v="Injury"/>
    <n v="0"/>
    <n v="0"/>
    <n v="3"/>
    <n v="0"/>
    <n v="0"/>
    <n v="1.6000000000000001E-3"/>
    <n v="1.6000000000000001E-3"/>
    <n v="3"/>
  </r>
  <r>
    <x v="0"/>
    <x v="25"/>
    <s v="mechanical"/>
    <x v="1"/>
    <s v="Neither"/>
    <n v="1"/>
    <n v="0"/>
    <n v="0"/>
    <n v="5.3333333333333336E-4"/>
    <n v="0"/>
    <n v="0"/>
    <n v="5.3333333333333336E-4"/>
    <n v="1"/>
  </r>
  <r>
    <x v="0"/>
    <x v="25"/>
    <s v="mechanical"/>
    <x v="2"/>
    <s v="Injury"/>
    <n v="0"/>
    <n v="0"/>
    <n v="2"/>
    <n v="0"/>
    <n v="0"/>
    <n v="8.7489063867016625E-4"/>
    <n v="8.7489063867016625E-4"/>
    <n v="2"/>
  </r>
  <r>
    <x v="0"/>
    <x v="25"/>
    <s v="mechanical"/>
    <x v="2"/>
    <s v="Neither"/>
    <n v="4"/>
    <n v="0"/>
    <n v="0"/>
    <n v="1.7497812773403325E-3"/>
    <n v="0"/>
    <n v="0"/>
    <n v="1.7497812773403325E-3"/>
    <n v="4"/>
  </r>
  <r>
    <x v="0"/>
    <x v="25"/>
    <s v="mechanical"/>
    <x v="3"/>
    <s v="Neither"/>
    <n v="1"/>
    <n v="0"/>
    <n v="0"/>
    <n v="3.7271710771524412E-4"/>
    <n v="0"/>
    <n v="0"/>
    <n v="3.7271710771524412E-4"/>
    <n v="1"/>
  </r>
  <r>
    <x v="0"/>
    <x v="25"/>
    <s v="mechanical"/>
    <x v="4"/>
    <s v="Injury"/>
    <n v="0"/>
    <n v="0"/>
    <n v="2"/>
    <n v="0"/>
    <n v="0"/>
    <n v="6.3431652394544877E-4"/>
    <n v="6.3431652394544877E-4"/>
    <n v="2"/>
  </r>
  <r>
    <x v="0"/>
    <x v="25"/>
    <s v="mechanical"/>
    <x v="4"/>
    <s v="Neither"/>
    <n v="3"/>
    <n v="0"/>
    <n v="0"/>
    <n v="9.5147478591817321E-4"/>
    <n v="0"/>
    <n v="0"/>
    <n v="9.5147478591817321E-4"/>
    <n v="3"/>
  </r>
  <r>
    <x v="0"/>
    <x v="25"/>
    <s v="mechanical"/>
    <x v="5"/>
    <s v="Neither"/>
    <n v="2"/>
    <n v="0"/>
    <n v="0"/>
    <n v="1.522359657469077E-3"/>
    <n v="0"/>
    <n v="0"/>
    <n v="1.522359657469077E-3"/>
    <n v="2"/>
  </r>
  <r>
    <x v="0"/>
    <x v="26"/>
    <s v="energy"/>
    <x v="0"/>
    <s v="Injury"/>
    <n v="0"/>
    <n v="0"/>
    <n v="1"/>
    <n v="0"/>
    <n v="0"/>
    <n v="6.2735257214554575E-4"/>
    <n v="6.2735257214554575E-4"/>
    <n v="1"/>
  </r>
  <r>
    <x v="0"/>
    <x v="26"/>
    <s v="energy"/>
    <x v="1"/>
    <s v="Neither"/>
    <n v="1"/>
    <n v="0"/>
    <n v="0"/>
    <n v="5.3333333333333336E-4"/>
    <n v="0"/>
    <n v="0"/>
    <n v="5.3333333333333336E-4"/>
    <n v="1"/>
  </r>
  <r>
    <x v="0"/>
    <x v="26"/>
    <s v="energy"/>
    <x v="2"/>
    <s v="Injury"/>
    <n v="0"/>
    <n v="0"/>
    <n v="1"/>
    <n v="0"/>
    <n v="0"/>
    <n v="4.3744531933508313E-4"/>
    <n v="4.3744531933508313E-4"/>
    <n v="1"/>
  </r>
  <r>
    <x v="0"/>
    <x v="26"/>
    <s v="energy"/>
    <x v="2"/>
    <s v="Neither"/>
    <n v="5"/>
    <n v="0"/>
    <n v="0"/>
    <n v="2.1872265966754157E-3"/>
    <n v="0"/>
    <n v="0"/>
    <n v="2.1872265966754157E-3"/>
    <n v="5"/>
  </r>
  <r>
    <x v="0"/>
    <x v="26"/>
    <s v="energy"/>
    <x v="4"/>
    <s v="Neither"/>
    <n v="3"/>
    <n v="0"/>
    <n v="0"/>
    <n v="9.5147478591817321E-4"/>
    <n v="0"/>
    <n v="0"/>
    <n v="9.5147478591817321E-4"/>
    <n v="3"/>
  </r>
  <r>
    <x v="0"/>
    <x v="26"/>
    <s v="energy"/>
    <x v="5"/>
    <s v="Injury"/>
    <n v="0"/>
    <n v="0"/>
    <n v="1"/>
    <n v="0"/>
    <n v="0"/>
    <n v="7.6117982873453852E-4"/>
    <n v="7.6117982873453852E-4"/>
    <n v="1"/>
  </r>
  <r>
    <x v="0"/>
    <x v="26"/>
    <s v="energy"/>
    <x v="5"/>
    <s v="Neither"/>
    <n v="2"/>
    <n v="0"/>
    <n v="0"/>
    <n v="1.522359657469077E-3"/>
    <n v="0"/>
    <n v="0"/>
    <n v="1.522359657469077E-3"/>
    <n v="2"/>
  </r>
  <r>
    <x v="0"/>
    <x v="27"/>
    <s v="mechanical"/>
    <x v="0"/>
    <s v="Neither"/>
    <n v="2"/>
    <n v="0"/>
    <n v="0"/>
    <n v="1.2547051442910915E-3"/>
    <n v="0"/>
    <n v="0"/>
    <n v="1.2547051442910915E-3"/>
    <n v="2"/>
  </r>
  <r>
    <x v="0"/>
    <x v="27"/>
    <s v="mechanical"/>
    <x v="1"/>
    <s v="Neither"/>
    <n v="1"/>
    <n v="0"/>
    <n v="0"/>
    <n v="5.3333333333333336E-4"/>
    <n v="0"/>
    <n v="0"/>
    <n v="5.3333333333333336E-4"/>
    <n v="1"/>
  </r>
  <r>
    <x v="0"/>
    <x v="27"/>
    <s v="mechanical"/>
    <x v="2"/>
    <s v="Neither"/>
    <n v="2"/>
    <n v="0"/>
    <n v="0"/>
    <n v="8.7489063867016625E-4"/>
    <n v="0"/>
    <n v="0"/>
    <n v="8.7489063867016625E-4"/>
    <n v="2"/>
  </r>
  <r>
    <x v="0"/>
    <x v="27"/>
    <s v="mechanical"/>
    <x v="3"/>
    <s v="Neither"/>
    <n v="1"/>
    <n v="0"/>
    <n v="0"/>
    <n v="3.7271710771524412E-4"/>
    <n v="0"/>
    <n v="0"/>
    <n v="3.7271710771524412E-4"/>
    <n v="1"/>
  </r>
  <r>
    <x v="0"/>
    <x v="27"/>
    <s v="mechanical"/>
    <x v="4"/>
    <s v="Neither"/>
    <n v="1"/>
    <n v="0"/>
    <n v="0"/>
    <n v="3.1715826197272439E-4"/>
    <n v="0"/>
    <n v="0"/>
    <n v="3.1715826197272439E-4"/>
    <n v="1"/>
  </r>
  <r>
    <x v="0"/>
    <x v="28"/>
    <s v="energy"/>
    <x v="2"/>
    <s v="Injury"/>
    <n v="0"/>
    <n v="0"/>
    <n v="1"/>
    <n v="0"/>
    <n v="0"/>
    <n v="4.3744531933508313E-4"/>
    <n v="4.3744531933508313E-4"/>
    <n v="1"/>
  </r>
  <r>
    <x v="0"/>
    <x v="28"/>
    <s v="energy"/>
    <x v="2"/>
    <s v="Neither"/>
    <n v="6"/>
    <n v="0"/>
    <n v="0"/>
    <n v="2.6246719160104987E-3"/>
    <n v="0"/>
    <n v="0"/>
    <n v="2.6246719160104987E-3"/>
    <n v="6"/>
  </r>
  <r>
    <x v="0"/>
    <x v="29"/>
    <s v="system"/>
    <x v="2"/>
    <s v="Neither"/>
    <n v="3"/>
    <n v="0"/>
    <n v="0"/>
    <n v="1.3123359580052493E-3"/>
    <n v="0"/>
    <n v="0"/>
    <n v="1.3123359580052493E-3"/>
    <n v="3"/>
  </r>
  <r>
    <x v="0"/>
    <x v="29"/>
    <s v="system"/>
    <x v="4"/>
    <s v="Neither"/>
    <n v="1"/>
    <n v="0"/>
    <n v="0"/>
    <n v="3.1715826197272439E-4"/>
    <n v="0"/>
    <n v="0"/>
    <n v="3.1715826197272439E-4"/>
    <n v="1"/>
  </r>
  <r>
    <x v="1"/>
    <x v="1"/>
    <s v="energy"/>
    <x v="0"/>
    <s v="Neither"/>
    <n v="4"/>
    <n v="0"/>
    <n v="0"/>
    <n v="2.509410288582183E-3"/>
    <n v="0"/>
    <n v="0"/>
    <n v="2.509410288582183E-3"/>
    <n v="4"/>
  </r>
  <r>
    <x v="1"/>
    <x v="1"/>
    <s v="energy"/>
    <x v="1"/>
    <s v="Injury"/>
    <n v="0"/>
    <n v="0"/>
    <n v="2"/>
    <n v="0"/>
    <n v="0"/>
    <n v="1.0666666666666667E-3"/>
    <n v="1.0666666666666667E-3"/>
    <n v="2"/>
  </r>
  <r>
    <x v="1"/>
    <x v="1"/>
    <s v="energy"/>
    <x v="1"/>
    <s v="Neither"/>
    <n v="27"/>
    <n v="0"/>
    <n v="0"/>
    <n v="1.44E-2"/>
    <n v="0"/>
    <n v="0"/>
    <n v="1.44E-2"/>
    <n v="27"/>
  </r>
  <r>
    <x v="1"/>
    <x v="1"/>
    <s v="energy"/>
    <x v="2"/>
    <s v="Injury"/>
    <n v="0"/>
    <n v="0"/>
    <n v="14"/>
    <n v="0"/>
    <n v="0"/>
    <n v="6.1242344706911632E-3"/>
    <n v="6.1242344706911632E-3"/>
    <n v="14"/>
  </r>
  <r>
    <x v="1"/>
    <x v="1"/>
    <s v="energy"/>
    <x v="2"/>
    <s v="Neither"/>
    <n v="127"/>
    <n v="0"/>
    <n v="0"/>
    <n v="5.5555555555555552E-2"/>
    <n v="0"/>
    <n v="0"/>
    <n v="5.5555555555555552E-2"/>
    <n v="127"/>
  </r>
  <r>
    <x v="1"/>
    <x v="1"/>
    <s v="energy"/>
    <x v="3"/>
    <s v="Injury"/>
    <n v="0"/>
    <n v="0"/>
    <n v="50"/>
    <n v="0"/>
    <n v="0"/>
    <n v="1.8635855385762207E-2"/>
    <n v="1.8635855385762207E-2"/>
    <n v="50"/>
  </r>
  <r>
    <x v="1"/>
    <x v="1"/>
    <s v="energy"/>
    <x v="3"/>
    <s v="Neither"/>
    <n v="282"/>
    <n v="0"/>
    <n v="0"/>
    <n v="0.10510622437569885"/>
    <n v="0"/>
    <n v="0"/>
    <n v="0.10510622437569885"/>
    <n v="282"/>
  </r>
  <r>
    <x v="1"/>
    <x v="1"/>
    <s v="energy"/>
    <x v="4"/>
    <s v="Injury"/>
    <n v="0"/>
    <n v="0"/>
    <n v="61"/>
    <n v="0"/>
    <n v="0"/>
    <n v="1.9346653980336189E-2"/>
    <n v="1.9346653980336189E-2"/>
    <n v="61"/>
  </r>
  <r>
    <x v="1"/>
    <x v="1"/>
    <s v="energy"/>
    <x v="4"/>
    <s v="Neither"/>
    <n v="956"/>
    <n v="0"/>
    <n v="0"/>
    <n v="0.30320329844592453"/>
    <n v="0"/>
    <n v="0"/>
    <n v="0.30320329844592453"/>
    <n v="956"/>
  </r>
  <r>
    <x v="1"/>
    <x v="1"/>
    <s v="energy"/>
    <x v="5"/>
    <s v="Injury"/>
    <n v="0"/>
    <n v="0"/>
    <n v="18"/>
    <n v="0"/>
    <n v="0"/>
    <n v="1.3701236917221693E-2"/>
    <n v="1.3701236917221693E-2"/>
    <n v="18"/>
  </r>
  <r>
    <x v="1"/>
    <x v="1"/>
    <s v="energy"/>
    <x v="5"/>
    <s v="Neither"/>
    <n v="38"/>
    <n v="0"/>
    <n v="0"/>
    <n v="2.8924833491912463E-2"/>
    <n v="0"/>
    <n v="0"/>
    <n v="2.8924833491912463E-2"/>
    <n v="38"/>
  </r>
  <r>
    <x v="1"/>
    <x v="4"/>
    <s v="mechanical"/>
    <x v="1"/>
    <s v="Injury"/>
    <n v="0"/>
    <n v="0"/>
    <n v="2"/>
    <n v="0"/>
    <n v="0"/>
    <n v="1.0666666666666667E-3"/>
    <n v="1.0666666666666667E-3"/>
    <n v="2"/>
  </r>
  <r>
    <x v="1"/>
    <x v="4"/>
    <s v="mechanical"/>
    <x v="1"/>
    <s v="Neither"/>
    <n v="13"/>
    <n v="0"/>
    <n v="0"/>
    <n v="6.933333333333333E-3"/>
    <n v="0"/>
    <n v="0"/>
    <n v="6.933333333333333E-3"/>
    <n v="13"/>
  </r>
  <r>
    <x v="1"/>
    <x v="4"/>
    <s v="mechanical"/>
    <x v="2"/>
    <s v="Injury"/>
    <n v="0"/>
    <n v="0"/>
    <n v="4"/>
    <n v="0"/>
    <n v="0"/>
    <n v="1.7497812773403325E-3"/>
    <n v="1.7497812773403325E-3"/>
    <n v="4"/>
  </r>
  <r>
    <x v="1"/>
    <x v="4"/>
    <s v="mechanical"/>
    <x v="2"/>
    <s v="Neither"/>
    <n v="68"/>
    <n v="0"/>
    <n v="0"/>
    <n v="2.974628171478565E-2"/>
    <n v="0"/>
    <n v="0"/>
    <n v="2.974628171478565E-2"/>
    <n v="68"/>
  </r>
  <r>
    <x v="1"/>
    <x v="4"/>
    <s v="mechanical"/>
    <x v="3"/>
    <s v="Injury"/>
    <n v="0"/>
    <n v="0"/>
    <n v="25"/>
    <n v="0"/>
    <n v="0"/>
    <n v="9.3179276928811033E-3"/>
    <n v="9.3179276928811033E-3"/>
    <n v="25"/>
  </r>
  <r>
    <x v="1"/>
    <x v="4"/>
    <s v="mechanical"/>
    <x v="3"/>
    <s v="Neither"/>
    <n v="1115"/>
    <n v="0"/>
    <n v="0"/>
    <n v="0.41557957510249721"/>
    <n v="0"/>
    <n v="0"/>
    <n v="0.41557957510249721"/>
    <n v="1115"/>
  </r>
  <r>
    <x v="1"/>
    <x v="4"/>
    <s v="mechanical"/>
    <x v="4"/>
    <s v="Injury"/>
    <n v="0"/>
    <n v="0"/>
    <n v="24"/>
    <n v="0"/>
    <n v="0"/>
    <n v="7.6117982873453857E-3"/>
    <n v="7.6117982873453857E-3"/>
    <n v="24"/>
  </r>
  <r>
    <x v="1"/>
    <x v="4"/>
    <s v="mechanical"/>
    <x v="4"/>
    <s v="Neither"/>
    <n v="266"/>
    <n v="0"/>
    <n v="0"/>
    <n v="8.4364097684744691E-2"/>
    <n v="0"/>
    <n v="0"/>
    <n v="8.4364097684744691E-2"/>
    <n v="266"/>
  </r>
  <r>
    <x v="1"/>
    <x v="4"/>
    <s v="mechanical"/>
    <x v="5"/>
    <s v="Injury"/>
    <n v="0"/>
    <n v="0"/>
    <n v="6"/>
    <n v="0"/>
    <n v="0"/>
    <n v="4.5670789724072316E-3"/>
    <n v="4.5670789724072316E-3"/>
    <n v="6"/>
  </r>
  <r>
    <x v="1"/>
    <x v="4"/>
    <s v="mechanical"/>
    <x v="5"/>
    <s v="Neither"/>
    <n v="13"/>
    <n v="0"/>
    <n v="0"/>
    <n v="9.8953377735490015E-3"/>
    <n v="0"/>
    <n v="0"/>
    <n v="9.8953377735490015E-3"/>
    <n v="13"/>
  </r>
  <r>
    <x v="1"/>
    <x v="5"/>
    <s v="energy"/>
    <x v="0"/>
    <s v="Injury"/>
    <n v="0"/>
    <n v="0"/>
    <n v="1"/>
    <n v="0"/>
    <n v="0"/>
    <n v="6.2735257214554575E-4"/>
    <n v="6.2735257214554575E-4"/>
    <n v="1"/>
  </r>
  <r>
    <x v="1"/>
    <x v="5"/>
    <s v="energy"/>
    <x v="1"/>
    <s v="Injury"/>
    <n v="0"/>
    <n v="0"/>
    <n v="1"/>
    <n v="0"/>
    <n v="0"/>
    <n v="5.3333333333333336E-4"/>
    <n v="5.3333333333333336E-4"/>
    <n v="1"/>
  </r>
  <r>
    <x v="1"/>
    <x v="5"/>
    <s v="energy"/>
    <x v="1"/>
    <s v="Neither"/>
    <n v="12"/>
    <n v="0"/>
    <n v="0"/>
    <n v="6.4000000000000003E-3"/>
    <n v="0"/>
    <n v="0"/>
    <n v="6.4000000000000003E-3"/>
    <n v="12"/>
  </r>
  <r>
    <x v="1"/>
    <x v="5"/>
    <s v="energy"/>
    <x v="2"/>
    <s v="Injury"/>
    <n v="0"/>
    <n v="0"/>
    <n v="2"/>
    <n v="0"/>
    <n v="0"/>
    <n v="8.7489063867016625E-4"/>
    <n v="8.7489063867016625E-4"/>
    <n v="2"/>
  </r>
  <r>
    <x v="1"/>
    <x v="5"/>
    <s v="energy"/>
    <x v="2"/>
    <s v="Neither"/>
    <n v="29"/>
    <n v="0"/>
    <n v="0"/>
    <n v="1.2685914260717411E-2"/>
    <n v="0"/>
    <n v="0"/>
    <n v="1.2685914260717411E-2"/>
    <n v="29"/>
  </r>
  <r>
    <x v="1"/>
    <x v="5"/>
    <s v="energy"/>
    <x v="3"/>
    <s v="Injury"/>
    <n v="0"/>
    <n v="0"/>
    <n v="13"/>
    <n v="0"/>
    <n v="0"/>
    <n v="4.8453224002981739E-3"/>
    <n v="4.8453224002981739E-3"/>
    <n v="13"/>
  </r>
  <r>
    <x v="1"/>
    <x v="5"/>
    <s v="energy"/>
    <x v="3"/>
    <s v="Neither"/>
    <n v="49"/>
    <n v="0"/>
    <n v="0"/>
    <n v="1.8263138278046962E-2"/>
    <n v="0"/>
    <n v="0"/>
    <n v="1.8263138278046962E-2"/>
    <n v="49"/>
  </r>
  <r>
    <x v="1"/>
    <x v="5"/>
    <s v="energy"/>
    <x v="4"/>
    <s v="Injury"/>
    <n v="0"/>
    <n v="0"/>
    <n v="15"/>
    <n v="0"/>
    <n v="0"/>
    <n v="4.7573739295908657E-3"/>
    <n v="4.7573739295908657E-3"/>
    <n v="15"/>
  </r>
  <r>
    <x v="1"/>
    <x v="5"/>
    <s v="energy"/>
    <x v="4"/>
    <s v="Neither"/>
    <n v="767"/>
    <n v="0"/>
    <n v="0"/>
    <n v="0.24326038693307961"/>
    <n v="0"/>
    <n v="0"/>
    <n v="0.24326038693307961"/>
    <n v="767"/>
  </r>
  <r>
    <x v="1"/>
    <x v="5"/>
    <s v="energy"/>
    <x v="5"/>
    <s v="Injury"/>
    <n v="0"/>
    <n v="0"/>
    <n v="6"/>
    <n v="0"/>
    <n v="0"/>
    <n v="4.5670789724072316E-3"/>
    <n v="4.5670789724072316E-3"/>
    <n v="6"/>
  </r>
  <r>
    <x v="1"/>
    <x v="5"/>
    <s v="energy"/>
    <x v="5"/>
    <s v="Neither"/>
    <n v="86"/>
    <n v="0"/>
    <n v="0"/>
    <n v="6.5461465271170319E-2"/>
    <n v="0"/>
    <n v="0"/>
    <n v="6.5461465271170319E-2"/>
    <n v="86"/>
  </r>
  <r>
    <x v="1"/>
    <x v="2"/>
    <s v="mechanical"/>
    <x v="0"/>
    <s v="Injury"/>
    <n v="0"/>
    <n v="0"/>
    <n v="3"/>
    <n v="0"/>
    <n v="0"/>
    <n v="1.8820577164366374E-3"/>
    <n v="1.8820577164366374E-3"/>
    <n v="3"/>
  </r>
  <r>
    <x v="1"/>
    <x v="2"/>
    <s v="mechanical"/>
    <x v="0"/>
    <s v="Neither"/>
    <n v="1"/>
    <n v="0"/>
    <n v="0"/>
    <n v="6.2735257214554575E-4"/>
    <n v="0"/>
    <n v="0"/>
    <n v="6.2735257214554575E-4"/>
    <n v="1"/>
  </r>
  <r>
    <x v="1"/>
    <x v="2"/>
    <s v="mechanical"/>
    <x v="1"/>
    <s v="Injury"/>
    <n v="0"/>
    <n v="0"/>
    <n v="5"/>
    <n v="0"/>
    <n v="0"/>
    <n v="2.6666666666666666E-3"/>
    <n v="2.6666666666666666E-3"/>
    <n v="5"/>
  </r>
  <r>
    <x v="1"/>
    <x v="2"/>
    <s v="mechanical"/>
    <x v="1"/>
    <s v="Neither"/>
    <n v="9"/>
    <n v="0"/>
    <n v="0"/>
    <n v="4.7999999999999996E-3"/>
    <n v="0"/>
    <n v="0"/>
    <n v="4.7999999999999996E-3"/>
    <n v="9"/>
  </r>
  <r>
    <x v="1"/>
    <x v="2"/>
    <s v="mechanical"/>
    <x v="2"/>
    <s v="Injury"/>
    <n v="0"/>
    <n v="0"/>
    <n v="3"/>
    <n v="0"/>
    <n v="0"/>
    <n v="1.3123359580052493E-3"/>
    <n v="1.3123359580052493E-3"/>
    <n v="3"/>
  </r>
  <r>
    <x v="1"/>
    <x v="2"/>
    <s v="mechanical"/>
    <x v="2"/>
    <s v="Neither"/>
    <n v="12"/>
    <n v="0"/>
    <n v="0"/>
    <n v="5.2493438320209973E-3"/>
    <n v="0"/>
    <n v="0"/>
    <n v="5.2493438320209973E-3"/>
    <n v="12"/>
  </r>
  <r>
    <x v="1"/>
    <x v="2"/>
    <s v="mechanical"/>
    <x v="3"/>
    <s v="Injury"/>
    <n v="0"/>
    <n v="0"/>
    <n v="26"/>
    <n v="0"/>
    <n v="0"/>
    <n v="9.6906448005963479E-3"/>
    <n v="9.6906448005963479E-3"/>
    <n v="26"/>
  </r>
  <r>
    <x v="1"/>
    <x v="2"/>
    <s v="mechanical"/>
    <x v="3"/>
    <s v="Neither"/>
    <n v="55"/>
    <n v="0"/>
    <n v="0"/>
    <n v="2.0499440924338426E-2"/>
    <n v="0"/>
    <n v="0"/>
    <n v="2.0499440924338426E-2"/>
    <n v="55"/>
  </r>
  <r>
    <x v="1"/>
    <x v="2"/>
    <s v="mechanical"/>
    <x v="4"/>
    <s v="Injury"/>
    <n v="0"/>
    <n v="0"/>
    <n v="25"/>
    <n v="0"/>
    <n v="0"/>
    <n v="7.9289565493181093E-3"/>
    <n v="7.9289565493181093E-3"/>
    <n v="25"/>
  </r>
  <r>
    <x v="1"/>
    <x v="2"/>
    <s v="mechanical"/>
    <x v="4"/>
    <s v="Neither"/>
    <n v="555"/>
    <n v="0"/>
    <n v="0"/>
    <n v="0.17602283539486205"/>
    <n v="0"/>
    <n v="0"/>
    <n v="0.17602283539486205"/>
    <n v="555"/>
  </r>
  <r>
    <x v="1"/>
    <x v="2"/>
    <s v="mechanical"/>
    <x v="5"/>
    <s v="Injury"/>
    <n v="0"/>
    <n v="0"/>
    <n v="5"/>
    <n v="0"/>
    <n v="0"/>
    <n v="3.8058991436726928E-3"/>
    <n v="3.8058991436726928E-3"/>
    <n v="5"/>
  </r>
  <r>
    <x v="1"/>
    <x v="2"/>
    <s v="mechanical"/>
    <x v="5"/>
    <s v="Neither"/>
    <n v="12"/>
    <n v="0"/>
    <n v="0"/>
    <n v="9.1341579448144632E-3"/>
    <n v="0"/>
    <n v="0"/>
    <n v="9.1341579448144632E-3"/>
    <n v="12"/>
  </r>
  <r>
    <x v="1"/>
    <x v="9"/>
    <s v="energy"/>
    <x v="0"/>
    <s v="Injury"/>
    <n v="0"/>
    <n v="0"/>
    <n v="1"/>
    <n v="0"/>
    <n v="0"/>
    <n v="6.2735257214554575E-4"/>
    <n v="6.2735257214554575E-4"/>
    <n v="1"/>
  </r>
  <r>
    <x v="1"/>
    <x v="9"/>
    <s v="energy"/>
    <x v="1"/>
    <s v="Neither"/>
    <n v="18"/>
    <n v="0"/>
    <n v="0"/>
    <n v="9.5999999999999992E-3"/>
    <n v="0"/>
    <n v="0"/>
    <n v="9.5999999999999992E-3"/>
    <n v="18"/>
  </r>
  <r>
    <x v="1"/>
    <x v="9"/>
    <s v="energy"/>
    <x v="2"/>
    <s v="Injury"/>
    <n v="0"/>
    <n v="0"/>
    <n v="1"/>
    <n v="0"/>
    <n v="0"/>
    <n v="4.3744531933508313E-4"/>
    <n v="4.3744531933508313E-4"/>
    <n v="1"/>
  </r>
  <r>
    <x v="1"/>
    <x v="9"/>
    <s v="energy"/>
    <x v="2"/>
    <s v="Neither"/>
    <n v="65"/>
    <n v="0"/>
    <n v="0"/>
    <n v="2.8433945756780401E-2"/>
    <n v="0"/>
    <n v="0"/>
    <n v="2.8433945756780401E-2"/>
    <n v="65"/>
  </r>
  <r>
    <x v="1"/>
    <x v="9"/>
    <s v="energy"/>
    <x v="3"/>
    <s v="Injury"/>
    <n v="0"/>
    <n v="0"/>
    <n v="8"/>
    <n v="0"/>
    <n v="0"/>
    <n v="2.9817368617219529E-3"/>
    <n v="2.9817368617219529E-3"/>
    <n v="8"/>
  </r>
  <r>
    <x v="1"/>
    <x v="9"/>
    <s v="energy"/>
    <x v="3"/>
    <s v="Neither"/>
    <n v="74"/>
    <n v="0"/>
    <n v="0"/>
    <n v="2.7581065970928065E-2"/>
    <n v="0"/>
    <n v="0"/>
    <n v="2.7581065970928065E-2"/>
    <n v="74"/>
  </r>
  <r>
    <x v="1"/>
    <x v="9"/>
    <s v="energy"/>
    <x v="4"/>
    <s v="Injury"/>
    <n v="0"/>
    <n v="0"/>
    <n v="14"/>
    <n v="0"/>
    <n v="0"/>
    <n v="4.4402156676181413E-3"/>
    <n v="4.4402156676181413E-3"/>
    <n v="14"/>
  </r>
  <r>
    <x v="1"/>
    <x v="9"/>
    <s v="energy"/>
    <x v="4"/>
    <s v="Neither"/>
    <n v="314"/>
    <n v="0"/>
    <n v="0"/>
    <n v="9.9587694259435464E-2"/>
    <n v="0"/>
    <n v="0"/>
    <n v="9.9587694259435464E-2"/>
    <n v="314"/>
  </r>
  <r>
    <x v="1"/>
    <x v="9"/>
    <s v="energy"/>
    <x v="5"/>
    <s v="Injury"/>
    <n v="0"/>
    <n v="0"/>
    <n v="5"/>
    <n v="0"/>
    <n v="0"/>
    <n v="3.8058991436726928E-3"/>
    <n v="3.8058991436726928E-3"/>
    <n v="5"/>
  </r>
  <r>
    <x v="1"/>
    <x v="9"/>
    <s v="energy"/>
    <x v="5"/>
    <s v="Neither"/>
    <n v="17"/>
    <n v="0"/>
    <n v="0"/>
    <n v="1.2940057088487155E-2"/>
    <n v="0"/>
    <n v="0"/>
    <n v="1.2940057088487155E-2"/>
    <n v="17"/>
  </r>
  <r>
    <x v="1"/>
    <x v="7"/>
    <s v="mechanical"/>
    <x v="0"/>
    <s v="Neither"/>
    <n v="1"/>
    <n v="0"/>
    <n v="0"/>
    <n v="6.2735257214554575E-4"/>
    <n v="0"/>
    <n v="0"/>
    <n v="6.2735257214554575E-4"/>
    <n v="1"/>
  </r>
  <r>
    <x v="1"/>
    <x v="7"/>
    <s v="mechanical"/>
    <x v="1"/>
    <s v="Injury"/>
    <n v="0"/>
    <n v="0"/>
    <n v="4"/>
    <n v="0"/>
    <n v="0"/>
    <n v="2.1333333333333334E-3"/>
    <n v="2.1333333333333334E-3"/>
    <n v="4"/>
  </r>
  <r>
    <x v="1"/>
    <x v="7"/>
    <s v="mechanical"/>
    <x v="1"/>
    <s v="Neither"/>
    <n v="15"/>
    <n v="0"/>
    <n v="0"/>
    <n v="8.0000000000000002E-3"/>
    <n v="0"/>
    <n v="0"/>
    <n v="8.0000000000000002E-3"/>
    <n v="15"/>
  </r>
  <r>
    <x v="1"/>
    <x v="7"/>
    <s v="mechanical"/>
    <x v="2"/>
    <s v="Injury"/>
    <n v="0"/>
    <n v="0"/>
    <n v="3"/>
    <n v="0"/>
    <n v="0"/>
    <n v="1.3123359580052493E-3"/>
    <n v="1.3123359580052493E-3"/>
    <n v="3"/>
  </r>
  <r>
    <x v="1"/>
    <x v="7"/>
    <s v="mechanical"/>
    <x v="2"/>
    <s v="Neither"/>
    <n v="70"/>
    <n v="0"/>
    <n v="0"/>
    <n v="3.0621172353455819E-2"/>
    <n v="0"/>
    <n v="0"/>
    <n v="3.0621172353455819E-2"/>
    <n v="70"/>
  </r>
  <r>
    <x v="1"/>
    <x v="7"/>
    <s v="mechanical"/>
    <x v="3"/>
    <s v="Injury"/>
    <n v="0"/>
    <n v="0"/>
    <n v="6"/>
    <n v="0"/>
    <n v="0"/>
    <n v="2.2363026462914647E-3"/>
    <n v="2.2363026462914647E-3"/>
    <n v="6"/>
  </r>
  <r>
    <x v="1"/>
    <x v="7"/>
    <s v="mechanical"/>
    <x v="3"/>
    <s v="Neither"/>
    <n v="285"/>
    <n v="0"/>
    <n v="0"/>
    <n v="0.10622437569884458"/>
    <n v="0"/>
    <n v="0"/>
    <n v="0.10622437569884458"/>
    <n v="285"/>
  </r>
  <r>
    <x v="1"/>
    <x v="7"/>
    <s v="mechanical"/>
    <x v="4"/>
    <s v="Injury"/>
    <n v="0"/>
    <n v="0"/>
    <n v="3"/>
    <n v="0"/>
    <n v="0"/>
    <n v="9.5147478591817321E-4"/>
    <n v="9.5147478591817321E-4"/>
    <n v="3"/>
  </r>
  <r>
    <x v="1"/>
    <x v="7"/>
    <s v="mechanical"/>
    <x v="4"/>
    <s v="Neither"/>
    <n v="52"/>
    <n v="0"/>
    <n v="0"/>
    <n v="1.6492229622581667E-2"/>
    <n v="0"/>
    <n v="0"/>
    <n v="1.6492229622581667E-2"/>
    <n v="52"/>
  </r>
  <r>
    <x v="1"/>
    <x v="10"/>
    <s v="mechanical"/>
    <x v="0"/>
    <s v="Injury"/>
    <n v="0"/>
    <n v="0"/>
    <n v="1"/>
    <n v="0"/>
    <n v="0"/>
    <n v="6.2735257214554575E-4"/>
    <n v="6.2735257214554575E-4"/>
    <n v="1"/>
  </r>
  <r>
    <x v="1"/>
    <x v="10"/>
    <s v="mechanical"/>
    <x v="0"/>
    <s v="Neither"/>
    <n v="2"/>
    <n v="0"/>
    <n v="0"/>
    <n v="1.2547051442910915E-3"/>
    <n v="0"/>
    <n v="0"/>
    <n v="1.2547051442910915E-3"/>
    <n v="2"/>
  </r>
  <r>
    <x v="1"/>
    <x v="10"/>
    <s v="mechanical"/>
    <x v="1"/>
    <s v="Injury"/>
    <n v="0"/>
    <n v="0"/>
    <n v="1"/>
    <n v="0"/>
    <n v="0"/>
    <n v="5.3333333333333336E-4"/>
    <n v="5.3333333333333336E-4"/>
    <n v="1"/>
  </r>
  <r>
    <x v="1"/>
    <x v="10"/>
    <s v="mechanical"/>
    <x v="1"/>
    <s v="Neither"/>
    <n v="24"/>
    <n v="0"/>
    <n v="0"/>
    <n v="1.2800000000000001E-2"/>
    <n v="0"/>
    <n v="0"/>
    <n v="1.2800000000000001E-2"/>
    <n v="24"/>
  </r>
  <r>
    <x v="1"/>
    <x v="10"/>
    <s v="mechanical"/>
    <x v="2"/>
    <s v="Neither"/>
    <n v="53"/>
    <n v="0"/>
    <n v="0"/>
    <n v="2.3184601924759404E-2"/>
    <n v="0"/>
    <n v="0"/>
    <n v="2.3184601924759404E-2"/>
    <n v="53"/>
  </r>
  <r>
    <x v="1"/>
    <x v="10"/>
    <s v="mechanical"/>
    <x v="3"/>
    <s v="Injury"/>
    <n v="0"/>
    <n v="0"/>
    <n v="5"/>
    <n v="0"/>
    <n v="0"/>
    <n v="1.8635855385762206E-3"/>
    <n v="1.8635855385762206E-3"/>
    <n v="5"/>
  </r>
  <r>
    <x v="1"/>
    <x v="10"/>
    <s v="mechanical"/>
    <x v="3"/>
    <s v="Neither"/>
    <n v="242"/>
    <n v="0"/>
    <n v="0"/>
    <n v="9.0197540067089077E-2"/>
    <n v="0"/>
    <n v="0"/>
    <n v="9.0197540067089077E-2"/>
    <n v="242"/>
  </r>
  <r>
    <x v="1"/>
    <x v="10"/>
    <s v="mechanical"/>
    <x v="4"/>
    <s v="Injury"/>
    <n v="0"/>
    <n v="0"/>
    <n v="1"/>
    <n v="0"/>
    <n v="0"/>
    <n v="3.1715826197272439E-4"/>
    <n v="3.1715826197272439E-4"/>
    <n v="1"/>
  </r>
  <r>
    <x v="1"/>
    <x v="10"/>
    <s v="mechanical"/>
    <x v="4"/>
    <s v="Neither"/>
    <n v="50"/>
    <n v="0"/>
    <n v="0"/>
    <n v="1.5857913098636219E-2"/>
    <n v="0"/>
    <n v="0"/>
    <n v="1.5857913098636219E-2"/>
    <n v="50"/>
  </r>
  <r>
    <x v="1"/>
    <x v="3"/>
    <s v="energy"/>
    <x v="0"/>
    <s v="Injury"/>
    <n v="0"/>
    <n v="0"/>
    <n v="1"/>
    <n v="0"/>
    <n v="0"/>
    <n v="6.2735257214554575E-4"/>
    <n v="6.2735257214554575E-4"/>
    <n v="1"/>
  </r>
  <r>
    <x v="1"/>
    <x v="3"/>
    <s v="energy"/>
    <x v="0"/>
    <s v="Neither"/>
    <n v="2"/>
    <n v="0"/>
    <n v="0"/>
    <n v="1.2547051442910915E-3"/>
    <n v="0"/>
    <n v="0"/>
    <n v="1.2547051442910915E-3"/>
    <n v="2"/>
  </r>
  <r>
    <x v="1"/>
    <x v="3"/>
    <s v="energy"/>
    <x v="1"/>
    <s v="Injury"/>
    <n v="0"/>
    <n v="0"/>
    <n v="2"/>
    <n v="0"/>
    <n v="0"/>
    <n v="1.0666666666666667E-3"/>
    <n v="1.0666666666666667E-3"/>
    <n v="2"/>
  </r>
  <r>
    <x v="1"/>
    <x v="3"/>
    <s v="energy"/>
    <x v="1"/>
    <s v="Neither"/>
    <n v="6"/>
    <n v="0"/>
    <n v="0"/>
    <n v="3.2000000000000002E-3"/>
    <n v="0"/>
    <n v="0"/>
    <n v="3.2000000000000002E-3"/>
    <n v="6"/>
  </r>
  <r>
    <x v="1"/>
    <x v="3"/>
    <s v="energy"/>
    <x v="2"/>
    <s v="Injury"/>
    <n v="0"/>
    <n v="0"/>
    <n v="9"/>
    <n v="0"/>
    <n v="0"/>
    <n v="3.937007874015748E-3"/>
    <n v="3.937007874015748E-3"/>
    <n v="9"/>
  </r>
  <r>
    <x v="1"/>
    <x v="3"/>
    <s v="energy"/>
    <x v="2"/>
    <s v="Neither"/>
    <n v="35"/>
    <n v="0"/>
    <n v="0"/>
    <n v="1.5310586176727909E-2"/>
    <n v="0"/>
    <n v="0"/>
    <n v="1.5310586176727909E-2"/>
    <n v="35"/>
  </r>
  <r>
    <x v="1"/>
    <x v="3"/>
    <s v="energy"/>
    <x v="3"/>
    <s v="Injury"/>
    <n v="0"/>
    <n v="0"/>
    <n v="18"/>
    <n v="0"/>
    <n v="0"/>
    <n v="6.7089079388743941E-3"/>
    <n v="6.7089079388743941E-3"/>
    <n v="18"/>
  </r>
  <r>
    <x v="1"/>
    <x v="3"/>
    <s v="energy"/>
    <x v="3"/>
    <s v="Neither"/>
    <n v="44"/>
    <n v="0"/>
    <n v="0"/>
    <n v="1.6399552739470743E-2"/>
    <n v="0"/>
    <n v="0"/>
    <n v="1.6399552739470743E-2"/>
    <n v="44"/>
  </r>
  <r>
    <x v="1"/>
    <x v="3"/>
    <s v="energy"/>
    <x v="4"/>
    <s v="Injury"/>
    <n v="0"/>
    <n v="0"/>
    <n v="36"/>
    <n v="0"/>
    <n v="0"/>
    <n v="1.1417697431018078E-2"/>
    <n v="1.1417697431018078E-2"/>
    <n v="36"/>
  </r>
  <r>
    <x v="1"/>
    <x v="3"/>
    <s v="energy"/>
    <x v="4"/>
    <s v="Neither"/>
    <n v="48"/>
    <n v="0"/>
    <n v="0"/>
    <n v="1.5223596574690771E-2"/>
    <n v="0"/>
    <n v="0"/>
    <n v="1.5223596574690771E-2"/>
    <n v="48"/>
  </r>
  <r>
    <x v="1"/>
    <x v="3"/>
    <s v="energy"/>
    <x v="5"/>
    <s v="Injury"/>
    <n v="0"/>
    <n v="0"/>
    <n v="10"/>
    <n v="0"/>
    <n v="0"/>
    <n v="7.6117982873453857E-3"/>
    <n v="7.6117982873453857E-3"/>
    <n v="10"/>
  </r>
  <r>
    <x v="1"/>
    <x v="3"/>
    <s v="energy"/>
    <x v="5"/>
    <s v="Neither"/>
    <n v="6"/>
    <n v="0"/>
    <n v="0"/>
    <n v="4.5670789724072316E-3"/>
    <n v="0"/>
    <n v="0"/>
    <n v="4.5670789724072316E-3"/>
    <n v="6"/>
  </r>
  <r>
    <x v="1"/>
    <x v="6"/>
    <s v="energy"/>
    <x v="0"/>
    <s v="Injury"/>
    <n v="0"/>
    <n v="0"/>
    <n v="1"/>
    <n v="0"/>
    <n v="0"/>
    <n v="6.2735257214554575E-4"/>
    <n v="6.2735257214554575E-4"/>
    <n v="1"/>
  </r>
  <r>
    <x v="1"/>
    <x v="6"/>
    <s v="energy"/>
    <x v="1"/>
    <s v="Injury"/>
    <n v="0"/>
    <n v="0"/>
    <n v="2"/>
    <n v="0"/>
    <n v="0"/>
    <n v="1.0666666666666667E-3"/>
    <n v="1.0666666666666667E-3"/>
    <n v="2"/>
  </r>
  <r>
    <x v="1"/>
    <x v="6"/>
    <s v="energy"/>
    <x v="1"/>
    <s v="Neither"/>
    <n v="11"/>
    <n v="0"/>
    <n v="0"/>
    <n v="5.8666666666666667E-3"/>
    <n v="0"/>
    <n v="0"/>
    <n v="5.8666666666666667E-3"/>
    <n v="11"/>
  </r>
  <r>
    <x v="1"/>
    <x v="6"/>
    <s v="energy"/>
    <x v="2"/>
    <s v="Injury"/>
    <n v="0"/>
    <n v="0"/>
    <n v="3"/>
    <n v="0"/>
    <n v="0"/>
    <n v="1.3123359580052493E-3"/>
    <n v="1.3123359580052493E-3"/>
    <n v="3"/>
  </r>
  <r>
    <x v="1"/>
    <x v="6"/>
    <s v="energy"/>
    <x v="2"/>
    <s v="Neither"/>
    <n v="43"/>
    <n v="0"/>
    <n v="0"/>
    <n v="1.8810148731408575E-2"/>
    <n v="0"/>
    <n v="0"/>
    <n v="1.8810148731408575E-2"/>
    <n v="43"/>
  </r>
  <r>
    <x v="1"/>
    <x v="6"/>
    <s v="energy"/>
    <x v="3"/>
    <s v="Injury"/>
    <n v="0"/>
    <n v="0"/>
    <n v="10"/>
    <n v="0"/>
    <n v="0"/>
    <n v="3.7271710771524412E-3"/>
    <n v="3.7271710771524412E-3"/>
    <n v="10"/>
  </r>
  <r>
    <x v="1"/>
    <x v="6"/>
    <s v="energy"/>
    <x v="3"/>
    <s v="Neither"/>
    <n v="59"/>
    <n v="0"/>
    <n v="0"/>
    <n v="2.1990309355199404E-2"/>
    <n v="0"/>
    <n v="0"/>
    <n v="2.1990309355199404E-2"/>
    <n v="59"/>
  </r>
  <r>
    <x v="1"/>
    <x v="6"/>
    <s v="energy"/>
    <x v="4"/>
    <s v="Injury"/>
    <n v="0"/>
    <n v="0"/>
    <n v="34"/>
    <n v="0"/>
    <n v="0"/>
    <n v="1.0783380907072629E-2"/>
    <n v="1.0783380907072629E-2"/>
    <n v="34"/>
  </r>
  <r>
    <x v="1"/>
    <x v="6"/>
    <s v="energy"/>
    <x v="4"/>
    <s v="Neither"/>
    <n v="31"/>
    <n v="0"/>
    <n v="0"/>
    <n v="9.8319061211544559E-3"/>
    <n v="0"/>
    <n v="0"/>
    <n v="9.8319061211544559E-3"/>
    <n v="31"/>
  </r>
  <r>
    <x v="1"/>
    <x v="6"/>
    <s v="energy"/>
    <x v="5"/>
    <s v="Injury"/>
    <n v="0"/>
    <n v="0"/>
    <n v="13"/>
    <n v="0"/>
    <n v="0"/>
    <n v="9.8953377735490015E-3"/>
    <n v="9.8953377735490015E-3"/>
    <n v="13"/>
  </r>
  <r>
    <x v="1"/>
    <x v="6"/>
    <s v="energy"/>
    <x v="5"/>
    <s v="Neither"/>
    <n v="9"/>
    <n v="0"/>
    <n v="0"/>
    <n v="6.8506184586108465E-3"/>
    <n v="0"/>
    <n v="0"/>
    <n v="6.8506184586108465E-3"/>
    <n v="9"/>
  </r>
  <r>
    <x v="1"/>
    <x v="0"/>
    <s v="energy"/>
    <x v="0"/>
    <s v="Injury"/>
    <n v="0"/>
    <n v="0"/>
    <n v="1"/>
    <n v="0"/>
    <n v="0"/>
    <n v="6.2735257214554575E-4"/>
    <n v="6.2735257214554575E-4"/>
    <n v="1"/>
  </r>
  <r>
    <x v="1"/>
    <x v="0"/>
    <s v="energy"/>
    <x v="1"/>
    <s v="Injury"/>
    <n v="0"/>
    <n v="0"/>
    <n v="8"/>
    <n v="0"/>
    <n v="0"/>
    <n v="4.2666666666666669E-3"/>
    <n v="4.2666666666666669E-3"/>
    <n v="8"/>
  </r>
  <r>
    <x v="1"/>
    <x v="0"/>
    <s v="energy"/>
    <x v="1"/>
    <s v="Neither"/>
    <n v="5"/>
    <n v="0"/>
    <n v="0"/>
    <n v="2.6666666666666666E-3"/>
    <n v="0"/>
    <n v="0"/>
    <n v="2.6666666666666666E-3"/>
    <n v="5"/>
  </r>
  <r>
    <x v="1"/>
    <x v="0"/>
    <s v="energy"/>
    <x v="2"/>
    <s v="Injury"/>
    <n v="0"/>
    <n v="0"/>
    <n v="13"/>
    <n v="0"/>
    <n v="0"/>
    <n v="5.6867891513560807E-3"/>
    <n v="5.6867891513560807E-3"/>
    <n v="13"/>
  </r>
  <r>
    <x v="1"/>
    <x v="0"/>
    <s v="energy"/>
    <x v="2"/>
    <s v="Neither"/>
    <n v="5"/>
    <n v="0"/>
    <n v="0"/>
    <n v="2.1872265966754157E-3"/>
    <n v="0"/>
    <n v="0"/>
    <n v="2.1872265966754157E-3"/>
    <n v="5"/>
  </r>
  <r>
    <x v="1"/>
    <x v="0"/>
    <s v="energy"/>
    <x v="3"/>
    <s v="Injury"/>
    <n v="0"/>
    <n v="0"/>
    <n v="46"/>
    <n v="0"/>
    <n v="0"/>
    <n v="1.7144986954901228E-2"/>
    <n v="1.7144986954901228E-2"/>
    <n v="46"/>
  </r>
  <r>
    <x v="1"/>
    <x v="0"/>
    <s v="energy"/>
    <x v="3"/>
    <s v="Neither"/>
    <n v="22"/>
    <n v="0"/>
    <n v="0"/>
    <n v="8.1997763697353714E-3"/>
    <n v="0"/>
    <n v="0"/>
    <n v="8.1997763697353714E-3"/>
    <n v="22"/>
  </r>
  <r>
    <x v="1"/>
    <x v="0"/>
    <s v="energy"/>
    <x v="4"/>
    <s v="Injury"/>
    <n v="0"/>
    <n v="0"/>
    <n v="85"/>
    <n v="0"/>
    <n v="0"/>
    <n v="2.6958452267681572E-2"/>
    <n v="2.6958452267681572E-2"/>
    <n v="85"/>
  </r>
  <r>
    <x v="1"/>
    <x v="0"/>
    <s v="energy"/>
    <x v="4"/>
    <s v="Neither"/>
    <n v="6"/>
    <n v="0"/>
    <n v="0"/>
    <n v="1.9029495718363464E-3"/>
    <n v="0"/>
    <n v="0"/>
    <n v="1.9029495718363464E-3"/>
    <n v="6"/>
  </r>
  <r>
    <x v="1"/>
    <x v="0"/>
    <s v="energy"/>
    <x v="5"/>
    <s v="Injury"/>
    <n v="0"/>
    <n v="0"/>
    <n v="10"/>
    <n v="0"/>
    <n v="0"/>
    <n v="7.6117982873453857E-3"/>
    <n v="7.6117982873453857E-3"/>
    <n v="10"/>
  </r>
  <r>
    <x v="1"/>
    <x v="0"/>
    <s v="energy"/>
    <x v="5"/>
    <s v="Neither"/>
    <n v="4"/>
    <n v="0"/>
    <n v="0"/>
    <n v="3.0447193149381541E-3"/>
    <n v="0"/>
    <n v="0"/>
    <n v="3.0447193149381541E-3"/>
    <n v="4"/>
  </r>
  <r>
    <x v="1"/>
    <x v="11"/>
    <s v="mechanical"/>
    <x v="0"/>
    <s v="Neither"/>
    <n v="1"/>
    <n v="0"/>
    <n v="0"/>
    <n v="6.2735257214554575E-4"/>
    <n v="0"/>
    <n v="0"/>
    <n v="6.2735257214554575E-4"/>
    <n v="1"/>
  </r>
  <r>
    <x v="1"/>
    <x v="11"/>
    <s v="mechanical"/>
    <x v="1"/>
    <s v="Injury"/>
    <n v="0"/>
    <n v="0"/>
    <n v="2"/>
    <n v="0"/>
    <n v="0"/>
    <n v="1.0666666666666667E-3"/>
    <n v="1.0666666666666667E-3"/>
    <n v="2"/>
  </r>
  <r>
    <x v="1"/>
    <x v="11"/>
    <s v="mechanical"/>
    <x v="1"/>
    <s v="Neither"/>
    <n v="4"/>
    <n v="0"/>
    <n v="0"/>
    <n v="2.1333333333333334E-3"/>
    <n v="0"/>
    <n v="0"/>
    <n v="2.1333333333333334E-3"/>
    <n v="4"/>
  </r>
  <r>
    <x v="1"/>
    <x v="11"/>
    <s v="mechanical"/>
    <x v="2"/>
    <s v="Injury"/>
    <n v="0"/>
    <n v="0"/>
    <n v="10"/>
    <n v="0"/>
    <n v="0"/>
    <n v="4.3744531933508314E-3"/>
    <n v="4.3744531933508314E-3"/>
    <n v="10"/>
  </r>
  <r>
    <x v="1"/>
    <x v="11"/>
    <s v="mechanical"/>
    <x v="2"/>
    <s v="Neither"/>
    <n v="15"/>
    <n v="0"/>
    <n v="0"/>
    <n v="6.5616797900262466E-3"/>
    <n v="0"/>
    <n v="0"/>
    <n v="6.5616797900262466E-3"/>
    <n v="15"/>
  </r>
  <r>
    <x v="1"/>
    <x v="11"/>
    <s v="mechanical"/>
    <x v="3"/>
    <s v="Injury"/>
    <n v="0"/>
    <n v="0"/>
    <n v="3"/>
    <n v="0"/>
    <n v="0"/>
    <n v="1.1181513231457323E-3"/>
    <n v="1.1181513231457323E-3"/>
    <n v="3"/>
  </r>
  <r>
    <x v="1"/>
    <x v="11"/>
    <s v="mechanical"/>
    <x v="3"/>
    <s v="Neither"/>
    <n v="9"/>
    <n v="0"/>
    <n v="0"/>
    <n v="3.354453969437197E-3"/>
    <n v="0"/>
    <n v="0"/>
    <n v="3.354453969437197E-3"/>
    <n v="9"/>
  </r>
  <r>
    <x v="1"/>
    <x v="11"/>
    <s v="mechanical"/>
    <x v="4"/>
    <s v="Injury"/>
    <n v="0"/>
    <n v="0"/>
    <n v="7"/>
    <n v="0"/>
    <n v="0"/>
    <n v="2.2201078338090706E-3"/>
    <n v="2.2201078338090706E-3"/>
    <n v="7"/>
  </r>
  <r>
    <x v="1"/>
    <x v="11"/>
    <s v="mechanical"/>
    <x v="4"/>
    <s v="Neither"/>
    <n v="81"/>
    <n v="0"/>
    <n v="0"/>
    <n v="2.5689819219790674E-2"/>
    <n v="0"/>
    <n v="0"/>
    <n v="2.5689819219790674E-2"/>
    <n v="81"/>
  </r>
  <r>
    <x v="1"/>
    <x v="11"/>
    <s v="mechanical"/>
    <x v="5"/>
    <s v="Injury"/>
    <n v="0"/>
    <n v="0"/>
    <n v="3"/>
    <n v="0"/>
    <n v="0"/>
    <n v="2.2835394862036158E-3"/>
    <n v="2.2835394862036158E-3"/>
    <n v="3"/>
  </r>
  <r>
    <x v="1"/>
    <x v="11"/>
    <s v="mechanical"/>
    <x v="5"/>
    <s v="Neither"/>
    <n v="4"/>
    <n v="0"/>
    <n v="0"/>
    <n v="3.0447193149381541E-3"/>
    <n v="0"/>
    <n v="0"/>
    <n v="3.0447193149381541E-3"/>
    <n v="4"/>
  </r>
  <r>
    <x v="1"/>
    <x v="12"/>
    <s v="mechanical"/>
    <x v="0"/>
    <s v="Injury"/>
    <n v="0"/>
    <n v="0"/>
    <n v="1"/>
    <n v="0"/>
    <n v="0"/>
    <n v="6.2735257214554575E-4"/>
    <n v="6.2735257214554575E-4"/>
    <n v="1"/>
  </r>
  <r>
    <x v="1"/>
    <x v="12"/>
    <s v="mechanical"/>
    <x v="1"/>
    <s v="Injury"/>
    <n v="0"/>
    <n v="0"/>
    <n v="1"/>
    <n v="0"/>
    <n v="0"/>
    <n v="5.3333333333333336E-4"/>
    <n v="5.3333333333333336E-4"/>
    <n v="1"/>
  </r>
  <r>
    <x v="1"/>
    <x v="12"/>
    <s v="mechanical"/>
    <x v="1"/>
    <s v="Neither"/>
    <n v="9"/>
    <n v="0"/>
    <n v="0"/>
    <n v="4.7999999999999996E-3"/>
    <n v="0"/>
    <n v="0"/>
    <n v="4.7999999999999996E-3"/>
    <n v="9"/>
  </r>
  <r>
    <x v="1"/>
    <x v="12"/>
    <s v="mechanical"/>
    <x v="2"/>
    <s v="Injury"/>
    <n v="0"/>
    <n v="0"/>
    <n v="4"/>
    <n v="0"/>
    <n v="0"/>
    <n v="1.7497812773403325E-3"/>
    <n v="1.7497812773403325E-3"/>
    <n v="4"/>
  </r>
  <r>
    <x v="1"/>
    <x v="12"/>
    <s v="mechanical"/>
    <x v="2"/>
    <s v="Neither"/>
    <n v="13"/>
    <n v="0"/>
    <n v="0"/>
    <n v="5.6867891513560807E-3"/>
    <n v="0"/>
    <n v="0"/>
    <n v="5.6867891513560807E-3"/>
    <n v="13"/>
  </r>
  <r>
    <x v="1"/>
    <x v="12"/>
    <s v="mechanical"/>
    <x v="3"/>
    <s v="Injury"/>
    <n v="0"/>
    <n v="0"/>
    <n v="6"/>
    <n v="0"/>
    <n v="0"/>
    <n v="2.2363026462914647E-3"/>
    <n v="2.2363026462914647E-3"/>
    <n v="6"/>
  </r>
  <r>
    <x v="1"/>
    <x v="12"/>
    <s v="mechanical"/>
    <x v="3"/>
    <s v="Neither"/>
    <n v="14"/>
    <n v="0"/>
    <n v="0"/>
    <n v="5.2180395080134176E-3"/>
    <n v="0"/>
    <n v="0"/>
    <n v="5.2180395080134176E-3"/>
    <n v="14"/>
  </r>
  <r>
    <x v="1"/>
    <x v="12"/>
    <s v="mechanical"/>
    <x v="4"/>
    <s v="Injury"/>
    <n v="0"/>
    <n v="0"/>
    <n v="13"/>
    <n v="0"/>
    <n v="0"/>
    <n v="4.1230574056454168E-3"/>
    <n v="4.1230574056454168E-3"/>
    <n v="13"/>
  </r>
  <r>
    <x v="1"/>
    <x v="12"/>
    <s v="mechanical"/>
    <x v="4"/>
    <s v="Neither"/>
    <n v="61"/>
    <n v="0"/>
    <n v="0"/>
    <n v="1.9346653980336189E-2"/>
    <n v="0"/>
    <n v="0"/>
    <n v="1.9346653980336189E-2"/>
    <n v="61"/>
  </r>
  <r>
    <x v="1"/>
    <x v="12"/>
    <s v="mechanical"/>
    <x v="5"/>
    <s v="Injury"/>
    <n v="0"/>
    <n v="0"/>
    <n v="5"/>
    <n v="0"/>
    <n v="0"/>
    <n v="3.8058991436726928E-3"/>
    <n v="3.8058991436726928E-3"/>
    <n v="5"/>
  </r>
  <r>
    <x v="1"/>
    <x v="12"/>
    <s v="mechanical"/>
    <x v="5"/>
    <s v="Neither"/>
    <n v="4"/>
    <n v="0"/>
    <n v="0"/>
    <n v="3.0447193149381541E-3"/>
    <n v="0"/>
    <n v="0"/>
    <n v="3.0447193149381541E-3"/>
    <n v="4"/>
  </r>
  <r>
    <x v="1"/>
    <x v="8"/>
    <s v="mechanical"/>
    <x v="1"/>
    <s v="Injury"/>
    <n v="0"/>
    <n v="0"/>
    <n v="3"/>
    <n v="0"/>
    <n v="0"/>
    <n v="1.6000000000000001E-3"/>
    <n v="1.6000000000000001E-3"/>
    <n v="3"/>
  </r>
  <r>
    <x v="1"/>
    <x v="8"/>
    <s v="mechanical"/>
    <x v="1"/>
    <s v="Neither"/>
    <n v="11"/>
    <n v="0"/>
    <n v="0"/>
    <n v="5.8666666666666667E-3"/>
    <n v="0"/>
    <n v="0"/>
    <n v="5.8666666666666667E-3"/>
    <n v="11"/>
  </r>
  <r>
    <x v="1"/>
    <x v="8"/>
    <s v="mechanical"/>
    <x v="2"/>
    <s v="Injury"/>
    <n v="0"/>
    <n v="0"/>
    <n v="1"/>
    <n v="0"/>
    <n v="0"/>
    <n v="4.3744531933508313E-4"/>
    <n v="4.3744531933508313E-4"/>
    <n v="1"/>
  </r>
  <r>
    <x v="1"/>
    <x v="8"/>
    <s v="mechanical"/>
    <x v="2"/>
    <s v="Neither"/>
    <n v="14"/>
    <n v="0"/>
    <n v="0"/>
    <n v="6.1242344706911632E-3"/>
    <n v="0"/>
    <n v="0"/>
    <n v="6.1242344706911632E-3"/>
    <n v="14"/>
  </r>
  <r>
    <x v="1"/>
    <x v="8"/>
    <s v="mechanical"/>
    <x v="3"/>
    <s v="Injury"/>
    <n v="0"/>
    <n v="0"/>
    <n v="1"/>
    <n v="0"/>
    <n v="0"/>
    <n v="3.7271710771524412E-4"/>
    <n v="3.7271710771524412E-4"/>
    <n v="1"/>
  </r>
  <r>
    <x v="1"/>
    <x v="8"/>
    <s v="mechanical"/>
    <x v="3"/>
    <s v="Neither"/>
    <n v="28"/>
    <n v="0"/>
    <n v="0"/>
    <n v="1.0436079016026835E-2"/>
    <n v="0"/>
    <n v="0"/>
    <n v="1.0436079016026835E-2"/>
    <n v="28"/>
  </r>
  <r>
    <x v="1"/>
    <x v="8"/>
    <s v="mechanical"/>
    <x v="4"/>
    <s v="Injury"/>
    <n v="0"/>
    <n v="0"/>
    <n v="3"/>
    <n v="0"/>
    <n v="0"/>
    <n v="9.5147478591817321E-4"/>
    <n v="9.5147478591817321E-4"/>
    <n v="3"/>
  </r>
  <r>
    <x v="1"/>
    <x v="8"/>
    <s v="mechanical"/>
    <x v="4"/>
    <s v="Neither"/>
    <n v="41"/>
    <n v="0"/>
    <n v="0"/>
    <n v="1.30034887408817E-2"/>
    <n v="0"/>
    <n v="0"/>
    <n v="1.30034887408817E-2"/>
    <n v="41"/>
  </r>
  <r>
    <x v="1"/>
    <x v="8"/>
    <s v="mechanical"/>
    <x v="5"/>
    <s v="Injury"/>
    <n v="0"/>
    <n v="0"/>
    <n v="1"/>
    <n v="0"/>
    <n v="0"/>
    <n v="7.6117982873453852E-4"/>
    <n v="7.6117982873453852E-4"/>
    <n v="1"/>
  </r>
  <r>
    <x v="1"/>
    <x v="8"/>
    <s v="mechanical"/>
    <x v="5"/>
    <s v="Neither"/>
    <n v="5"/>
    <n v="0"/>
    <n v="0"/>
    <n v="3.8058991436726928E-3"/>
    <n v="0"/>
    <n v="0"/>
    <n v="3.8058991436726928E-3"/>
    <n v="5"/>
  </r>
  <r>
    <x v="1"/>
    <x v="13"/>
    <s v="energy"/>
    <x v="0"/>
    <s v="Neither"/>
    <n v="1"/>
    <n v="0"/>
    <n v="0"/>
    <n v="6.2735257214554575E-4"/>
    <n v="0"/>
    <n v="0"/>
    <n v="6.2735257214554575E-4"/>
    <n v="1"/>
  </r>
  <r>
    <x v="1"/>
    <x v="13"/>
    <s v="energy"/>
    <x v="1"/>
    <s v="Injury"/>
    <n v="0"/>
    <n v="0"/>
    <n v="1"/>
    <n v="0"/>
    <n v="0"/>
    <n v="5.3333333333333336E-4"/>
    <n v="5.3333333333333336E-4"/>
    <n v="1"/>
  </r>
  <r>
    <x v="1"/>
    <x v="13"/>
    <s v="energy"/>
    <x v="1"/>
    <s v="Neither"/>
    <n v="5"/>
    <n v="0"/>
    <n v="0"/>
    <n v="2.6666666666666666E-3"/>
    <n v="0"/>
    <n v="0"/>
    <n v="2.6666666666666666E-3"/>
    <n v="5"/>
  </r>
  <r>
    <x v="1"/>
    <x v="13"/>
    <s v="energy"/>
    <x v="2"/>
    <s v="Neither"/>
    <n v="20"/>
    <n v="0"/>
    <n v="0"/>
    <n v="8.7489063867016627E-3"/>
    <n v="0"/>
    <n v="0"/>
    <n v="8.7489063867016627E-3"/>
    <n v="20"/>
  </r>
  <r>
    <x v="1"/>
    <x v="13"/>
    <s v="energy"/>
    <x v="3"/>
    <s v="Injury"/>
    <n v="0"/>
    <n v="0"/>
    <n v="2"/>
    <n v="0"/>
    <n v="0"/>
    <n v="7.4543421543048823E-4"/>
    <n v="7.4543421543048823E-4"/>
    <n v="2"/>
  </r>
  <r>
    <x v="1"/>
    <x v="13"/>
    <s v="energy"/>
    <x v="3"/>
    <s v="Neither"/>
    <n v="50"/>
    <n v="0"/>
    <n v="0"/>
    <n v="1.8635855385762207E-2"/>
    <n v="0"/>
    <n v="0"/>
    <n v="1.8635855385762207E-2"/>
    <n v="50"/>
  </r>
  <r>
    <x v="1"/>
    <x v="13"/>
    <s v="energy"/>
    <x v="4"/>
    <s v="Injury"/>
    <n v="0"/>
    <n v="0"/>
    <n v="10"/>
    <n v="0"/>
    <n v="0"/>
    <n v="3.171582619727244E-3"/>
    <n v="3.171582619727244E-3"/>
    <n v="10"/>
  </r>
  <r>
    <x v="1"/>
    <x v="13"/>
    <s v="energy"/>
    <x v="4"/>
    <s v="Neither"/>
    <n v="10"/>
    <n v="0"/>
    <n v="0"/>
    <n v="3.171582619727244E-3"/>
    <n v="0"/>
    <n v="0"/>
    <n v="3.171582619727244E-3"/>
    <n v="10"/>
  </r>
  <r>
    <x v="1"/>
    <x v="13"/>
    <s v="energy"/>
    <x v="5"/>
    <s v="Injury"/>
    <n v="0"/>
    <n v="0"/>
    <n v="3"/>
    <n v="0"/>
    <n v="0"/>
    <n v="2.2835394862036158E-3"/>
    <n v="2.2835394862036158E-3"/>
    <n v="3"/>
  </r>
  <r>
    <x v="1"/>
    <x v="13"/>
    <s v="energy"/>
    <x v="5"/>
    <s v="Neither"/>
    <n v="1"/>
    <n v="0"/>
    <n v="0"/>
    <n v="7.6117982873453852E-4"/>
    <n v="0"/>
    <n v="0"/>
    <n v="7.6117982873453852E-4"/>
    <n v="1"/>
  </r>
  <r>
    <x v="1"/>
    <x v="19"/>
    <s v="energy"/>
    <x v="1"/>
    <s v="Neither"/>
    <n v="2"/>
    <n v="0"/>
    <n v="0"/>
    <n v="1.0666666666666667E-3"/>
    <n v="0"/>
    <n v="0"/>
    <n v="1.0666666666666667E-3"/>
    <n v="2"/>
  </r>
  <r>
    <x v="1"/>
    <x v="19"/>
    <s v="energy"/>
    <x v="2"/>
    <s v="Injury"/>
    <n v="0"/>
    <n v="0"/>
    <n v="1"/>
    <n v="0"/>
    <n v="0"/>
    <n v="4.3744531933508313E-4"/>
    <n v="4.3744531933508313E-4"/>
    <n v="1"/>
  </r>
  <r>
    <x v="1"/>
    <x v="19"/>
    <s v="energy"/>
    <x v="2"/>
    <s v="Neither"/>
    <n v="17"/>
    <n v="0"/>
    <n v="0"/>
    <n v="7.4365704286964126E-3"/>
    <n v="0"/>
    <n v="0"/>
    <n v="7.4365704286964126E-3"/>
    <n v="17"/>
  </r>
  <r>
    <x v="1"/>
    <x v="19"/>
    <s v="energy"/>
    <x v="3"/>
    <s v="Injury"/>
    <n v="0"/>
    <n v="0"/>
    <n v="2"/>
    <n v="0"/>
    <n v="0"/>
    <n v="7.4543421543048823E-4"/>
    <n v="7.4543421543048823E-4"/>
    <n v="2"/>
  </r>
  <r>
    <x v="1"/>
    <x v="19"/>
    <s v="energy"/>
    <x v="3"/>
    <s v="Neither"/>
    <n v="16"/>
    <n v="0"/>
    <n v="0"/>
    <n v="5.9634737234439059E-3"/>
    <n v="0"/>
    <n v="0"/>
    <n v="5.9634737234439059E-3"/>
    <n v="16"/>
  </r>
  <r>
    <x v="1"/>
    <x v="19"/>
    <s v="energy"/>
    <x v="4"/>
    <s v="Injury"/>
    <n v="0"/>
    <n v="0"/>
    <n v="10"/>
    <n v="0"/>
    <n v="0"/>
    <n v="3.171582619727244E-3"/>
    <n v="3.171582619727244E-3"/>
    <n v="10"/>
  </r>
  <r>
    <x v="1"/>
    <x v="19"/>
    <s v="energy"/>
    <x v="4"/>
    <s v="Neither"/>
    <n v="46"/>
    <n v="0"/>
    <n v="0"/>
    <n v="1.4589280050745322E-2"/>
    <n v="0"/>
    <n v="0"/>
    <n v="1.4589280050745322E-2"/>
    <n v="46"/>
  </r>
  <r>
    <x v="1"/>
    <x v="15"/>
    <s v="energy"/>
    <x v="1"/>
    <s v="Injury"/>
    <n v="0"/>
    <n v="0"/>
    <n v="2"/>
    <n v="0"/>
    <n v="0"/>
    <n v="1.0666666666666667E-3"/>
    <n v="1.0666666666666667E-3"/>
    <n v="2"/>
  </r>
  <r>
    <x v="1"/>
    <x v="15"/>
    <s v="energy"/>
    <x v="1"/>
    <s v="Neither"/>
    <n v="3"/>
    <n v="0"/>
    <n v="0"/>
    <n v="1.6000000000000001E-3"/>
    <n v="0"/>
    <n v="0"/>
    <n v="1.6000000000000001E-3"/>
    <n v="3"/>
  </r>
  <r>
    <x v="1"/>
    <x v="15"/>
    <s v="energy"/>
    <x v="2"/>
    <s v="Injury"/>
    <n v="0"/>
    <n v="0"/>
    <n v="4"/>
    <n v="0"/>
    <n v="0"/>
    <n v="1.7497812773403325E-3"/>
    <n v="1.7497812773403325E-3"/>
    <n v="4"/>
  </r>
  <r>
    <x v="1"/>
    <x v="15"/>
    <s v="energy"/>
    <x v="2"/>
    <s v="Neither"/>
    <n v="5"/>
    <n v="0"/>
    <n v="0"/>
    <n v="2.1872265966754157E-3"/>
    <n v="0"/>
    <n v="0"/>
    <n v="2.1872265966754157E-3"/>
    <n v="5"/>
  </r>
  <r>
    <x v="1"/>
    <x v="15"/>
    <s v="energy"/>
    <x v="3"/>
    <s v="Injury"/>
    <n v="0"/>
    <n v="0"/>
    <n v="24"/>
    <n v="0"/>
    <n v="0"/>
    <n v="8.9452105851658588E-3"/>
    <n v="8.9452105851658588E-3"/>
    <n v="24"/>
  </r>
  <r>
    <x v="1"/>
    <x v="15"/>
    <s v="energy"/>
    <x v="3"/>
    <s v="Neither"/>
    <n v="11"/>
    <n v="0"/>
    <n v="0"/>
    <n v="4.0998881848676857E-3"/>
    <n v="0"/>
    <n v="0"/>
    <n v="4.0998881848676857E-3"/>
    <n v="11"/>
  </r>
  <r>
    <x v="1"/>
    <x v="15"/>
    <s v="energy"/>
    <x v="4"/>
    <s v="Injury"/>
    <n v="0"/>
    <n v="0"/>
    <n v="27"/>
    <n v="0"/>
    <n v="0"/>
    <n v="8.5632730732635581E-3"/>
    <n v="8.5632730732635581E-3"/>
    <n v="27"/>
  </r>
  <r>
    <x v="1"/>
    <x v="15"/>
    <s v="energy"/>
    <x v="4"/>
    <s v="Neither"/>
    <n v="3"/>
    <n v="0"/>
    <n v="0"/>
    <n v="9.5147478591817321E-4"/>
    <n v="0"/>
    <n v="0"/>
    <n v="9.5147478591817321E-4"/>
    <n v="3"/>
  </r>
  <r>
    <x v="1"/>
    <x v="15"/>
    <s v="energy"/>
    <x v="5"/>
    <s v="Injury"/>
    <n v="0"/>
    <n v="0"/>
    <n v="5"/>
    <n v="0"/>
    <n v="0"/>
    <n v="3.8058991436726928E-3"/>
    <n v="3.8058991436726928E-3"/>
    <n v="5"/>
  </r>
  <r>
    <x v="1"/>
    <x v="15"/>
    <s v="energy"/>
    <x v="5"/>
    <s v="Neither"/>
    <n v="1"/>
    <n v="0"/>
    <n v="0"/>
    <n v="7.6117982873453852E-4"/>
    <n v="0"/>
    <n v="0"/>
    <n v="7.6117982873453852E-4"/>
    <n v="1"/>
  </r>
  <r>
    <x v="1"/>
    <x v="17"/>
    <s v="energy"/>
    <x v="2"/>
    <s v="Injury"/>
    <n v="0"/>
    <n v="0"/>
    <n v="4"/>
    <n v="0"/>
    <n v="0"/>
    <n v="1.7497812773403325E-3"/>
    <n v="1.7497812773403325E-3"/>
    <n v="4"/>
  </r>
  <r>
    <x v="1"/>
    <x v="17"/>
    <s v="energy"/>
    <x v="2"/>
    <s v="Neither"/>
    <n v="4"/>
    <n v="0"/>
    <n v="0"/>
    <n v="1.7497812773403325E-3"/>
    <n v="0"/>
    <n v="0"/>
    <n v="1.7497812773403325E-3"/>
    <n v="4"/>
  </r>
  <r>
    <x v="1"/>
    <x v="17"/>
    <s v="energy"/>
    <x v="3"/>
    <s v="Injury"/>
    <n v="0"/>
    <n v="0"/>
    <n v="4"/>
    <n v="0"/>
    <n v="0"/>
    <n v="1.4908684308609765E-3"/>
    <n v="1.4908684308609765E-3"/>
    <n v="4"/>
  </r>
  <r>
    <x v="1"/>
    <x v="17"/>
    <s v="energy"/>
    <x v="3"/>
    <s v="Neither"/>
    <n v="3"/>
    <n v="0"/>
    <n v="0"/>
    <n v="1.1181513231457323E-3"/>
    <n v="0"/>
    <n v="0"/>
    <n v="1.1181513231457323E-3"/>
    <n v="3"/>
  </r>
  <r>
    <x v="1"/>
    <x v="17"/>
    <s v="energy"/>
    <x v="4"/>
    <s v="Injury"/>
    <n v="0"/>
    <n v="0"/>
    <n v="11"/>
    <n v="0"/>
    <n v="0"/>
    <n v="3.4887408816999684E-3"/>
    <n v="3.4887408816999684E-3"/>
    <n v="11"/>
  </r>
  <r>
    <x v="1"/>
    <x v="17"/>
    <s v="energy"/>
    <x v="4"/>
    <s v="Neither"/>
    <n v="4"/>
    <n v="0"/>
    <n v="0"/>
    <n v="1.2686330478908975E-3"/>
    <n v="0"/>
    <n v="0"/>
    <n v="1.2686330478908975E-3"/>
    <n v="4"/>
  </r>
  <r>
    <x v="1"/>
    <x v="17"/>
    <s v="energy"/>
    <x v="5"/>
    <s v="Injury"/>
    <n v="0"/>
    <n v="0"/>
    <n v="6"/>
    <n v="0"/>
    <n v="0"/>
    <n v="4.5670789724072316E-3"/>
    <n v="4.5670789724072316E-3"/>
    <n v="6"/>
  </r>
  <r>
    <x v="1"/>
    <x v="17"/>
    <s v="energy"/>
    <x v="5"/>
    <s v="Neither"/>
    <n v="4"/>
    <n v="0"/>
    <n v="0"/>
    <n v="3.0447193149381541E-3"/>
    <n v="0"/>
    <n v="0"/>
    <n v="3.0447193149381541E-3"/>
    <n v="4"/>
  </r>
  <r>
    <x v="1"/>
    <x v="21"/>
    <s v="system"/>
    <x v="2"/>
    <s v="Injury"/>
    <n v="0"/>
    <n v="0"/>
    <n v="1"/>
    <n v="0"/>
    <n v="0"/>
    <n v="4.3744531933508313E-4"/>
    <n v="4.3744531933508313E-4"/>
    <n v="1"/>
  </r>
  <r>
    <x v="1"/>
    <x v="21"/>
    <s v="system"/>
    <x v="2"/>
    <s v="Neither"/>
    <n v="3"/>
    <n v="0"/>
    <n v="0"/>
    <n v="1.3123359580052493E-3"/>
    <n v="0"/>
    <n v="0"/>
    <n v="1.3123359580052493E-3"/>
    <n v="3"/>
  </r>
  <r>
    <x v="1"/>
    <x v="21"/>
    <s v="system"/>
    <x v="3"/>
    <s v="Injury"/>
    <n v="0"/>
    <n v="0"/>
    <n v="2"/>
    <n v="0"/>
    <n v="0"/>
    <n v="7.4543421543048823E-4"/>
    <n v="7.4543421543048823E-4"/>
    <n v="2"/>
  </r>
  <r>
    <x v="1"/>
    <x v="21"/>
    <s v="system"/>
    <x v="3"/>
    <s v="Neither"/>
    <n v="4"/>
    <n v="0"/>
    <n v="0"/>
    <n v="1.4908684308609765E-3"/>
    <n v="0"/>
    <n v="0"/>
    <n v="1.4908684308609765E-3"/>
    <n v="4"/>
  </r>
  <r>
    <x v="1"/>
    <x v="21"/>
    <s v="system"/>
    <x v="4"/>
    <s v="Injury"/>
    <n v="0"/>
    <n v="0"/>
    <n v="6"/>
    <n v="0"/>
    <n v="0"/>
    <n v="1.9029495718363464E-3"/>
    <n v="1.9029495718363464E-3"/>
    <n v="6"/>
  </r>
  <r>
    <x v="1"/>
    <x v="21"/>
    <s v="system"/>
    <x v="4"/>
    <s v="Neither"/>
    <n v="5"/>
    <n v="0"/>
    <n v="0"/>
    <n v="1.585791309863622E-3"/>
    <n v="0"/>
    <n v="0"/>
    <n v="1.585791309863622E-3"/>
    <n v="5"/>
  </r>
  <r>
    <x v="1"/>
    <x v="21"/>
    <s v="system"/>
    <x v="5"/>
    <s v="Injury"/>
    <n v="0"/>
    <n v="0"/>
    <n v="2"/>
    <n v="0"/>
    <n v="0"/>
    <n v="1.522359657469077E-3"/>
    <n v="1.522359657469077E-3"/>
    <n v="2"/>
  </r>
  <r>
    <x v="1"/>
    <x v="21"/>
    <s v="system"/>
    <x v="5"/>
    <s v="Neither"/>
    <n v="3"/>
    <n v="0"/>
    <n v="0"/>
    <n v="2.2835394862036158E-3"/>
    <n v="0"/>
    <n v="0"/>
    <n v="2.2835394862036158E-3"/>
    <n v="3"/>
  </r>
  <r>
    <x v="1"/>
    <x v="20"/>
    <s v="mechanical"/>
    <x v="1"/>
    <s v="Neither"/>
    <n v="1"/>
    <n v="0"/>
    <n v="0"/>
    <n v="5.3333333333333336E-4"/>
    <n v="0"/>
    <n v="0"/>
    <n v="5.3333333333333336E-4"/>
    <n v="1"/>
  </r>
  <r>
    <x v="1"/>
    <x v="20"/>
    <s v="mechanical"/>
    <x v="2"/>
    <s v="Injury"/>
    <n v="0"/>
    <n v="0"/>
    <n v="3"/>
    <n v="0"/>
    <n v="0"/>
    <n v="1.3123359580052493E-3"/>
    <n v="1.3123359580052493E-3"/>
    <n v="3"/>
  </r>
  <r>
    <x v="1"/>
    <x v="20"/>
    <s v="mechanical"/>
    <x v="2"/>
    <s v="Neither"/>
    <n v="3"/>
    <n v="0"/>
    <n v="0"/>
    <n v="1.3123359580052493E-3"/>
    <n v="0"/>
    <n v="0"/>
    <n v="1.3123359580052493E-3"/>
    <n v="3"/>
  </r>
  <r>
    <x v="1"/>
    <x v="20"/>
    <s v="mechanical"/>
    <x v="3"/>
    <s v="Neither"/>
    <n v="5"/>
    <n v="0"/>
    <n v="0"/>
    <n v="1.8635855385762206E-3"/>
    <n v="0"/>
    <n v="0"/>
    <n v="1.8635855385762206E-3"/>
    <n v="5"/>
  </r>
  <r>
    <x v="1"/>
    <x v="20"/>
    <s v="mechanical"/>
    <x v="4"/>
    <s v="Injury"/>
    <n v="0"/>
    <n v="0"/>
    <n v="5"/>
    <n v="0"/>
    <n v="0"/>
    <n v="1.585791309863622E-3"/>
    <n v="1.585791309863622E-3"/>
    <n v="5"/>
  </r>
  <r>
    <x v="1"/>
    <x v="20"/>
    <s v="mechanical"/>
    <x v="4"/>
    <s v="Neither"/>
    <n v="2"/>
    <n v="0"/>
    <n v="0"/>
    <n v="6.3431652394544877E-4"/>
    <n v="0"/>
    <n v="0"/>
    <n v="6.3431652394544877E-4"/>
    <n v="2"/>
  </r>
  <r>
    <x v="1"/>
    <x v="20"/>
    <s v="mechanical"/>
    <x v="5"/>
    <s v="Injury"/>
    <n v="0"/>
    <n v="0"/>
    <n v="6"/>
    <n v="0"/>
    <n v="0"/>
    <n v="4.5670789724072316E-3"/>
    <n v="4.5670789724072316E-3"/>
    <n v="6"/>
  </r>
  <r>
    <x v="1"/>
    <x v="26"/>
    <s v="energy"/>
    <x v="2"/>
    <s v="Injury"/>
    <n v="0"/>
    <n v="0"/>
    <n v="1"/>
    <n v="0"/>
    <n v="0"/>
    <n v="4.3744531933508313E-4"/>
    <n v="4.3744531933508313E-4"/>
    <n v="1"/>
  </r>
  <r>
    <x v="1"/>
    <x v="26"/>
    <s v="energy"/>
    <x v="2"/>
    <s v="Neither"/>
    <n v="1"/>
    <n v="0"/>
    <n v="0"/>
    <n v="4.3744531933508313E-4"/>
    <n v="0"/>
    <n v="0"/>
    <n v="4.3744531933508313E-4"/>
    <n v="1"/>
  </r>
  <r>
    <x v="1"/>
    <x v="26"/>
    <s v="energy"/>
    <x v="3"/>
    <s v="Neither"/>
    <n v="2"/>
    <n v="0"/>
    <n v="0"/>
    <n v="7.4543421543048823E-4"/>
    <n v="0"/>
    <n v="0"/>
    <n v="7.4543421543048823E-4"/>
    <n v="2"/>
  </r>
  <r>
    <x v="1"/>
    <x v="26"/>
    <s v="energy"/>
    <x v="4"/>
    <s v="Injury"/>
    <n v="0"/>
    <n v="0"/>
    <n v="2"/>
    <n v="0"/>
    <n v="0"/>
    <n v="6.3431652394544877E-4"/>
    <n v="6.3431652394544877E-4"/>
    <n v="2"/>
  </r>
  <r>
    <x v="1"/>
    <x v="26"/>
    <s v="energy"/>
    <x v="4"/>
    <s v="Neither"/>
    <n v="16"/>
    <n v="0"/>
    <n v="0"/>
    <n v="5.0745321915635902E-3"/>
    <n v="0"/>
    <n v="0"/>
    <n v="5.0745321915635902E-3"/>
    <n v="16"/>
  </r>
  <r>
    <x v="1"/>
    <x v="26"/>
    <s v="energy"/>
    <x v="5"/>
    <s v="Neither"/>
    <n v="1"/>
    <n v="0"/>
    <n v="0"/>
    <n v="7.6117982873453852E-4"/>
    <n v="0"/>
    <n v="0"/>
    <n v="7.6117982873453852E-4"/>
    <n v="1"/>
  </r>
  <r>
    <x v="1"/>
    <x v="25"/>
    <s v="mechanical"/>
    <x v="1"/>
    <s v="Neither"/>
    <n v="1"/>
    <n v="0"/>
    <n v="0"/>
    <n v="5.3333333333333336E-4"/>
    <n v="0"/>
    <n v="0"/>
    <n v="5.3333333333333336E-4"/>
    <n v="1"/>
  </r>
  <r>
    <x v="1"/>
    <x v="25"/>
    <s v="mechanical"/>
    <x v="2"/>
    <s v="Neither"/>
    <n v="1"/>
    <n v="0"/>
    <n v="0"/>
    <n v="4.3744531933508313E-4"/>
    <n v="0"/>
    <n v="0"/>
    <n v="4.3744531933508313E-4"/>
    <n v="1"/>
  </r>
  <r>
    <x v="1"/>
    <x v="25"/>
    <s v="mechanical"/>
    <x v="3"/>
    <s v="Neither"/>
    <n v="9"/>
    <n v="0"/>
    <n v="0"/>
    <n v="3.354453969437197E-3"/>
    <n v="0"/>
    <n v="0"/>
    <n v="3.354453969437197E-3"/>
    <n v="9"/>
  </r>
  <r>
    <x v="1"/>
    <x v="25"/>
    <s v="mechanical"/>
    <x v="4"/>
    <s v="Injury"/>
    <n v="0"/>
    <n v="0"/>
    <n v="1"/>
    <n v="0"/>
    <n v="0"/>
    <n v="3.1715826197272439E-4"/>
    <n v="3.1715826197272439E-4"/>
    <n v="1"/>
  </r>
  <r>
    <x v="1"/>
    <x v="25"/>
    <s v="mechanical"/>
    <x v="4"/>
    <s v="Neither"/>
    <n v="5"/>
    <n v="0"/>
    <n v="0"/>
    <n v="1.585791309863622E-3"/>
    <n v="0"/>
    <n v="0"/>
    <n v="1.585791309863622E-3"/>
    <n v="5"/>
  </r>
  <r>
    <x v="1"/>
    <x v="25"/>
    <s v="mechanical"/>
    <x v="5"/>
    <s v="Neither"/>
    <n v="1"/>
    <n v="0"/>
    <n v="0"/>
    <n v="7.6117982873453852E-4"/>
    <n v="0"/>
    <n v="0"/>
    <n v="7.6117982873453852E-4"/>
    <n v="1"/>
  </r>
  <r>
    <x v="1"/>
    <x v="18"/>
    <s v="accessory"/>
    <x v="1"/>
    <s v="Injury"/>
    <n v="0"/>
    <n v="0"/>
    <n v="1"/>
    <n v="0"/>
    <n v="0"/>
    <n v="5.3333333333333336E-4"/>
    <n v="5.3333333333333336E-4"/>
    <n v="1"/>
  </r>
  <r>
    <x v="1"/>
    <x v="18"/>
    <s v="accessory"/>
    <x v="2"/>
    <s v="Injury"/>
    <n v="0"/>
    <n v="0"/>
    <n v="3"/>
    <n v="0"/>
    <n v="0"/>
    <n v="1.3123359580052493E-3"/>
    <n v="1.3123359580052493E-3"/>
    <n v="3"/>
  </r>
  <r>
    <x v="1"/>
    <x v="18"/>
    <s v="accessory"/>
    <x v="2"/>
    <s v="Neither"/>
    <n v="2"/>
    <n v="0"/>
    <n v="0"/>
    <n v="8.7489063867016625E-4"/>
    <n v="0"/>
    <n v="0"/>
    <n v="8.7489063867016625E-4"/>
    <n v="2"/>
  </r>
  <r>
    <x v="1"/>
    <x v="18"/>
    <s v="accessory"/>
    <x v="3"/>
    <s v="Injury"/>
    <n v="0"/>
    <n v="0"/>
    <n v="2"/>
    <n v="0"/>
    <n v="0"/>
    <n v="7.4543421543048823E-4"/>
    <n v="7.4543421543048823E-4"/>
    <n v="2"/>
  </r>
  <r>
    <x v="1"/>
    <x v="18"/>
    <s v="accessory"/>
    <x v="3"/>
    <s v="Neither"/>
    <n v="2"/>
    <n v="0"/>
    <n v="0"/>
    <n v="7.4543421543048823E-4"/>
    <n v="0"/>
    <n v="0"/>
    <n v="7.4543421543048823E-4"/>
    <n v="2"/>
  </r>
  <r>
    <x v="1"/>
    <x v="18"/>
    <s v="accessory"/>
    <x v="4"/>
    <s v="Injury"/>
    <n v="0"/>
    <n v="0"/>
    <n v="2"/>
    <n v="0"/>
    <n v="0"/>
    <n v="6.3431652394544877E-4"/>
    <n v="6.3431652394544877E-4"/>
    <n v="2"/>
  </r>
  <r>
    <x v="1"/>
    <x v="18"/>
    <s v="accessory"/>
    <x v="4"/>
    <s v="Neither"/>
    <n v="2"/>
    <n v="0"/>
    <n v="0"/>
    <n v="6.3431652394544877E-4"/>
    <n v="0"/>
    <n v="0"/>
    <n v="6.3431652394544877E-4"/>
    <n v="2"/>
  </r>
  <r>
    <x v="1"/>
    <x v="18"/>
    <s v="accessory"/>
    <x v="5"/>
    <s v="Injury"/>
    <n v="0"/>
    <n v="0"/>
    <n v="2"/>
    <n v="0"/>
    <n v="0"/>
    <n v="1.522359657469077E-3"/>
    <n v="1.522359657469077E-3"/>
    <n v="2"/>
  </r>
  <r>
    <x v="1"/>
    <x v="14"/>
    <s v="energy"/>
    <x v="0"/>
    <s v="Injury"/>
    <n v="0"/>
    <n v="0"/>
    <n v="1"/>
    <n v="0"/>
    <n v="0"/>
    <n v="6.2735257214554575E-4"/>
    <n v="6.2735257214554575E-4"/>
    <n v="1"/>
  </r>
  <r>
    <x v="1"/>
    <x v="14"/>
    <s v="energy"/>
    <x v="0"/>
    <s v="Neither"/>
    <n v="1"/>
    <n v="0"/>
    <n v="0"/>
    <n v="6.2735257214554575E-4"/>
    <n v="0"/>
    <n v="0"/>
    <n v="6.2735257214554575E-4"/>
    <n v="1"/>
  </r>
  <r>
    <x v="1"/>
    <x v="14"/>
    <s v="energy"/>
    <x v="1"/>
    <s v="Injury"/>
    <n v="0"/>
    <n v="0"/>
    <n v="2"/>
    <n v="0"/>
    <n v="0"/>
    <n v="1.0666666666666667E-3"/>
    <n v="1.0666666666666667E-3"/>
    <n v="2"/>
  </r>
  <r>
    <x v="1"/>
    <x v="14"/>
    <s v="energy"/>
    <x v="2"/>
    <s v="Injury"/>
    <n v="0"/>
    <n v="0"/>
    <n v="1"/>
    <n v="0"/>
    <n v="0"/>
    <n v="4.3744531933508313E-4"/>
    <n v="4.3744531933508313E-4"/>
    <n v="1"/>
  </r>
  <r>
    <x v="1"/>
    <x v="14"/>
    <s v="energy"/>
    <x v="2"/>
    <s v="Neither"/>
    <n v="2"/>
    <n v="0"/>
    <n v="0"/>
    <n v="8.7489063867016625E-4"/>
    <n v="0"/>
    <n v="0"/>
    <n v="8.7489063867016625E-4"/>
    <n v="2"/>
  </r>
  <r>
    <x v="1"/>
    <x v="14"/>
    <s v="energy"/>
    <x v="3"/>
    <s v="Injury"/>
    <n v="0"/>
    <n v="0"/>
    <n v="1"/>
    <n v="0"/>
    <n v="0"/>
    <n v="3.7271710771524412E-4"/>
    <n v="3.7271710771524412E-4"/>
    <n v="1"/>
  </r>
  <r>
    <x v="1"/>
    <x v="14"/>
    <s v="energy"/>
    <x v="3"/>
    <s v="Neither"/>
    <n v="3"/>
    <n v="0"/>
    <n v="0"/>
    <n v="1.1181513231457323E-3"/>
    <n v="0"/>
    <n v="0"/>
    <n v="1.1181513231457323E-3"/>
    <n v="3"/>
  </r>
  <r>
    <x v="1"/>
    <x v="14"/>
    <s v="energy"/>
    <x v="4"/>
    <s v="Injury"/>
    <n v="0"/>
    <n v="0"/>
    <n v="2"/>
    <n v="0"/>
    <n v="0"/>
    <n v="6.3431652394544877E-4"/>
    <n v="6.3431652394544877E-4"/>
    <n v="2"/>
  </r>
  <r>
    <x v="1"/>
    <x v="14"/>
    <s v="energy"/>
    <x v="4"/>
    <s v="Neither"/>
    <n v="1"/>
    <n v="0"/>
    <n v="0"/>
    <n v="3.1715826197272439E-4"/>
    <n v="0"/>
    <n v="0"/>
    <n v="3.1715826197272439E-4"/>
    <n v="1"/>
  </r>
  <r>
    <x v="1"/>
    <x v="14"/>
    <s v="energy"/>
    <x v="5"/>
    <s v="Injury"/>
    <n v="0"/>
    <n v="0"/>
    <n v="1"/>
    <n v="0"/>
    <n v="0"/>
    <n v="7.6117982873453852E-4"/>
    <n v="7.6117982873453852E-4"/>
    <n v="1"/>
  </r>
  <r>
    <x v="1"/>
    <x v="14"/>
    <s v="energy"/>
    <x v="5"/>
    <s v="Neither"/>
    <n v="1"/>
    <n v="0"/>
    <n v="0"/>
    <n v="7.6117982873453852E-4"/>
    <n v="0"/>
    <n v="0"/>
    <n v="7.6117982873453852E-4"/>
    <n v="1"/>
  </r>
  <r>
    <x v="1"/>
    <x v="16"/>
    <s v="system"/>
    <x v="1"/>
    <s v="Injury"/>
    <n v="0"/>
    <n v="0"/>
    <n v="1"/>
    <n v="0"/>
    <n v="0"/>
    <n v="5.3333333333333336E-4"/>
    <n v="5.3333333333333336E-4"/>
    <n v="1"/>
  </r>
  <r>
    <x v="1"/>
    <x v="16"/>
    <s v="system"/>
    <x v="1"/>
    <s v="Neither"/>
    <n v="1"/>
    <n v="0"/>
    <n v="0"/>
    <n v="5.3333333333333336E-4"/>
    <n v="0"/>
    <n v="0"/>
    <n v="5.3333333333333336E-4"/>
    <n v="1"/>
  </r>
  <r>
    <x v="1"/>
    <x v="16"/>
    <s v="system"/>
    <x v="2"/>
    <s v="Injury"/>
    <n v="0"/>
    <n v="0"/>
    <n v="2"/>
    <n v="0"/>
    <n v="0"/>
    <n v="8.7489063867016625E-4"/>
    <n v="8.7489063867016625E-4"/>
    <n v="2"/>
  </r>
  <r>
    <x v="1"/>
    <x v="16"/>
    <s v="system"/>
    <x v="2"/>
    <s v="Neither"/>
    <n v="2"/>
    <n v="0"/>
    <n v="0"/>
    <n v="8.7489063867016625E-4"/>
    <n v="0"/>
    <n v="0"/>
    <n v="8.7489063867016625E-4"/>
    <n v="2"/>
  </r>
  <r>
    <x v="1"/>
    <x v="16"/>
    <s v="system"/>
    <x v="3"/>
    <s v="Injury"/>
    <n v="0"/>
    <n v="0"/>
    <n v="1"/>
    <n v="0"/>
    <n v="0"/>
    <n v="3.7271710771524412E-4"/>
    <n v="3.7271710771524412E-4"/>
    <n v="1"/>
  </r>
  <r>
    <x v="1"/>
    <x v="16"/>
    <s v="system"/>
    <x v="3"/>
    <s v="Neither"/>
    <n v="2"/>
    <n v="0"/>
    <n v="0"/>
    <n v="7.4543421543048823E-4"/>
    <n v="0"/>
    <n v="0"/>
    <n v="7.4543421543048823E-4"/>
    <n v="2"/>
  </r>
  <r>
    <x v="1"/>
    <x v="16"/>
    <s v="system"/>
    <x v="4"/>
    <s v="Injury"/>
    <n v="0"/>
    <n v="0"/>
    <n v="2"/>
    <n v="0"/>
    <n v="0"/>
    <n v="6.3431652394544877E-4"/>
    <n v="6.3431652394544877E-4"/>
    <n v="2"/>
  </r>
  <r>
    <x v="1"/>
    <x v="16"/>
    <s v="system"/>
    <x v="5"/>
    <s v="Neither"/>
    <n v="2"/>
    <n v="0"/>
    <n v="0"/>
    <n v="1.522359657469077E-3"/>
    <n v="0"/>
    <n v="0"/>
    <n v="1.522359657469077E-3"/>
    <n v="2"/>
  </r>
  <r>
    <x v="1"/>
    <x v="22"/>
    <s v="accessory"/>
    <x v="1"/>
    <s v="Injury"/>
    <n v="0"/>
    <n v="0"/>
    <n v="2"/>
    <n v="0"/>
    <n v="0"/>
    <n v="1.0666666666666667E-3"/>
    <n v="1.0666666666666667E-3"/>
    <n v="2"/>
  </r>
  <r>
    <x v="1"/>
    <x v="22"/>
    <s v="accessory"/>
    <x v="3"/>
    <s v="Injury"/>
    <n v="0"/>
    <n v="0"/>
    <n v="2"/>
    <n v="0"/>
    <n v="0"/>
    <n v="7.4543421543048823E-4"/>
    <n v="7.4543421543048823E-4"/>
    <n v="2"/>
  </r>
  <r>
    <x v="1"/>
    <x v="22"/>
    <s v="accessory"/>
    <x v="3"/>
    <s v="Neither"/>
    <n v="2"/>
    <n v="0"/>
    <n v="0"/>
    <n v="7.4543421543048823E-4"/>
    <n v="0"/>
    <n v="0"/>
    <n v="7.4543421543048823E-4"/>
    <n v="2"/>
  </r>
  <r>
    <x v="1"/>
    <x v="22"/>
    <s v="accessory"/>
    <x v="4"/>
    <s v="Injury"/>
    <n v="0"/>
    <n v="0"/>
    <n v="3"/>
    <n v="0"/>
    <n v="0"/>
    <n v="9.5147478591817321E-4"/>
    <n v="9.5147478591817321E-4"/>
    <n v="3"/>
  </r>
  <r>
    <x v="1"/>
    <x v="22"/>
    <s v="accessory"/>
    <x v="4"/>
    <s v="Neither"/>
    <n v="1"/>
    <n v="0"/>
    <n v="0"/>
    <n v="3.1715826197272439E-4"/>
    <n v="0"/>
    <n v="0"/>
    <n v="3.1715826197272439E-4"/>
    <n v="1"/>
  </r>
  <r>
    <x v="1"/>
    <x v="22"/>
    <s v="accessory"/>
    <x v="5"/>
    <s v="Injury"/>
    <n v="0"/>
    <n v="0"/>
    <n v="2"/>
    <n v="0"/>
    <n v="0"/>
    <n v="1.522359657469077E-3"/>
    <n v="1.522359657469077E-3"/>
    <n v="2"/>
  </r>
  <r>
    <x v="1"/>
    <x v="23"/>
    <s v="system"/>
    <x v="0"/>
    <s v="Neither"/>
    <n v="1"/>
    <n v="0"/>
    <n v="0"/>
    <n v="6.2735257214554575E-4"/>
    <n v="0"/>
    <n v="0"/>
    <n v="6.2735257214554575E-4"/>
    <n v="1"/>
  </r>
  <r>
    <x v="1"/>
    <x v="23"/>
    <s v="system"/>
    <x v="1"/>
    <s v="Injury"/>
    <n v="0"/>
    <n v="0"/>
    <n v="2"/>
    <n v="0"/>
    <n v="0"/>
    <n v="1.0666666666666667E-3"/>
    <n v="1.0666666666666667E-3"/>
    <n v="2"/>
  </r>
  <r>
    <x v="1"/>
    <x v="23"/>
    <s v="system"/>
    <x v="1"/>
    <s v="Neither"/>
    <n v="4"/>
    <n v="0"/>
    <n v="0"/>
    <n v="2.1333333333333334E-3"/>
    <n v="0"/>
    <n v="0"/>
    <n v="2.1333333333333334E-3"/>
    <n v="4"/>
  </r>
  <r>
    <x v="1"/>
    <x v="23"/>
    <s v="system"/>
    <x v="2"/>
    <s v="Neither"/>
    <n v="1"/>
    <n v="0"/>
    <n v="0"/>
    <n v="4.3744531933508313E-4"/>
    <n v="0"/>
    <n v="0"/>
    <n v="4.3744531933508313E-4"/>
    <n v="1"/>
  </r>
  <r>
    <x v="1"/>
    <x v="23"/>
    <s v="system"/>
    <x v="3"/>
    <s v="Neither"/>
    <n v="2"/>
    <n v="0"/>
    <n v="0"/>
    <n v="7.4543421543048823E-4"/>
    <n v="0"/>
    <n v="0"/>
    <n v="7.4543421543048823E-4"/>
    <n v="2"/>
  </r>
  <r>
    <x v="1"/>
    <x v="24"/>
    <s v="energy"/>
    <x v="1"/>
    <s v="Neither"/>
    <n v="1"/>
    <n v="0"/>
    <n v="0"/>
    <n v="5.3333333333333336E-4"/>
    <n v="0"/>
    <n v="0"/>
    <n v="5.3333333333333336E-4"/>
    <n v="1"/>
  </r>
  <r>
    <x v="1"/>
    <x v="24"/>
    <s v="energy"/>
    <x v="2"/>
    <s v="Neither"/>
    <n v="1"/>
    <n v="0"/>
    <n v="0"/>
    <n v="4.3744531933508313E-4"/>
    <n v="0"/>
    <n v="0"/>
    <n v="4.3744531933508313E-4"/>
    <n v="1"/>
  </r>
  <r>
    <x v="1"/>
    <x v="24"/>
    <s v="energy"/>
    <x v="3"/>
    <s v="Injury"/>
    <n v="0"/>
    <n v="0"/>
    <n v="1"/>
    <n v="0"/>
    <n v="0"/>
    <n v="3.7271710771524412E-4"/>
    <n v="3.7271710771524412E-4"/>
    <n v="1"/>
  </r>
  <r>
    <x v="1"/>
    <x v="24"/>
    <s v="energy"/>
    <x v="3"/>
    <s v="Neither"/>
    <n v="3"/>
    <n v="0"/>
    <n v="0"/>
    <n v="1.1181513231457323E-3"/>
    <n v="0"/>
    <n v="0"/>
    <n v="1.1181513231457323E-3"/>
    <n v="3"/>
  </r>
  <r>
    <x v="1"/>
    <x v="24"/>
    <s v="energy"/>
    <x v="4"/>
    <s v="Neither"/>
    <n v="2"/>
    <n v="0"/>
    <n v="0"/>
    <n v="6.3431652394544877E-4"/>
    <n v="0"/>
    <n v="0"/>
    <n v="6.3431652394544877E-4"/>
    <n v="2"/>
  </r>
  <r>
    <x v="1"/>
    <x v="24"/>
    <s v="energy"/>
    <x v="5"/>
    <s v="Injury"/>
    <n v="0"/>
    <n v="0"/>
    <n v="1"/>
    <n v="0"/>
    <n v="0"/>
    <n v="7.6117982873453852E-4"/>
    <n v="7.6117982873453852E-4"/>
    <n v="1"/>
  </r>
  <r>
    <x v="1"/>
    <x v="27"/>
    <s v="mechanical"/>
    <x v="2"/>
    <s v="Neither"/>
    <n v="1"/>
    <n v="0"/>
    <n v="0"/>
    <n v="4.3744531933508313E-4"/>
    <n v="0"/>
    <n v="0"/>
    <n v="4.3744531933508313E-4"/>
    <n v="1"/>
  </r>
  <r>
    <x v="1"/>
    <x v="27"/>
    <s v="mechanical"/>
    <x v="3"/>
    <s v="Neither"/>
    <n v="1"/>
    <n v="0"/>
    <n v="0"/>
    <n v="3.7271710771524412E-4"/>
    <n v="0"/>
    <n v="0"/>
    <n v="3.7271710771524412E-4"/>
    <n v="1"/>
  </r>
  <r>
    <x v="1"/>
    <x v="27"/>
    <s v="mechanical"/>
    <x v="4"/>
    <s v="Injury"/>
    <n v="0"/>
    <n v="0"/>
    <n v="1"/>
    <n v="0"/>
    <n v="0"/>
    <n v="3.1715826197272439E-4"/>
    <n v="3.1715826197272439E-4"/>
    <n v="1"/>
  </r>
  <r>
    <x v="1"/>
    <x v="28"/>
    <s v="energy"/>
    <x v="2"/>
    <s v="Neither"/>
    <n v="2"/>
    <n v="0"/>
    <n v="0"/>
    <n v="8.7489063867016625E-4"/>
    <n v="0"/>
    <n v="0"/>
    <n v="8.7489063867016625E-4"/>
    <n v="2"/>
  </r>
  <r>
    <x v="2"/>
    <x v="0"/>
    <s v="energy"/>
    <x v="0"/>
    <s v="Injury"/>
    <n v="0"/>
    <n v="0"/>
    <n v="3"/>
    <n v="0"/>
    <n v="0"/>
    <n v="1.8820577164366374E-3"/>
    <n v="1.8820577164366374E-3"/>
    <n v="3"/>
  </r>
  <r>
    <x v="2"/>
    <x v="0"/>
    <s v="energy"/>
    <x v="0"/>
    <s v="Neither"/>
    <n v="1"/>
    <n v="0"/>
    <n v="0"/>
    <n v="6.2735257214554575E-4"/>
    <n v="0"/>
    <n v="0"/>
    <n v="6.2735257214554575E-4"/>
    <n v="1"/>
  </r>
  <r>
    <x v="2"/>
    <x v="0"/>
    <s v="energy"/>
    <x v="1"/>
    <s v="Injury"/>
    <n v="0"/>
    <n v="0"/>
    <n v="4"/>
    <n v="0"/>
    <n v="0"/>
    <n v="2.1333333333333334E-3"/>
    <n v="2.1333333333333334E-3"/>
    <n v="4"/>
  </r>
  <r>
    <x v="2"/>
    <x v="0"/>
    <s v="energy"/>
    <x v="1"/>
    <s v="Neither"/>
    <n v="5"/>
    <n v="0"/>
    <n v="0"/>
    <n v="2.6666666666666666E-3"/>
    <n v="0"/>
    <n v="0"/>
    <n v="2.6666666666666666E-3"/>
    <n v="5"/>
  </r>
  <r>
    <x v="2"/>
    <x v="0"/>
    <s v="energy"/>
    <x v="2"/>
    <s v="Injury"/>
    <n v="0"/>
    <n v="0"/>
    <n v="55"/>
    <n v="0"/>
    <n v="0"/>
    <n v="2.4059492563429572E-2"/>
    <n v="2.4059492563429572E-2"/>
    <n v="55"/>
  </r>
  <r>
    <x v="2"/>
    <x v="0"/>
    <s v="energy"/>
    <x v="2"/>
    <s v="Neither"/>
    <n v="173"/>
    <n v="0"/>
    <n v="0"/>
    <n v="7.567804024496938E-2"/>
    <n v="0"/>
    <n v="0"/>
    <n v="7.567804024496938E-2"/>
    <n v="173"/>
  </r>
  <r>
    <x v="2"/>
    <x v="0"/>
    <s v="energy"/>
    <x v="3"/>
    <s v="Injury"/>
    <n v="0"/>
    <n v="0"/>
    <n v="32"/>
    <n v="0"/>
    <n v="0"/>
    <n v="1.1926947446887812E-2"/>
    <n v="1.1926947446887812E-2"/>
    <n v="32"/>
  </r>
  <r>
    <x v="2"/>
    <x v="0"/>
    <s v="energy"/>
    <x v="3"/>
    <s v="Neither"/>
    <n v="78"/>
    <n v="0"/>
    <n v="0"/>
    <n v="2.9071934401789044E-2"/>
    <n v="0"/>
    <n v="0"/>
    <n v="2.9071934401789044E-2"/>
    <n v="78"/>
  </r>
  <r>
    <x v="2"/>
    <x v="0"/>
    <s v="energy"/>
    <x v="4"/>
    <s v="Injury"/>
    <n v="0"/>
    <n v="0"/>
    <n v="17"/>
    <n v="0"/>
    <n v="0"/>
    <n v="5.3916904535363146E-3"/>
    <n v="5.3916904535363146E-3"/>
    <n v="17"/>
  </r>
  <r>
    <x v="2"/>
    <x v="0"/>
    <s v="energy"/>
    <x v="4"/>
    <s v="Neither"/>
    <n v="242"/>
    <n v="0"/>
    <n v="0"/>
    <n v="7.6752299397399304E-2"/>
    <n v="0"/>
    <n v="0"/>
    <n v="7.6752299397399304E-2"/>
    <n v="242"/>
  </r>
  <r>
    <x v="2"/>
    <x v="0"/>
    <s v="energy"/>
    <x v="5"/>
    <s v="Injury"/>
    <n v="0"/>
    <n v="0"/>
    <n v="5"/>
    <n v="0"/>
    <n v="0"/>
    <n v="3.8058991436726928E-3"/>
    <n v="3.8058991436726928E-3"/>
    <n v="5"/>
  </r>
  <r>
    <x v="2"/>
    <x v="0"/>
    <s v="energy"/>
    <x v="5"/>
    <s v="Neither"/>
    <n v="240"/>
    <n v="0"/>
    <n v="0"/>
    <n v="0.18268315889628925"/>
    <n v="0"/>
    <n v="0"/>
    <n v="0.18268315889628925"/>
    <n v="240"/>
  </r>
  <r>
    <x v="2"/>
    <x v="1"/>
    <s v="energy"/>
    <x v="0"/>
    <s v="Injury"/>
    <n v="0"/>
    <n v="0"/>
    <n v="2"/>
    <n v="0"/>
    <n v="0"/>
    <n v="1.2547051442910915E-3"/>
    <n v="1.2547051442910915E-3"/>
    <n v="2"/>
  </r>
  <r>
    <x v="2"/>
    <x v="1"/>
    <s v="energy"/>
    <x v="0"/>
    <s v="Neither"/>
    <n v="9"/>
    <n v="0"/>
    <n v="0"/>
    <n v="5.6461731493099125E-3"/>
    <n v="0"/>
    <n v="0"/>
    <n v="5.6461731493099125E-3"/>
    <n v="9"/>
  </r>
  <r>
    <x v="2"/>
    <x v="1"/>
    <s v="energy"/>
    <x v="1"/>
    <s v="Injury"/>
    <n v="0"/>
    <n v="0"/>
    <n v="3"/>
    <n v="0"/>
    <n v="0"/>
    <n v="1.6000000000000001E-3"/>
    <n v="1.6000000000000001E-3"/>
    <n v="3"/>
  </r>
  <r>
    <x v="2"/>
    <x v="1"/>
    <s v="energy"/>
    <x v="1"/>
    <s v="Neither"/>
    <n v="7"/>
    <n v="0"/>
    <n v="0"/>
    <n v="3.7333333333333333E-3"/>
    <n v="0"/>
    <n v="0"/>
    <n v="3.7333333333333333E-3"/>
    <n v="7"/>
  </r>
  <r>
    <x v="2"/>
    <x v="1"/>
    <s v="energy"/>
    <x v="2"/>
    <s v="Injury"/>
    <n v="0"/>
    <n v="0"/>
    <n v="7"/>
    <n v="0"/>
    <n v="0"/>
    <n v="3.0621172353455816E-3"/>
    <n v="3.0621172353455816E-3"/>
    <n v="7"/>
  </r>
  <r>
    <x v="2"/>
    <x v="1"/>
    <s v="energy"/>
    <x v="2"/>
    <s v="Neither"/>
    <n v="93"/>
    <n v="0"/>
    <n v="0"/>
    <n v="4.0682414698162729E-2"/>
    <n v="0"/>
    <n v="0"/>
    <n v="4.0682414698162729E-2"/>
    <n v="93"/>
  </r>
  <r>
    <x v="2"/>
    <x v="1"/>
    <s v="energy"/>
    <x v="3"/>
    <s v="Injury"/>
    <n v="0"/>
    <n v="0"/>
    <n v="20"/>
    <n v="0"/>
    <n v="0"/>
    <n v="7.4543421543048823E-3"/>
    <n v="7.4543421543048823E-3"/>
    <n v="20"/>
  </r>
  <r>
    <x v="2"/>
    <x v="1"/>
    <s v="energy"/>
    <x v="3"/>
    <s v="Neither"/>
    <n v="214"/>
    <n v="0"/>
    <n v="0"/>
    <n v="7.9761461051062243E-2"/>
    <n v="0"/>
    <n v="0"/>
    <n v="7.9761461051062243E-2"/>
    <n v="214"/>
  </r>
  <r>
    <x v="2"/>
    <x v="1"/>
    <s v="energy"/>
    <x v="4"/>
    <s v="Injury"/>
    <n v="0"/>
    <n v="0"/>
    <n v="4"/>
    <n v="0"/>
    <n v="0"/>
    <n v="1.2686330478908975E-3"/>
    <n v="1.2686330478908975E-3"/>
    <n v="4"/>
  </r>
  <r>
    <x v="2"/>
    <x v="1"/>
    <s v="energy"/>
    <x v="4"/>
    <s v="Neither"/>
    <n v="269"/>
    <n v="0"/>
    <n v="0"/>
    <n v="8.5315572470662862E-2"/>
    <n v="0"/>
    <n v="0"/>
    <n v="8.5315572470662862E-2"/>
    <n v="269"/>
  </r>
  <r>
    <x v="2"/>
    <x v="1"/>
    <s v="energy"/>
    <x v="5"/>
    <s v="Injury"/>
    <n v="0"/>
    <n v="0"/>
    <n v="3"/>
    <n v="0"/>
    <n v="0"/>
    <n v="2.2835394862036158E-3"/>
    <n v="2.2835394862036158E-3"/>
    <n v="3"/>
  </r>
  <r>
    <x v="2"/>
    <x v="1"/>
    <s v="energy"/>
    <x v="5"/>
    <s v="Neither"/>
    <n v="152"/>
    <n v="0"/>
    <n v="0"/>
    <n v="0.11569933396764985"/>
    <n v="0"/>
    <n v="0"/>
    <n v="0.11569933396764985"/>
    <n v="152"/>
  </r>
  <r>
    <x v="2"/>
    <x v="5"/>
    <s v="energy"/>
    <x v="1"/>
    <s v="Injury"/>
    <n v="0"/>
    <n v="0"/>
    <n v="1"/>
    <n v="0"/>
    <n v="0"/>
    <n v="5.3333333333333336E-4"/>
    <n v="5.3333333333333336E-4"/>
    <n v="1"/>
  </r>
  <r>
    <x v="2"/>
    <x v="5"/>
    <s v="energy"/>
    <x v="1"/>
    <s v="Neither"/>
    <n v="6"/>
    <n v="0"/>
    <n v="0"/>
    <n v="3.2000000000000002E-3"/>
    <n v="0"/>
    <n v="0"/>
    <n v="3.2000000000000002E-3"/>
    <n v="6"/>
  </r>
  <r>
    <x v="2"/>
    <x v="5"/>
    <s v="energy"/>
    <x v="2"/>
    <s v="Injury"/>
    <n v="0"/>
    <n v="0"/>
    <n v="2"/>
    <n v="0"/>
    <n v="0"/>
    <n v="8.7489063867016625E-4"/>
    <n v="8.7489063867016625E-4"/>
    <n v="2"/>
  </r>
  <r>
    <x v="2"/>
    <x v="5"/>
    <s v="energy"/>
    <x v="2"/>
    <s v="Neither"/>
    <n v="28"/>
    <n v="0"/>
    <n v="0"/>
    <n v="1.2248468941382326E-2"/>
    <n v="0"/>
    <n v="0"/>
    <n v="1.2248468941382326E-2"/>
    <n v="28"/>
  </r>
  <r>
    <x v="2"/>
    <x v="5"/>
    <s v="energy"/>
    <x v="3"/>
    <s v="Injury"/>
    <n v="0"/>
    <n v="0"/>
    <n v="13"/>
    <n v="0"/>
    <n v="0"/>
    <n v="4.8453224002981739E-3"/>
    <n v="4.8453224002981739E-3"/>
    <n v="13"/>
  </r>
  <r>
    <x v="2"/>
    <x v="5"/>
    <s v="energy"/>
    <x v="3"/>
    <s v="Neither"/>
    <n v="86"/>
    <n v="0"/>
    <n v="0"/>
    <n v="3.2053671263510997E-2"/>
    <n v="0"/>
    <n v="0"/>
    <n v="3.2053671263510997E-2"/>
    <n v="86"/>
  </r>
  <r>
    <x v="2"/>
    <x v="5"/>
    <s v="energy"/>
    <x v="4"/>
    <s v="Injury"/>
    <n v="0"/>
    <n v="0"/>
    <n v="1"/>
    <n v="0"/>
    <n v="0"/>
    <n v="3.1715826197272439E-4"/>
    <n v="3.1715826197272439E-4"/>
    <n v="1"/>
  </r>
  <r>
    <x v="2"/>
    <x v="5"/>
    <s v="energy"/>
    <x v="4"/>
    <s v="Neither"/>
    <n v="222"/>
    <n v="0"/>
    <n v="0"/>
    <n v="7.0409134157944808E-2"/>
    <n v="0"/>
    <n v="0"/>
    <n v="7.0409134157944808E-2"/>
    <n v="222"/>
  </r>
  <r>
    <x v="2"/>
    <x v="5"/>
    <s v="energy"/>
    <x v="5"/>
    <s v="Neither"/>
    <n v="158"/>
    <n v="0"/>
    <n v="0"/>
    <n v="0.12026641294005709"/>
    <n v="0"/>
    <n v="0"/>
    <n v="0.12026641294005709"/>
    <n v="158"/>
  </r>
  <r>
    <x v="2"/>
    <x v="3"/>
    <s v="energy"/>
    <x v="0"/>
    <s v="Injury"/>
    <n v="0"/>
    <n v="0"/>
    <n v="1"/>
    <n v="0"/>
    <n v="0"/>
    <n v="6.2735257214554575E-4"/>
    <n v="6.2735257214554575E-4"/>
    <n v="1"/>
  </r>
  <r>
    <x v="2"/>
    <x v="3"/>
    <s v="energy"/>
    <x v="0"/>
    <s v="Neither"/>
    <n v="1"/>
    <n v="0"/>
    <n v="0"/>
    <n v="6.2735257214554575E-4"/>
    <n v="0"/>
    <n v="0"/>
    <n v="6.2735257214554575E-4"/>
    <n v="1"/>
  </r>
  <r>
    <x v="2"/>
    <x v="3"/>
    <s v="energy"/>
    <x v="1"/>
    <s v="Injury"/>
    <n v="0"/>
    <n v="0"/>
    <n v="1"/>
    <n v="0"/>
    <n v="0"/>
    <n v="5.3333333333333336E-4"/>
    <n v="5.3333333333333336E-4"/>
    <n v="1"/>
  </r>
  <r>
    <x v="2"/>
    <x v="3"/>
    <s v="energy"/>
    <x v="1"/>
    <s v="Neither"/>
    <n v="7"/>
    <n v="0"/>
    <n v="0"/>
    <n v="3.7333333333333333E-3"/>
    <n v="0"/>
    <n v="0"/>
    <n v="3.7333333333333333E-3"/>
    <n v="7"/>
  </r>
  <r>
    <x v="2"/>
    <x v="3"/>
    <s v="energy"/>
    <x v="2"/>
    <s v="Injury"/>
    <n v="0"/>
    <n v="0"/>
    <n v="8"/>
    <n v="0"/>
    <n v="0"/>
    <n v="3.499562554680665E-3"/>
    <n v="3.499562554680665E-3"/>
    <n v="8"/>
  </r>
  <r>
    <x v="2"/>
    <x v="3"/>
    <s v="energy"/>
    <x v="2"/>
    <s v="Neither"/>
    <n v="78"/>
    <n v="0"/>
    <n v="0"/>
    <n v="3.4120734908136482E-2"/>
    <n v="0"/>
    <n v="0"/>
    <n v="3.4120734908136482E-2"/>
    <n v="78"/>
  </r>
  <r>
    <x v="2"/>
    <x v="3"/>
    <s v="energy"/>
    <x v="3"/>
    <s v="Injury"/>
    <n v="0"/>
    <n v="0"/>
    <n v="8"/>
    <n v="0"/>
    <n v="0"/>
    <n v="2.9817368617219529E-3"/>
    <n v="2.9817368617219529E-3"/>
    <n v="8"/>
  </r>
  <r>
    <x v="2"/>
    <x v="3"/>
    <s v="energy"/>
    <x v="3"/>
    <s v="Neither"/>
    <n v="102"/>
    <n v="0"/>
    <n v="0"/>
    <n v="3.8017144986954902E-2"/>
    <n v="0"/>
    <n v="0"/>
    <n v="3.8017144986954902E-2"/>
    <n v="102"/>
  </r>
  <r>
    <x v="2"/>
    <x v="3"/>
    <s v="energy"/>
    <x v="4"/>
    <s v="Injury"/>
    <n v="0"/>
    <n v="0"/>
    <n v="9"/>
    <n v="0"/>
    <n v="0"/>
    <n v="2.8544243577545195E-3"/>
    <n v="2.8544243577545195E-3"/>
    <n v="9"/>
  </r>
  <r>
    <x v="2"/>
    <x v="3"/>
    <s v="energy"/>
    <x v="4"/>
    <s v="Neither"/>
    <n v="171"/>
    <n v="0"/>
    <n v="0"/>
    <n v="5.423406279733587E-2"/>
    <n v="0"/>
    <n v="0"/>
    <n v="5.423406279733587E-2"/>
    <n v="171"/>
  </r>
  <r>
    <x v="2"/>
    <x v="3"/>
    <s v="energy"/>
    <x v="5"/>
    <s v="Injury"/>
    <n v="0"/>
    <n v="0"/>
    <n v="1"/>
    <n v="0"/>
    <n v="0"/>
    <n v="7.6117982873453852E-4"/>
    <n v="7.6117982873453852E-4"/>
    <n v="1"/>
  </r>
  <r>
    <x v="2"/>
    <x v="3"/>
    <s v="energy"/>
    <x v="5"/>
    <s v="Neither"/>
    <n v="89"/>
    <n v="0"/>
    <n v="0"/>
    <n v="6.7745004757373925E-2"/>
    <n v="0"/>
    <n v="0"/>
    <n v="6.7745004757373925E-2"/>
    <n v="89"/>
  </r>
  <r>
    <x v="2"/>
    <x v="9"/>
    <s v="energy"/>
    <x v="0"/>
    <s v="Neither"/>
    <n v="4"/>
    <n v="0"/>
    <n v="0"/>
    <n v="2.509410288582183E-3"/>
    <n v="0"/>
    <n v="0"/>
    <n v="2.509410288582183E-3"/>
    <n v="4"/>
  </r>
  <r>
    <x v="2"/>
    <x v="9"/>
    <s v="energy"/>
    <x v="1"/>
    <s v="Injury"/>
    <n v="0"/>
    <n v="0"/>
    <n v="1"/>
    <n v="0"/>
    <n v="0"/>
    <n v="5.3333333333333336E-4"/>
    <n v="5.3333333333333336E-4"/>
    <n v="1"/>
  </r>
  <r>
    <x v="2"/>
    <x v="9"/>
    <s v="energy"/>
    <x v="1"/>
    <s v="Neither"/>
    <n v="6"/>
    <n v="0"/>
    <n v="0"/>
    <n v="3.2000000000000002E-3"/>
    <n v="0"/>
    <n v="0"/>
    <n v="3.2000000000000002E-3"/>
    <n v="6"/>
  </r>
  <r>
    <x v="2"/>
    <x v="9"/>
    <s v="energy"/>
    <x v="2"/>
    <s v="Injury"/>
    <n v="0"/>
    <n v="0"/>
    <n v="1"/>
    <n v="0"/>
    <n v="0"/>
    <n v="4.3744531933508313E-4"/>
    <n v="4.3744531933508313E-4"/>
    <n v="1"/>
  </r>
  <r>
    <x v="2"/>
    <x v="9"/>
    <s v="energy"/>
    <x v="2"/>
    <s v="Neither"/>
    <n v="49"/>
    <n v="0"/>
    <n v="0"/>
    <n v="2.1434820647419073E-2"/>
    <n v="0"/>
    <n v="0"/>
    <n v="2.1434820647419073E-2"/>
    <n v="49"/>
  </r>
  <r>
    <x v="2"/>
    <x v="9"/>
    <s v="energy"/>
    <x v="3"/>
    <s v="Injury"/>
    <n v="0"/>
    <n v="0"/>
    <n v="2"/>
    <n v="0"/>
    <n v="0"/>
    <n v="7.4543421543048823E-4"/>
    <n v="7.4543421543048823E-4"/>
    <n v="2"/>
  </r>
  <r>
    <x v="2"/>
    <x v="9"/>
    <s v="energy"/>
    <x v="3"/>
    <s v="Neither"/>
    <n v="73"/>
    <n v="0"/>
    <n v="0"/>
    <n v="2.7208348863212821E-2"/>
    <n v="0"/>
    <n v="0"/>
    <n v="2.7208348863212821E-2"/>
    <n v="73"/>
  </r>
  <r>
    <x v="2"/>
    <x v="9"/>
    <s v="energy"/>
    <x v="4"/>
    <s v="Injury"/>
    <n v="0"/>
    <n v="0"/>
    <n v="4"/>
    <n v="0"/>
    <n v="0"/>
    <n v="1.2686330478908975E-3"/>
    <n v="1.2686330478908975E-3"/>
    <n v="4"/>
  </r>
  <r>
    <x v="2"/>
    <x v="9"/>
    <s v="energy"/>
    <x v="4"/>
    <s v="Neither"/>
    <n v="135"/>
    <n v="0"/>
    <n v="0"/>
    <n v="4.2816365366317791E-2"/>
    <n v="0"/>
    <n v="0"/>
    <n v="4.2816365366317791E-2"/>
    <n v="135"/>
  </r>
  <r>
    <x v="2"/>
    <x v="9"/>
    <s v="energy"/>
    <x v="5"/>
    <s v="Injury"/>
    <n v="0"/>
    <n v="0"/>
    <n v="1"/>
    <n v="0"/>
    <n v="0"/>
    <n v="7.6117982873453852E-4"/>
    <n v="7.6117982873453852E-4"/>
    <n v="1"/>
  </r>
  <r>
    <x v="2"/>
    <x v="9"/>
    <s v="energy"/>
    <x v="5"/>
    <s v="Neither"/>
    <n v="51"/>
    <n v="0"/>
    <n v="0"/>
    <n v="3.8820171265461466E-2"/>
    <n v="0"/>
    <n v="0"/>
    <n v="3.8820171265461466E-2"/>
    <n v="51"/>
  </r>
  <r>
    <x v="2"/>
    <x v="21"/>
    <s v="system"/>
    <x v="0"/>
    <s v="Injury"/>
    <n v="0"/>
    <n v="0"/>
    <n v="2"/>
    <n v="0"/>
    <n v="0"/>
    <n v="1.2547051442910915E-3"/>
    <n v="1.2547051442910915E-3"/>
    <n v="2"/>
  </r>
  <r>
    <x v="2"/>
    <x v="21"/>
    <s v="system"/>
    <x v="0"/>
    <s v="Neither"/>
    <n v="71"/>
    <n v="0"/>
    <n v="0"/>
    <n v="4.4542032622333749E-2"/>
    <n v="0"/>
    <n v="0"/>
    <n v="4.4542032622333749E-2"/>
    <n v="71"/>
  </r>
  <r>
    <x v="2"/>
    <x v="21"/>
    <s v="system"/>
    <x v="1"/>
    <s v="Injury"/>
    <n v="0"/>
    <n v="0"/>
    <n v="5"/>
    <n v="0"/>
    <n v="0"/>
    <n v="2.6666666666666666E-3"/>
    <n v="2.6666666666666666E-3"/>
    <n v="5"/>
  </r>
  <r>
    <x v="2"/>
    <x v="21"/>
    <s v="system"/>
    <x v="1"/>
    <s v="Neither"/>
    <n v="49"/>
    <n v="0"/>
    <n v="0"/>
    <n v="2.6133333333333335E-2"/>
    <n v="0"/>
    <n v="0"/>
    <n v="2.6133333333333335E-2"/>
    <n v="49"/>
  </r>
  <r>
    <x v="2"/>
    <x v="21"/>
    <s v="system"/>
    <x v="2"/>
    <s v="Injury"/>
    <n v="0"/>
    <n v="0"/>
    <n v="2"/>
    <n v="0"/>
    <n v="0"/>
    <n v="8.7489063867016625E-4"/>
    <n v="8.7489063867016625E-4"/>
    <n v="2"/>
  </r>
  <r>
    <x v="2"/>
    <x v="21"/>
    <s v="system"/>
    <x v="2"/>
    <s v="Neither"/>
    <n v="36"/>
    <n v="0"/>
    <n v="0"/>
    <n v="1.5748031496062992E-2"/>
    <n v="0"/>
    <n v="0"/>
    <n v="1.5748031496062992E-2"/>
    <n v="36"/>
  </r>
  <r>
    <x v="2"/>
    <x v="21"/>
    <s v="system"/>
    <x v="3"/>
    <s v="Injury"/>
    <n v="0"/>
    <n v="0"/>
    <n v="2"/>
    <n v="0"/>
    <n v="0"/>
    <n v="7.4543421543048823E-4"/>
    <n v="7.4543421543048823E-4"/>
    <n v="2"/>
  </r>
  <r>
    <x v="2"/>
    <x v="21"/>
    <s v="system"/>
    <x v="3"/>
    <s v="Neither"/>
    <n v="6"/>
    <n v="0"/>
    <n v="0"/>
    <n v="2.2363026462914647E-3"/>
    <n v="0"/>
    <n v="0"/>
    <n v="2.2363026462914647E-3"/>
    <n v="6"/>
  </r>
  <r>
    <x v="2"/>
    <x v="21"/>
    <s v="system"/>
    <x v="4"/>
    <s v="Injury"/>
    <n v="0"/>
    <n v="0"/>
    <n v="4"/>
    <n v="0"/>
    <n v="0"/>
    <n v="1.2686330478908975E-3"/>
    <n v="1.2686330478908975E-3"/>
    <n v="4"/>
  </r>
  <r>
    <x v="2"/>
    <x v="21"/>
    <s v="system"/>
    <x v="4"/>
    <s v="Neither"/>
    <n v="94"/>
    <n v="0"/>
    <n v="0"/>
    <n v="2.9812876625436094E-2"/>
    <n v="0"/>
    <n v="0"/>
    <n v="2.9812876625436094E-2"/>
    <n v="94"/>
  </r>
  <r>
    <x v="2"/>
    <x v="21"/>
    <s v="system"/>
    <x v="5"/>
    <s v="Injury"/>
    <n v="0"/>
    <n v="0"/>
    <n v="2"/>
    <n v="0"/>
    <n v="0"/>
    <n v="1.522359657469077E-3"/>
    <n v="1.522359657469077E-3"/>
    <n v="2"/>
  </r>
  <r>
    <x v="2"/>
    <x v="21"/>
    <s v="system"/>
    <x v="5"/>
    <s v="Neither"/>
    <n v="35"/>
    <n v="0"/>
    <n v="0"/>
    <n v="2.6641294005708849E-2"/>
    <n v="0"/>
    <n v="0"/>
    <n v="2.6641294005708849E-2"/>
    <n v="35"/>
  </r>
  <r>
    <x v="2"/>
    <x v="6"/>
    <s v="energy"/>
    <x v="0"/>
    <s v="Injury"/>
    <n v="0"/>
    <n v="0"/>
    <n v="1"/>
    <n v="0"/>
    <n v="0"/>
    <n v="6.2735257214554575E-4"/>
    <n v="6.2735257214554575E-4"/>
    <n v="1"/>
  </r>
  <r>
    <x v="2"/>
    <x v="6"/>
    <s v="energy"/>
    <x v="0"/>
    <s v="Neither"/>
    <n v="12"/>
    <n v="0"/>
    <n v="0"/>
    <n v="7.5282308657465494E-3"/>
    <n v="0"/>
    <n v="0"/>
    <n v="7.5282308657465494E-3"/>
    <n v="12"/>
  </r>
  <r>
    <x v="2"/>
    <x v="6"/>
    <s v="energy"/>
    <x v="1"/>
    <s v="Injury"/>
    <n v="0"/>
    <n v="0"/>
    <n v="2"/>
    <n v="0"/>
    <n v="0"/>
    <n v="1.0666666666666667E-3"/>
    <n v="1.0666666666666667E-3"/>
    <n v="2"/>
  </r>
  <r>
    <x v="2"/>
    <x v="6"/>
    <s v="energy"/>
    <x v="1"/>
    <s v="Neither"/>
    <n v="4"/>
    <n v="0"/>
    <n v="0"/>
    <n v="2.1333333333333334E-3"/>
    <n v="0"/>
    <n v="0"/>
    <n v="2.1333333333333334E-3"/>
    <n v="4"/>
  </r>
  <r>
    <x v="2"/>
    <x v="6"/>
    <s v="energy"/>
    <x v="2"/>
    <s v="Injury"/>
    <n v="0"/>
    <n v="0"/>
    <n v="4"/>
    <n v="0"/>
    <n v="0"/>
    <n v="1.7497812773403325E-3"/>
    <n v="1.7497812773403325E-3"/>
    <n v="4"/>
  </r>
  <r>
    <x v="2"/>
    <x v="6"/>
    <s v="energy"/>
    <x v="2"/>
    <s v="Neither"/>
    <n v="65"/>
    <n v="0"/>
    <n v="0"/>
    <n v="2.8433945756780401E-2"/>
    <n v="0"/>
    <n v="0"/>
    <n v="2.8433945756780401E-2"/>
    <n v="65"/>
  </r>
  <r>
    <x v="2"/>
    <x v="6"/>
    <s v="energy"/>
    <x v="3"/>
    <s v="Injury"/>
    <n v="0"/>
    <n v="0"/>
    <n v="3"/>
    <n v="0"/>
    <n v="0"/>
    <n v="1.1181513231457323E-3"/>
    <n v="1.1181513231457323E-3"/>
    <n v="3"/>
  </r>
  <r>
    <x v="2"/>
    <x v="6"/>
    <s v="energy"/>
    <x v="3"/>
    <s v="Neither"/>
    <n v="48"/>
    <n v="0"/>
    <n v="0"/>
    <n v="1.7890421170331718E-2"/>
    <n v="0"/>
    <n v="0"/>
    <n v="1.7890421170331718E-2"/>
    <n v="48"/>
  </r>
  <r>
    <x v="2"/>
    <x v="6"/>
    <s v="energy"/>
    <x v="4"/>
    <s v="Injury"/>
    <n v="0"/>
    <n v="0"/>
    <n v="4"/>
    <n v="0"/>
    <n v="0"/>
    <n v="1.2686330478908975E-3"/>
    <n v="1.2686330478908975E-3"/>
    <n v="4"/>
  </r>
  <r>
    <x v="2"/>
    <x v="6"/>
    <s v="energy"/>
    <x v="4"/>
    <s v="Neither"/>
    <n v="103"/>
    <n v="0"/>
    <n v="0"/>
    <n v="3.2667300983190616E-2"/>
    <n v="0"/>
    <n v="0"/>
    <n v="3.2667300983190616E-2"/>
    <n v="103"/>
  </r>
  <r>
    <x v="2"/>
    <x v="6"/>
    <s v="energy"/>
    <x v="5"/>
    <s v="Injury"/>
    <n v="0"/>
    <n v="0"/>
    <n v="1"/>
    <n v="0"/>
    <n v="0"/>
    <n v="7.6117982873453852E-4"/>
    <n v="7.6117982873453852E-4"/>
    <n v="1"/>
  </r>
  <r>
    <x v="2"/>
    <x v="6"/>
    <s v="energy"/>
    <x v="5"/>
    <s v="Neither"/>
    <n v="47"/>
    <n v="0"/>
    <n v="0"/>
    <n v="3.5775451950523313E-2"/>
    <n v="0"/>
    <n v="0"/>
    <n v="3.5775451950523313E-2"/>
    <n v="47"/>
  </r>
  <r>
    <x v="2"/>
    <x v="4"/>
    <s v="mechanical"/>
    <x v="0"/>
    <s v="Injury"/>
    <n v="0"/>
    <n v="0"/>
    <n v="2"/>
    <n v="0"/>
    <n v="0"/>
    <n v="1.2547051442910915E-3"/>
    <n v="1.2547051442910915E-3"/>
    <n v="2"/>
  </r>
  <r>
    <x v="2"/>
    <x v="4"/>
    <s v="mechanical"/>
    <x v="0"/>
    <s v="Neither"/>
    <n v="1"/>
    <n v="0"/>
    <n v="0"/>
    <n v="6.2735257214554575E-4"/>
    <n v="0"/>
    <n v="0"/>
    <n v="6.2735257214554575E-4"/>
    <n v="1"/>
  </r>
  <r>
    <x v="2"/>
    <x v="4"/>
    <s v="mechanical"/>
    <x v="1"/>
    <s v="Injury"/>
    <n v="0"/>
    <n v="0"/>
    <n v="3"/>
    <n v="0"/>
    <n v="0"/>
    <n v="1.6000000000000001E-3"/>
    <n v="1.6000000000000001E-3"/>
    <n v="3"/>
  </r>
  <r>
    <x v="2"/>
    <x v="4"/>
    <s v="mechanical"/>
    <x v="1"/>
    <s v="Neither"/>
    <n v="6"/>
    <n v="0"/>
    <n v="0"/>
    <n v="3.2000000000000002E-3"/>
    <n v="0"/>
    <n v="0"/>
    <n v="3.2000000000000002E-3"/>
    <n v="6"/>
  </r>
  <r>
    <x v="2"/>
    <x v="4"/>
    <s v="mechanical"/>
    <x v="2"/>
    <s v="Injury"/>
    <n v="0"/>
    <n v="0"/>
    <n v="6"/>
    <n v="0"/>
    <n v="0"/>
    <n v="2.6246719160104987E-3"/>
    <n v="2.6246719160104987E-3"/>
    <n v="6"/>
  </r>
  <r>
    <x v="2"/>
    <x v="4"/>
    <s v="mechanical"/>
    <x v="2"/>
    <s v="Neither"/>
    <n v="37"/>
    <n v="0"/>
    <n v="0"/>
    <n v="1.6185476815398076E-2"/>
    <n v="0"/>
    <n v="0"/>
    <n v="1.6185476815398076E-2"/>
    <n v="37"/>
  </r>
  <r>
    <x v="2"/>
    <x v="4"/>
    <s v="mechanical"/>
    <x v="3"/>
    <s v="Injury"/>
    <n v="0"/>
    <n v="0"/>
    <n v="4"/>
    <n v="0"/>
    <n v="0"/>
    <n v="1.4908684308609765E-3"/>
    <n v="1.4908684308609765E-3"/>
    <n v="4"/>
  </r>
  <r>
    <x v="2"/>
    <x v="4"/>
    <s v="mechanical"/>
    <x v="3"/>
    <s v="Neither"/>
    <n v="57"/>
    <n v="0"/>
    <n v="0"/>
    <n v="2.1244875139768915E-2"/>
    <n v="0"/>
    <n v="0"/>
    <n v="2.1244875139768915E-2"/>
    <n v="57"/>
  </r>
  <r>
    <x v="2"/>
    <x v="4"/>
    <s v="mechanical"/>
    <x v="4"/>
    <s v="Injury"/>
    <n v="0"/>
    <n v="0"/>
    <n v="3"/>
    <n v="0"/>
    <n v="0"/>
    <n v="9.5147478591817321E-4"/>
    <n v="9.5147478591817321E-4"/>
    <n v="3"/>
  </r>
  <r>
    <x v="2"/>
    <x v="4"/>
    <s v="mechanical"/>
    <x v="4"/>
    <s v="Neither"/>
    <n v="102"/>
    <n v="0"/>
    <n v="0"/>
    <n v="3.2350142721217889E-2"/>
    <n v="0"/>
    <n v="0"/>
    <n v="3.2350142721217889E-2"/>
    <n v="102"/>
  </r>
  <r>
    <x v="2"/>
    <x v="4"/>
    <s v="mechanical"/>
    <x v="5"/>
    <s v="Injury"/>
    <n v="0"/>
    <n v="0"/>
    <n v="2"/>
    <n v="0"/>
    <n v="0"/>
    <n v="1.522359657469077E-3"/>
    <n v="1.522359657469077E-3"/>
    <n v="2"/>
  </r>
  <r>
    <x v="2"/>
    <x v="4"/>
    <s v="mechanical"/>
    <x v="5"/>
    <s v="Neither"/>
    <n v="48"/>
    <n v="0"/>
    <n v="0"/>
    <n v="3.6536631779257853E-2"/>
    <n v="0"/>
    <n v="0"/>
    <n v="3.6536631779257853E-2"/>
    <n v="48"/>
  </r>
  <r>
    <x v="2"/>
    <x v="2"/>
    <s v="mechanical"/>
    <x v="1"/>
    <s v="Neither"/>
    <n v="7"/>
    <n v="0"/>
    <n v="0"/>
    <n v="3.7333333333333333E-3"/>
    <n v="0"/>
    <n v="0"/>
    <n v="3.7333333333333333E-3"/>
    <n v="7"/>
  </r>
  <r>
    <x v="2"/>
    <x v="2"/>
    <s v="mechanical"/>
    <x v="2"/>
    <s v="Injury"/>
    <n v="0"/>
    <n v="0"/>
    <n v="2"/>
    <n v="0"/>
    <n v="0"/>
    <n v="8.7489063867016625E-4"/>
    <n v="8.7489063867016625E-4"/>
    <n v="2"/>
  </r>
  <r>
    <x v="2"/>
    <x v="2"/>
    <s v="mechanical"/>
    <x v="2"/>
    <s v="Neither"/>
    <n v="34"/>
    <n v="0"/>
    <n v="0"/>
    <n v="1.4873140857392825E-2"/>
    <n v="0"/>
    <n v="0"/>
    <n v="1.4873140857392825E-2"/>
    <n v="34"/>
  </r>
  <r>
    <x v="2"/>
    <x v="2"/>
    <s v="mechanical"/>
    <x v="3"/>
    <s v="Injury"/>
    <n v="0"/>
    <n v="0"/>
    <n v="4"/>
    <n v="0"/>
    <n v="0"/>
    <n v="1.4908684308609765E-3"/>
    <n v="1.4908684308609765E-3"/>
    <n v="4"/>
  </r>
  <r>
    <x v="2"/>
    <x v="2"/>
    <s v="mechanical"/>
    <x v="3"/>
    <s v="Neither"/>
    <n v="31"/>
    <n v="0"/>
    <n v="0"/>
    <n v="1.1554230339172567E-2"/>
    <n v="0"/>
    <n v="0"/>
    <n v="1.1554230339172567E-2"/>
    <n v="31"/>
  </r>
  <r>
    <x v="2"/>
    <x v="2"/>
    <s v="mechanical"/>
    <x v="4"/>
    <s v="Injury"/>
    <n v="0"/>
    <n v="0"/>
    <n v="1"/>
    <n v="0"/>
    <n v="0"/>
    <n v="3.1715826197272439E-4"/>
    <n v="3.1715826197272439E-4"/>
    <n v="1"/>
  </r>
  <r>
    <x v="2"/>
    <x v="2"/>
    <s v="mechanical"/>
    <x v="4"/>
    <s v="Neither"/>
    <n v="96"/>
    <n v="0"/>
    <n v="0"/>
    <n v="3.0447193149381543E-2"/>
    <n v="0"/>
    <n v="0"/>
    <n v="3.0447193149381543E-2"/>
    <n v="96"/>
  </r>
  <r>
    <x v="2"/>
    <x v="2"/>
    <s v="mechanical"/>
    <x v="5"/>
    <s v="Neither"/>
    <n v="52"/>
    <n v="0"/>
    <n v="0"/>
    <n v="3.9581351094196006E-2"/>
    <n v="0"/>
    <n v="0"/>
    <n v="3.9581351094196006E-2"/>
    <n v="52"/>
  </r>
  <r>
    <x v="2"/>
    <x v="11"/>
    <s v="mechanical"/>
    <x v="0"/>
    <s v="Injury"/>
    <n v="0"/>
    <n v="0"/>
    <n v="2"/>
    <n v="0"/>
    <n v="0"/>
    <n v="1.2547051442910915E-3"/>
    <n v="1.2547051442910915E-3"/>
    <n v="2"/>
  </r>
  <r>
    <x v="2"/>
    <x v="11"/>
    <s v="mechanical"/>
    <x v="0"/>
    <s v="Neither"/>
    <n v="3"/>
    <n v="0"/>
    <n v="0"/>
    <n v="1.8820577164366374E-3"/>
    <n v="0"/>
    <n v="0"/>
    <n v="1.8820577164366374E-3"/>
    <n v="3"/>
  </r>
  <r>
    <x v="2"/>
    <x v="11"/>
    <s v="mechanical"/>
    <x v="1"/>
    <s v="Neither"/>
    <n v="4"/>
    <n v="0"/>
    <n v="0"/>
    <n v="2.1333333333333334E-3"/>
    <n v="0"/>
    <n v="0"/>
    <n v="2.1333333333333334E-3"/>
    <n v="4"/>
  </r>
  <r>
    <x v="2"/>
    <x v="11"/>
    <s v="mechanical"/>
    <x v="2"/>
    <s v="Injury"/>
    <n v="0"/>
    <n v="0"/>
    <n v="8"/>
    <n v="0"/>
    <n v="0"/>
    <n v="3.499562554680665E-3"/>
    <n v="3.499562554680665E-3"/>
    <n v="8"/>
  </r>
  <r>
    <x v="2"/>
    <x v="11"/>
    <s v="mechanical"/>
    <x v="2"/>
    <s v="Neither"/>
    <n v="52"/>
    <n v="0"/>
    <n v="0"/>
    <n v="2.2747156605424323E-2"/>
    <n v="0"/>
    <n v="0"/>
    <n v="2.2747156605424323E-2"/>
    <n v="52"/>
  </r>
  <r>
    <x v="2"/>
    <x v="11"/>
    <s v="mechanical"/>
    <x v="3"/>
    <s v="Injury"/>
    <n v="0"/>
    <n v="0"/>
    <n v="2"/>
    <n v="0"/>
    <n v="0"/>
    <n v="7.4543421543048823E-4"/>
    <n v="7.4543421543048823E-4"/>
    <n v="2"/>
  </r>
  <r>
    <x v="2"/>
    <x v="11"/>
    <s v="mechanical"/>
    <x v="3"/>
    <s v="Neither"/>
    <n v="14"/>
    <n v="0"/>
    <n v="0"/>
    <n v="5.2180395080134176E-3"/>
    <n v="0"/>
    <n v="0"/>
    <n v="5.2180395080134176E-3"/>
    <n v="14"/>
  </r>
  <r>
    <x v="2"/>
    <x v="11"/>
    <s v="mechanical"/>
    <x v="4"/>
    <s v="Injury"/>
    <n v="0"/>
    <n v="0"/>
    <n v="2"/>
    <n v="0"/>
    <n v="0"/>
    <n v="6.3431652394544877E-4"/>
    <n v="6.3431652394544877E-4"/>
    <n v="2"/>
  </r>
  <r>
    <x v="2"/>
    <x v="11"/>
    <s v="mechanical"/>
    <x v="4"/>
    <s v="Neither"/>
    <n v="38"/>
    <n v="0"/>
    <n v="0"/>
    <n v="1.2052013954963527E-2"/>
    <n v="0"/>
    <n v="0"/>
    <n v="1.2052013954963527E-2"/>
    <n v="38"/>
  </r>
  <r>
    <x v="2"/>
    <x v="11"/>
    <s v="mechanical"/>
    <x v="5"/>
    <s v="Neither"/>
    <n v="28"/>
    <n v="0"/>
    <n v="0"/>
    <n v="2.131303520456708E-2"/>
    <n v="0"/>
    <n v="0"/>
    <n v="2.131303520456708E-2"/>
    <n v="28"/>
  </r>
  <r>
    <x v="2"/>
    <x v="12"/>
    <s v="mechanical"/>
    <x v="0"/>
    <s v="Injury"/>
    <n v="0"/>
    <n v="0"/>
    <n v="2"/>
    <n v="0"/>
    <n v="0"/>
    <n v="1.2547051442910915E-3"/>
    <n v="1.2547051442910915E-3"/>
    <n v="2"/>
  </r>
  <r>
    <x v="2"/>
    <x v="12"/>
    <s v="mechanical"/>
    <x v="1"/>
    <s v="Neither"/>
    <n v="9"/>
    <n v="0"/>
    <n v="0"/>
    <n v="4.7999999999999996E-3"/>
    <n v="0"/>
    <n v="0"/>
    <n v="4.7999999999999996E-3"/>
    <n v="9"/>
  </r>
  <r>
    <x v="2"/>
    <x v="12"/>
    <s v="mechanical"/>
    <x v="2"/>
    <s v="Injury"/>
    <n v="0"/>
    <n v="0"/>
    <n v="3"/>
    <n v="0"/>
    <n v="0"/>
    <n v="1.3123359580052493E-3"/>
    <n v="1.3123359580052493E-3"/>
    <n v="3"/>
  </r>
  <r>
    <x v="2"/>
    <x v="12"/>
    <s v="mechanical"/>
    <x v="2"/>
    <s v="Neither"/>
    <n v="21"/>
    <n v="0"/>
    <n v="0"/>
    <n v="9.1863517060367453E-3"/>
    <n v="0"/>
    <n v="0"/>
    <n v="9.1863517060367453E-3"/>
    <n v="21"/>
  </r>
  <r>
    <x v="2"/>
    <x v="12"/>
    <s v="mechanical"/>
    <x v="3"/>
    <s v="Injury"/>
    <n v="0"/>
    <n v="0"/>
    <n v="3"/>
    <n v="0"/>
    <n v="0"/>
    <n v="1.1181513231457323E-3"/>
    <n v="1.1181513231457323E-3"/>
    <n v="3"/>
  </r>
  <r>
    <x v="2"/>
    <x v="12"/>
    <s v="mechanical"/>
    <x v="3"/>
    <s v="Neither"/>
    <n v="14"/>
    <n v="0"/>
    <n v="0"/>
    <n v="5.2180395080134176E-3"/>
    <n v="0"/>
    <n v="0"/>
    <n v="5.2180395080134176E-3"/>
    <n v="14"/>
  </r>
  <r>
    <x v="2"/>
    <x v="12"/>
    <s v="mechanical"/>
    <x v="4"/>
    <s v="Injury"/>
    <n v="0"/>
    <n v="0"/>
    <n v="1"/>
    <n v="0"/>
    <n v="0"/>
    <n v="3.1715826197272439E-4"/>
    <n v="3.1715826197272439E-4"/>
    <n v="1"/>
  </r>
  <r>
    <x v="2"/>
    <x v="12"/>
    <s v="mechanical"/>
    <x v="4"/>
    <s v="Neither"/>
    <n v="48"/>
    <n v="0"/>
    <n v="0"/>
    <n v="1.5223596574690771E-2"/>
    <n v="0"/>
    <n v="0"/>
    <n v="1.5223596574690771E-2"/>
    <n v="48"/>
  </r>
  <r>
    <x v="2"/>
    <x v="12"/>
    <s v="mechanical"/>
    <x v="5"/>
    <s v="Neither"/>
    <n v="31"/>
    <n v="0"/>
    <n v="0"/>
    <n v="2.3596574690770696E-2"/>
    <n v="0"/>
    <n v="0"/>
    <n v="2.3596574690770696E-2"/>
    <n v="31"/>
  </r>
  <r>
    <x v="2"/>
    <x v="24"/>
    <s v="energy"/>
    <x v="1"/>
    <s v="Neither"/>
    <n v="2"/>
    <n v="0"/>
    <n v="0"/>
    <n v="1.0666666666666667E-3"/>
    <n v="0"/>
    <n v="0"/>
    <n v="1.0666666666666667E-3"/>
    <n v="2"/>
  </r>
  <r>
    <x v="2"/>
    <x v="24"/>
    <s v="energy"/>
    <x v="2"/>
    <s v="Neither"/>
    <n v="7"/>
    <n v="0"/>
    <n v="0"/>
    <n v="3.0621172353455816E-3"/>
    <n v="0"/>
    <n v="0"/>
    <n v="3.0621172353455816E-3"/>
    <n v="7"/>
  </r>
  <r>
    <x v="2"/>
    <x v="24"/>
    <s v="energy"/>
    <x v="3"/>
    <s v="Neither"/>
    <n v="20"/>
    <n v="0"/>
    <n v="0"/>
    <n v="7.4543421543048823E-3"/>
    <n v="0"/>
    <n v="0"/>
    <n v="7.4543421543048823E-3"/>
    <n v="20"/>
  </r>
  <r>
    <x v="2"/>
    <x v="24"/>
    <s v="energy"/>
    <x v="4"/>
    <s v="Neither"/>
    <n v="54"/>
    <n v="0"/>
    <n v="0"/>
    <n v="1.7126546146527116E-2"/>
    <n v="0"/>
    <n v="0"/>
    <n v="1.7126546146527116E-2"/>
    <n v="54"/>
  </r>
  <r>
    <x v="2"/>
    <x v="24"/>
    <s v="energy"/>
    <x v="5"/>
    <s v="Neither"/>
    <n v="21"/>
    <n v="0"/>
    <n v="0"/>
    <n v="1.598477640342531E-2"/>
    <n v="0"/>
    <n v="0"/>
    <n v="1.598477640342531E-2"/>
    <n v="21"/>
  </r>
  <r>
    <x v="2"/>
    <x v="8"/>
    <s v="mechanical"/>
    <x v="1"/>
    <s v="Neither"/>
    <n v="1"/>
    <n v="0"/>
    <n v="0"/>
    <n v="5.3333333333333336E-4"/>
    <n v="0"/>
    <n v="0"/>
    <n v="5.3333333333333336E-4"/>
    <n v="1"/>
  </r>
  <r>
    <x v="2"/>
    <x v="8"/>
    <s v="mechanical"/>
    <x v="2"/>
    <s v="Neither"/>
    <n v="12"/>
    <n v="0"/>
    <n v="0"/>
    <n v="5.2493438320209973E-3"/>
    <n v="0"/>
    <n v="0"/>
    <n v="5.2493438320209973E-3"/>
    <n v="12"/>
  </r>
  <r>
    <x v="2"/>
    <x v="8"/>
    <s v="mechanical"/>
    <x v="3"/>
    <s v="Injury"/>
    <n v="0"/>
    <n v="0"/>
    <n v="2"/>
    <n v="0"/>
    <n v="0"/>
    <n v="7.4543421543048823E-4"/>
    <n v="7.4543421543048823E-4"/>
    <n v="2"/>
  </r>
  <r>
    <x v="2"/>
    <x v="8"/>
    <s v="mechanical"/>
    <x v="3"/>
    <s v="Neither"/>
    <n v="12"/>
    <n v="0"/>
    <n v="0"/>
    <n v="4.4726052925829294E-3"/>
    <n v="0"/>
    <n v="0"/>
    <n v="4.4726052925829294E-3"/>
    <n v="12"/>
  </r>
  <r>
    <x v="2"/>
    <x v="8"/>
    <s v="mechanical"/>
    <x v="4"/>
    <s v="Injury"/>
    <n v="0"/>
    <n v="0"/>
    <n v="1"/>
    <n v="0"/>
    <n v="0"/>
    <n v="3.1715826197272439E-4"/>
    <n v="3.1715826197272439E-4"/>
    <n v="1"/>
  </r>
  <r>
    <x v="2"/>
    <x v="8"/>
    <s v="mechanical"/>
    <x v="4"/>
    <s v="Neither"/>
    <n v="40"/>
    <n v="0"/>
    <n v="0"/>
    <n v="1.2686330478908976E-2"/>
    <n v="0"/>
    <n v="0"/>
    <n v="1.2686330478908976E-2"/>
    <n v="40"/>
  </r>
  <r>
    <x v="2"/>
    <x v="8"/>
    <s v="mechanical"/>
    <x v="5"/>
    <s v="Neither"/>
    <n v="27"/>
    <n v="0"/>
    <n v="0"/>
    <n v="2.055185537583254E-2"/>
    <n v="0"/>
    <n v="0"/>
    <n v="2.055185537583254E-2"/>
    <n v="27"/>
  </r>
  <r>
    <x v="2"/>
    <x v="13"/>
    <s v="energy"/>
    <x v="0"/>
    <s v="Neither"/>
    <n v="4"/>
    <n v="0"/>
    <n v="0"/>
    <n v="2.509410288582183E-3"/>
    <n v="0"/>
    <n v="0"/>
    <n v="2.509410288582183E-3"/>
    <n v="4"/>
  </r>
  <r>
    <x v="2"/>
    <x v="13"/>
    <s v="energy"/>
    <x v="2"/>
    <s v="Injury"/>
    <n v="0"/>
    <n v="0"/>
    <n v="2"/>
    <n v="0"/>
    <n v="0"/>
    <n v="8.7489063867016625E-4"/>
    <n v="8.7489063867016625E-4"/>
    <n v="2"/>
  </r>
  <r>
    <x v="2"/>
    <x v="13"/>
    <s v="energy"/>
    <x v="2"/>
    <s v="Neither"/>
    <n v="29"/>
    <n v="0"/>
    <n v="0"/>
    <n v="1.2685914260717411E-2"/>
    <n v="0"/>
    <n v="0"/>
    <n v="1.2685914260717411E-2"/>
    <n v="29"/>
  </r>
  <r>
    <x v="2"/>
    <x v="13"/>
    <s v="energy"/>
    <x v="3"/>
    <s v="Injury"/>
    <n v="0"/>
    <n v="0"/>
    <n v="2"/>
    <n v="0"/>
    <n v="0"/>
    <n v="7.4543421543048823E-4"/>
    <n v="7.4543421543048823E-4"/>
    <n v="2"/>
  </r>
  <r>
    <x v="2"/>
    <x v="13"/>
    <s v="energy"/>
    <x v="3"/>
    <s v="Neither"/>
    <n v="11"/>
    <n v="0"/>
    <n v="0"/>
    <n v="4.0998881848676857E-3"/>
    <n v="0"/>
    <n v="0"/>
    <n v="4.0998881848676857E-3"/>
    <n v="11"/>
  </r>
  <r>
    <x v="2"/>
    <x v="13"/>
    <s v="energy"/>
    <x v="4"/>
    <s v="Neither"/>
    <n v="28"/>
    <n v="0"/>
    <n v="0"/>
    <n v="8.8804313352362826E-3"/>
    <n v="0"/>
    <n v="0"/>
    <n v="8.8804313352362826E-3"/>
    <n v="28"/>
  </r>
  <r>
    <x v="2"/>
    <x v="13"/>
    <s v="energy"/>
    <x v="5"/>
    <s v="Neither"/>
    <n v="10"/>
    <n v="0"/>
    <n v="0"/>
    <n v="7.6117982873453857E-3"/>
    <n v="0"/>
    <n v="0"/>
    <n v="7.6117982873453857E-3"/>
    <n v="10"/>
  </r>
  <r>
    <x v="2"/>
    <x v="19"/>
    <s v="energy"/>
    <x v="0"/>
    <s v="Injury"/>
    <n v="0"/>
    <n v="0"/>
    <n v="1"/>
    <n v="0"/>
    <n v="0"/>
    <n v="6.2735257214554575E-4"/>
    <n v="6.2735257214554575E-4"/>
    <n v="1"/>
  </r>
  <r>
    <x v="2"/>
    <x v="19"/>
    <s v="energy"/>
    <x v="0"/>
    <s v="Neither"/>
    <n v="2"/>
    <n v="0"/>
    <n v="0"/>
    <n v="1.2547051442910915E-3"/>
    <n v="0"/>
    <n v="0"/>
    <n v="1.2547051442910915E-3"/>
    <n v="2"/>
  </r>
  <r>
    <x v="2"/>
    <x v="19"/>
    <s v="energy"/>
    <x v="1"/>
    <s v="Neither"/>
    <n v="1"/>
    <n v="0"/>
    <n v="0"/>
    <n v="5.3333333333333336E-4"/>
    <n v="0"/>
    <n v="0"/>
    <n v="5.3333333333333336E-4"/>
    <n v="1"/>
  </r>
  <r>
    <x v="2"/>
    <x v="19"/>
    <s v="energy"/>
    <x v="2"/>
    <s v="Injury"/>
    <n v="0"/>
    <n v="0"/>
    <n v="1"/>
    <n v="0"/>
    <n v="0"/>
    <n v="4.3744531933508313E-4"/>
    <n v="4.3744531933508313E-4"/>
    <n v="1"/>
  </r>
  <r>
    <x v="2"/>
    <x v="19"/>
    <s v="energy"/>
    <x v="2"/>
    <s v="Neither"/>
    <n v="26"/>
    <n v="0"/>
    <n v="0"/>
    <n v="1.1373578302712161E-2"/>
    <n v="0"/>
    <n v="0"/>
    <n v="1.1373578302712161E-2"/>
    <n v="26"/>
  </r>
  <r>
    <x v="2"/>
    <x v="19"/>
    <s v="energy"/>
    <x v="3"/>
    <s v="Injury"/>
    <n v="0"/>
    <n v="0"/>
    <n v="1"/>
    <n v="0"/>
    <n v="0"/>
    <n v="3.7271710771524412E-4"/>
    <n v="3.7271710771524412E-4"/>
    <n v="1"/>
  </r>
  <r>
    <x v="2"/>
    <x v="19"/>
    <s v="energy"/>
    <x v="3"/>
    <s v="Neither"/>
    <n v="16"/>
    <n v="0"/>
    <n v="0"/>
    <n v="5.9634737234439059E-3"/>
    <n v="0"/>
    <n v="0"/>
    <n v="5.9634737234439059E-3"/>
    <n v="16"/>
  </r>
  <r>
    <x v="2"/>
    <x v="19"/>
    <s v="energy"/>
    <x v="4"/>
    <s v="Neither"/>
    <n v="28"/>
    <n v="0"/>
    <n v="0"/>
    <n v="8.8804313352362826E-3"/>
    <n v="0"/>
    <n v="0"/>
    <n v="8.8804313352362826E-3"/>
    <n v="28"/>
  </r>
  <r>
    <x v="2"/>
    <x v="19"/>
    <s v="energy"/>
    <x v="5"/>
    <s v="Neither"/>
    <n v="8"/>
    <n v="0"/>
    <n v="0"/>
    <n v="6.0894386298763082E-3"/>
    <n v="0"/>
    <n v="0"/>
    <n v="6.0894386298763082E-3"/>
    <n v="8"/>
  </r>
  <r>
    <x v="2"/>
    <x v="15"/>
    <s v="energy"/>
    <x v="1"/>
    <s v="Neither"/>
    <n v="2"/>
    <n v="0"/>
    <n v="0"/>
    <n v="1.0666666666666667E-3"/>
    <n v="0"/>
    <n v="0"/>
    <n v="1.0666666666666667E-3"/>
    <n v="2"/>
  </r>
  <r>
    <x v="2"/>
    <x v="15"/>
    <s v="energy"/>
    <x v="2"/>
    <s v="Injury"/>
    <n v="0"/>
    <n v="0"/>
    <n v="3"/>
    <n v="0"/>
    <n v="0"/>
    <n v="1.3123359580052493E-3"/>
    <n v="1.3123359580052493E-3"/>
    <n v="3"/>
  </r>
  <r>
    <x v="2"/>
    <x v="15"/>
    <s v="energy"/>
    <x v="2"/>
    <s v="Neither"/>
    <n v="33"/>
    <n v="0"/>
    <n v="0"/>
    <n v="1.4435695538057743E-2"/>
    <n v="0"/>
    <n v="0"/>
    <n v="1.4435695538057743E-2"/>
    <n v="33"/>
  </r>
  <r>
    <x v="2"/>
    <x v="15"/>
    <s v="energy"/>
    <x v="3"/>
    <s v="Injury"/>
    <n v="0"/>
    <n v="0"/>
    <n v="5"/>
    <n v="0"/>
    <n v="0"/>
    <n v="1.8635855385762206E-3"/>
    <n v="1.8635855385762206E-3"/>
    <n v="5"/>
  </r>
  <r>
    <x v="2"/>
    <x v="15"/>
    <s v="energy"/>
    <x v="3"/>
    <s v="Neither"/>
    <n v="1"/>
    <n v="0"/>
    <n v="0"/>
    <n v="3.7271710771524412E-4"/>
    <n v="0"/>
    <n v="0"/>
    <n v="3.7271710771524412E-4"/>
    <n v="1"/>
  </r>
  <r>
    <x v="2"/>
    <x v="15"/>
    <s v="energy"/>
    <x v="4"/>
    <s v="Injury"/>
    <n v="0"/>
    <n v="0"/>
    <n v="1"/>
    <n v="0"/>
    <n v="0"/>
    <n v="3.1715826197272439E-4"/>
    <n v="3.1715826197272439E-4"/>
    <n v="1"/>
  </r>
  <r>
    <x v="2"/>
    <x v="15"/>
    <s v="energy"/>
    <x v="4"/>
    <s v="Neither"/>
    <n v="13"/>
    <n v="0"/>
    <n v="0"/>
    <n v="4.1230574056454168E-3"/>
    <n v="0"/>
    <n v="0"/>
    <n v="4.1230574056454168E-3"/>
    <n v="13"/>
  </r>
  <r>
    <x v="2"/>
    <x v="15"/>
    <s v="energy"/>
    <x v="5"/>
    <s v="Neither"/>
    <n v="6"/>
    <n v="0"/>
    <n v="0"/>
    <n v="4.5670789724072316E-3"/>
    <n v="0"/>
    <n v="0"/>
    <n v="4.5670789724072316E-3"/>
    <n v="6"/>
  </r>
  <r>
    <x v="2"/>
    <x v="20"/>
    <s v="mechanical"/>
    <x v="0"/>
    <s v="Injury"/>
    <n v="0"/>
    <n v="0"/>
    <n v="2"/>
    <n v="0"/>
    <n v="0"/>
    <n v="1.2547051442910915E-3"/>
    <n v="1.2547051442910915E-3"/>
    <n v="2"/>
  </r>
  <r>
    <x v="2"/>
    <x v="20"/>
    <s v="mechanical"/>
    <x v="1"/>
    <s v="Neither"/>
    <n v="2"/>
    <n v="0"/>
    <n v="0"/>
    <n v="1.0666666666666667E-3"/>
    <n v="0"/>
    <n v="0"/>
    <n v="1.0666666666666667E-3"/>
    <n v="2"/>
  </r>
  <r>
    <x v="2"/>
    <x v="20"/>
    <s v="mechanical"/>
    <x v="2"/>
    <s v="Neither"/>
    <n v="12"/>
    <n v="0"/>
    <n v="0"/>
    <n v="5.2493438320209973E-3"/>
    <n v="0"/>
    <n v="0"/>
    <n v="5.2493438320209973E-3"/>
    <n v="12"/>
  </r>
  <r>
    <x v="2"/>
    <x v="20"/>
    <s v="mechanical"/>
    <x v="3"/>
    <s v="Injury"/>
    <n v="0"/>
    <n v="0"/>
    <n v="1"/>
    <n v="0"/>
    <n v="0"/>
    <n v="3.7271710771524412E-4"/>
    <n v="3.7271710771524412E-4"/>
    <n v="1"/>
  </r>
  <r>
    <x v="2"/>
    <x v="20"/>
    <s v="mechanical"/>
    <x v="3"/>
    <s v="Neither"/>
    <n v="7"/>
    <n v="0"/>
    <n v="0"/>
    <n v="2.6090197540067088E-3"/>
    <n v="0"/>
    <n v="0"/>
    <n v="2.6090197540067088E-3"/>
    <n v="7"/>
  </r>
  <r>
    <x v="2"/>
    <x v="20"/>
    <s v="mechanical"/>
    <x v="4"/>
    <s v="Neither"/>
    <n v="21"/>
    <n v="0"/>
    <n v="0"/>
    <n v="6.6603235014272124E-3"/>
    <n v="0"/>
    <n v="0"/>
    <n v="6.6603235014272124E-3"/>
    <n v="21"/>
  </r>
  <r>
    <x v="2"/>
    <x v="20"/>
    <s v="mechanical"/>
    <x v="5"/>
    <s v="Neither"/>
    <n v="13"/>
    <n v="0"/>
    <n v="0"/>
    <n v="9.8953377735490015E-3"/>
    <n v="0"/>
    <n v="0"/>
    <n v="9.8953377735490015E-3"/>
    <n v="13"/>
  </r>
  <r>
    <x v="2"/>
    <x v="7"/>
    <s v="mechanical"/>
    <x v="0"/>
    <s v="Neither"/>
    <n v="6"/>
    <n v="0"/>
    <n v="0"/>
    <n v="3.7641154328732747E-3"/>
    <n v="0"/>
    <n v="0"/>
    <n v="3.7641154328732747E-3"/>
    <n v="6"/>
  </r>
  <r>
    <x v="2"/>
    <x v="7"/>
    <s v="mechanical"/>
    <x v="1"/>
    <s v="Neither"/>
    <n v="3"/>
    <n v="0"/>
    <n v="0"/>
    <n v="1.6000000000000001E-3"/>
    <n v="0"/>
    <n v="0"/>
    <n v="1.6000000000000001E-3"/>
    <n v="3"/>
  </r>
  <r>
    <x v="2"/>
    <x v="7"/>
    <s v="mechanical"/>
    <x v="2"/>
    <s v="Injury"/>
    <n v="0"/>
    <n v="0"/>
    <n v="1"/>
    <n v="0"/>
    <n v="0"/>
    <n v="4.3744531933508313E-4"/>
    <n v="4.3744531933508313E-4"/>
    <n v="1"/>
  </r>
  <r>
    <x v="2"/>
    <x v="7"/>
    <s v="mechanical"/>
    <x v="2"/>
    <s v="Neither"/>
    <n v="7"/>
    <n v="0"/>
    <n v="0"/>
    <n v="3.0621172353455816E-3"/>
    <n v="0"/>
    <n v="0"/>
    <n v="3.0621172353455816E-3"/>
    <n v="7"/>
  </r>
  <r>
    <x v="2"/>
    <x v="7"/>
    <s v="mechanical"/>
    <x v="3"/>
    <s v="Injury"/>
    <n v="0"/>
    <n v="0"/>
    <n v="2"/>
    <n v="0"/>
    <n v="0"/>
    <n v="7.4543421543048823E-4"/>
    <n v="7.4543421543048823E-4"/>
    <n v="2"/>
  </r>
  <r>
    <x v="2"/>
    <x v="7"/>
    <s v="mechanical"/>
    <x v="3"/>
    <s v="Neither"/>
    <n v="15"/>
    <n v="0"/>
    <n v="0"/>
    <n v="5.5907566157286622E-3"/>
    <n v="0"/>
    <n v="0"/>
    <n v="5.5907566157286622E-3"/>
    <n v="15"/>
  </r>
  <r>
    <x v="2"/>
    <x v="7"/>
    <s v="mechanical"/>
    <x v="4"/>
    <s v="Injury"/>
    <n v="0"/>
    <n v="0"/>
    <n v="2"/>
    <n v="0"/>
    <n v="0"/>
    <n v="6.3431652394544877E-4"/>
    <n v="6.3431652394544877E-4"/>
    <n v="2"/>
  </r>
  <r>
    <x v="2"/>
    <x v="7"/>
    <s v="mechanical"/>
    <x v="4"/>
    <s v="Neither"/>
    <n v="8"/>
    <n v="0"/>
    <n v="0"/>
    <n v="2.5372660957817951E-3"/>
    <n v="0"/>
    <n v="0"/>
    <n v="2.5372660957817951E-3"/>
    <n v="8"/>
  </r>
  <r>
    <x v="2"/>
    <x v="7"/>
    <s v="mechanical"/>
    <x v="5"/>
    <s v="Neither"/>
    <n v="3"/>
    <n v="0"/>
    <n v="0"/>
    <n v="2.2835394862036158E-3"/>
    <n v="0"/>
    <n v="0"/>
    <n v="2.2835394862036158E-3"/>
    <n v="3"/>
  </r>
  <r>
    <x v="2"/>
    <x v="18"/>
    <s v="accessory"/>
    <x v="2"/>
    <s v="Injury"/>
    <n v="0"/>
    <n v="0"/>
    <n v="1"/>
    <n v="0"/>
    <n v="0"/>
    <n v="4.3744531933508313E-4"/>
    <n v="4.3744531933508313E-4"/>
    <n v="1"/>
  </r>
  <r>
    <x v="2"/>
    <x v="18"/>
    <s v="accessory"/>
    <x v="2"/>
    <s v="Neither"/>
    <n v="7"/>
    <n v="0"/>
    <n v="0"/>
    <n v="3.0621172353455816E-3"/>
    <n v="0"/>
    <n v="0"/>
    <n v="3.0621172353455816E-3"/>
    <n v="7"/>
  </r>
  <r>
    <x v="2"/>
    <x v="18"/>
    <s v="accessory"/>
    <x v="3"/>
    <s v="Neither"/>
    <n v="10"/>
    <n v="0"/>
    <n v="0"/>
    <n v="3.7271710771524412E-3"/>
    <n v="0"/>
    <n v="0"/>
    <n v="3.7271710771524412E-3"/>
    <n v="10"/>
  </r>
  <r>
    <x v="2"/>
    <x v="18"/>
    <s v="accessory"/>
    <x v="4"/>
    <s v="Neither"/>
    <n v="19"/>
    <n v="0"/>
    <n v="0"/>
    <n v="6.0260069774817635E-3"/>
    <n v="0"/>
    <n v="0"/>
    <n v="6.0260069774817635E-3"/>
    <n v="19"/>
  </r>
  <r>
    <x v="2"/>
    <x v="18"/>
    <s v="accessory"/>
    <x v="5"/>
    <s v="Injury"/>
    <n v="0"/>
    <n v="0"/>
    <n v="1"/>
    <n v="0"/>
    <n v="0"/>
    <n v="7.6117982873453852E-4"/>
    <n v="7.6117982873453852E-4"/>
    <n v="1"/>
  </r>
  <r>
    <x v="2"/>
    <x v="18"/>
    <s v="accessory"/>
    <x v="5"/>
    <s v="Neither"/>
    <n v="5"/>
    <n v="0"/>
    <n v="0"/>
    <n v="3.8058991436726928E-3"/>
    <n v="0"/>
    <n v="0"/>
    <n v="3.8058991436726928E-3"/>
    <n v="5"/>
  </r>
  <r>
    <x v="2"/>
    <x v="17"/>
    <s v="energy"/>
    <x v="2"/>
    <s v="Injury"/>
    <n v="0"/>
    <n v="0"/>
    <n v="1"/>
    <n v="0"/>
    <n v="0"/>
    <n v="4.3744531933508313E-4"/>
    <n v="4.3744531933508313E-4"/>
    <n v="1"/>
  </r>
  <r>
    <x v="2"/>
    <x v="17"/>
    <s v="energy"/>
    <x v="2"/>
    <s v="Neither"/>
    <n v="3"/>
    <n v="0"/>
    <n v="0"/>
    <n v="1.3123359580052493E-3"/>
    <n v="0"/>
    <n v="0"/>
    <n v="1.3123359580052493E-3"/>
    <n v="3"/>
  </r>
  <r>
    <x v="2"/>
    <x v="17"/>
    <s v="energy"/>
    <x v="3"/>
    <s v="Injury"/>
    <n v="0"/>
    <n v="0"/>
    <n v="3"/>
    <n v="0"/>
    <n v="0"/>
    <n v="1.1181513231457323E-3"/>
    <n v="1.1181513231457323E-3"/>
    <n v="3"/>
  </r>
  <r>
    <x v="2"/>
    <x v="17"/>
    <s v="energy"/>
    <x v="3"/>
    <s v="Neither"/>
    <n v="8"/>
    <n v="0"/>
    <n v="0"/>
    <n v="2.9817368617219529E-3"/>
    <n v="0"/>
    <n v="0"/>
    <n v="2.9817368617219529E-3"/>
    <n v="8"/>
  </r>
  <r>
    <x v="2"/>
    <x v="17"/>
    <s v="energy"/>
    <x v="4"/>
    <s v="Injury"/>
    <n v="0"/>
    <n v="0"/>
    <n v="1"/>
    <n v="0"/>
    <n v="0"/>
    <n v="3.1715826197272439E-4"/>
    <n v="3.1715826197272439E-4"/>
    <n v="1"/>
  </r>
  <r>
    <x v="2"/>
    <x v="17"/>
    <s v="energy"/>
    <x v="4"/>
    <s v="Neither"/>
    <n v="20"/>
    <n v="0"/>
    <n v="0"/>
    <n v="6.3431652394544879E-3"/>
    <n v="0"/>
    <n v="0"/>
    <n v="6.3431652394544879E-3"/>
    <n v="20"/>
  </r>
  <r>
    <x v="2"/>
    <x v="17"/>
    <s v="energy"/>
    <x v="5"/>
    <s v="Neither"/>
    <n v="7"/>
    <n v="0"/>
    <n v="0"/>
    <n v="5.3282588011417699E-3"/>
    <n v="0"/>
    <n v="0"/>
    <n v="5.3282588011417699E-3"/>
    <n v="7"/>
  </r>
  <r>
    <x v="2"/>
    <x v="10"/>
    <s v="mechanical"/>
    <x v="0"/>
    <s v="Neither"/>
    <n v="8"/>
    <n v="0"/>
    <n v="0"/>
    <n v="5.018820577164366E-3"/>
    <n v="0"/>
    <n v="0"/>
    <n v="5.018820577164366E-3"/>
    <n v="8"/>
  </r>
  <r>
    <x v="2"/>
    <x v="10"/>
    <s v="mechanical"/>
    <x v="2"/>
    <s v="Neither"/>
    <n v="6"/>
    <n v="0"/>
    <n v="0"/>
    <n v="2.6246719160104987E-3"/>
    <n v="0"/>
    <n v="0"/>
    <n v="2.6246719160104987E-3"/>
    <n v="6"/>
  </r>
  <r>
    <x v="2"/>
    <x v="10"/>
    <s v="mechanical"/>
    <x v="3"/>
    <s v="Injury"/>
    <n v="0"/>
    <n v="0"/>
    <n v="1"/>
    <n v="0"/>
    <n v="0"/>
    <n v="3.7271710771524412E-4"/>
    <n v="3.7271710771524412E-4"/>
    <n v="1"/>
  </r>
  <r>
    <x v="2"/>
    <x v="10"/>
    <s v="mechanical"/>
    <x v="3"/>
    <s v="Neither"/>
    <n v="11"/>
    <n v="0"/>
    <n v="0"/>
    <n v="4.0998881848676857E-3"/>
    <n v="0"/>
    <n v="0"/>
    <n v="4.0998881848676857E-3"/>
    <n v="11"/>
  </r>
  <r>
    <x v="2"/>
    <x v="10"/>
    <s v="mechanical"/>
    <x v="4"/>
    <s v="Neither"/>
    <n v="9"/>
    <n v="0"/>
    <n v="0"/>
    <n v="2.8544243577545195E-3"/>
    <n v="0"/>
    <n v="0"/>
    <n v="2.8544243577545195E-3"/>
    <n v="9"/>
  </r>
  <r>
    <x v="2"/>
    <x v="14"/>
    <s v="energy"/>
    <x v="1"/>
    <s v="Neither"/>
    <n v="1"/>
    <n v="0"/>
    <n v="0"/>
    <n v="5.3333333333333336E-4"/>
    <n v="0"/>
    <n v="0"/>
    <n v="5.3333333333333336E-4"/>
    <n v="1"/>
  </r>
  <r>
    <x v="2"/>
    <x v="14"/>
    <s v="energy"/>
    <x v="2"/>
    <s v="Neither"/>
    <n v="5"/>
    <n v="0"/>
    <n v="0"/>
    <n v="2.1872265966754157E-3"/>
    <n v="0"/>
    <n v="0"/>
    <n v="2.1872265966754157E-3"/>
    <n v="5"/>
  </r>
  <r>
    <x v="2"/>
    <x v="14"/>
    <s v="energy"/>
    <x v="3"/>
    <s v="Neither"/>
    <n v="10"/>
    <n v="0"/>
    <n v="0"/>
    <n v="3.7271710771524412E-3"/>
    <n v="0"/>
    <n v="0"/>
    <n v="3.7271710771524412E-3"/>
    <n v="10"/>
  </r>
  <r>
    <x v="2"/>
    <x v="14"/>
    <s v="energy"/>
    <x v="4"/>
    <s v="Neither"/>
    <n v="9"/>
    <n v="0"/>
    <n v="0"/>
    <n v="2.8544243577545195E-3"/>
    <n v="0"/>
    <n v="0"/>
    <n v="2.8544243577545195E-3"/>
    <n v="9"/>
  </r>
  <r>
    <x v="2"/>
    <x v="14"/>
    <s v="energy"/>
    <x v="5"/>
    <s v="Neither"/>
    <n v="9"/>
    <n v="0"/>
    <n v="0"/>
    <n v="6.8506184586108465E-3"/>
    <n v="0"/>
    <n v="0"/>
    <n v="6.8506184586108465E-3"/>
    <n v="9"/>
  </r>
  <r>
    <x v="2"/>
    <x v="16"/>
    <s v="system"/>
    <x v="1"/>
    <s v="Neither"/>
    <n v="3"/>
    <n v="0"/>
    <n v="0"/>
    <n v="1.6000000000000001E-3"/>
    <n v="0"/>
    <n v="0"/>
    <n v="1.6000000000000001E-3"/>
    <n v="3"/>
  </r>
  <r>
    <x v="2"/>
    <x v="16"/>
    <s v="system"/>
    <x v="2"/>
    <s v="Injury"/>
    <n v="0"/>
    <n v="0"/>
    <n v="1"/>
    <n v="0"/>
    <n v="0"/>
    <n v="4.3744531933508313E-4"/>
    <n v="4.3744531933508313E-4"/>
    <n v="1"/>
  </r>
  <r>
    <x v="2"/>
    <x v="16"/>
    <s v="system"/>
    <x v="2"/>
    <s v="Neither"/>
    <n v="3"/>
    <n v="0"/>
    <n v="0"/>
    <n v="1.3123359580052493E-3"/>
    <n v="0"/>
    <n v="0"/>
    <n v="1.3123359580052493E-3"/>
    <n v="3"/>
  </r>
  <r>
    <x v="2"/>
    <x v="16"/>
    <s v="system"/>
    <x v="3"/>
    <s v="Injury"/>
    <n v="0"/>
    <n v="0"/>
    <n v="1"/>
    <n v="0"/>
    <n v="0"/>
    <n v="3.7271710771524412E-4"/>
    <n v="3.7271710771524412E-4"/>
    <n v="1"/>
  </r>
  <r>
    <x v="2"/>
    <x v="16"/>
    <s v="system"/>
    <x v="3"/>
    <s v="Neither"/>
    <n v="3"/>
    <n v="0"/>
    <n v="0"/>
    <n v="1.1181513231457323E-3"/>
    <n v="0"/>
    <n v="0"/>
    <n v="1.1181513231457323E-3"/>
    <n v="3"/>
  </r>
  <r>
    <x v="2"/>
    <x v="16"/>
    <s v="system"/>
    <x v="4"/>
    <s v="Injury"/>
    <n v="0"/>
    <n v="0"/>
    <n v="1"/>
    <n v="0"/>
    <n v="0"/>
    <n v="3.1715826197272439E-4"/>
    <n v="3.1715826197272439E-4"/>
    <n v="1"/>
  </r>
  <r>
    <x v="2"/>
    <x v="16"/>
    <s v="system"/>
    <x v="5"/>
    <s v="Injury"/>
    <n v="0"/>
    <n v="0"/>
    <n v="1"/>
    <n v="0"/>
    <n v="0"/>
    <n v="7.6117982873453852E-4"/>
    <n v="7.6117982873453852E-4"/>
    <n v="1"/>
  </r>
  <r>
    <x v="2"/>
    <x v="16"/>
    <s v="system"/>
    <x v="5"/>
    <s v="Neither"/>
    <n v="8"/>
    <n v="0"/>
    <n v="0"/>
    <n v="6.0894386298763082E-3"/>
    <n v="0"/>
    <n v="0"/>
    <n v="6.0894386298763082E-3"/>
    <n v="8"/>
  </r>
  <r>
    <x v="2"/>
    <x v="23"/>
    <s v="system"/>
    <x v="1"/>
    <s v="Neither"/>
    <n v="1"/>
    <n v="0"/>
    <n v="0"/>
    <n v="5.3333333333333336E-4"/>
    <n v="0"/>
    <n v="0"/>
    <n v="5.3333333333333336E-4"/>
    <n v="1"/>
  </r>
  <r>
    <x v="2"/>
    <x v="23"/>
    <s v="system"/>
    <x v="2"/>
    <s v="Neither"/>
    <n v="8"/>
    <n v="0"/>
    <n v="0"/>
    <n v="3.499562554680665E-3"/>
    <n v="0"/>
    <n v="0"/>
    <n v="3.499562554680665E-3"/>
    <n v="8"/>
  </r>
  <r>
    <x v="2"/>
    <x v="23"/>
    <s v="system"/>
    <x v="3"/>
    <s v="Injury"/>
    <n v="0"/>
    <n v="0"/>
    <n v="1"/>
    <n v="0"/>
    <n v="0"/>
    <n v="3.7271710771524412E-4"/>
    <n v="3.7271710771524412E-4"/>
    <n v="1"/>
  </r>
  <r>
    <x v="2"/>
    <x v="23"/>
    <s v="system"/>
    <x v="4"/>
    <s v="Neither"/>
    <n v="5"/>
    <n v="0"/>
    <n v="0"/>
    <n v="1.585791309863622E-3"/>
    <n v="0"/>
    <n v="0"/>
    <n v="1.585791309863622E-3"/>
    <n v="5"/>
  </r>
  <r>
    <x v="2"/>
    <x v="23"/>
    <s v="system"/>
    <x v="5"/>
    <s v="Neither"/>
    <n v="3"/>
    <n v="0"/>
    <n v="0"/>
    <n v="2.2835394862036158E-3"/>
    <n v="0"/>
    <n v="0"/>
    <n v="2.2835394862036158E-3"/>
    <n v="3"/>
  </r>
  <r>
    <x v="2"/>
    <x v="26"/>
    <s v="energy"/>
    <x v="2"/>
    <s v="Neither"/>
    <n v="4"/>
    <n v="0"/>
    <n v="0"/>
    <n v="1.7497812773403325E-3"/>
    <n v="0"/>
    <n v="0"/>
    <n v="1.7497812773403325E-3"/>
    <n v="4"/>
  </r>
  <r>
    <x v="2"/>
    <x v="26"/>
    <s v="energy"/>
    <x v="3"/>
    <s v="Neither"/>
    <n v="2"/>
    <n v="0"/>
    <n v="0"/>
    <n v="7.4543421543048823E-4"/>
    <n v="0"/>
    <n v="0"/>
    <n v="7.4543421543048823E-4"/>
    <n v="2"/>
  </r>
  <r>
    <x v="2"/>
    <x v="26"/>
    <s v="energy"/>
    <x v="4"/>
    <s v="Neither"/>
    <n v="3"/>
    <n v="0"/>
    <n v="0"/>
    <n v="9.5147478591817321E-4"/>
    <n v="0"/>
    <n v="0"/>
    <n v="9.5147478591817321E-4"/>
    <n v="3"/>
  </r>
  <r>
    <x v="2"/>
    <x v="26"/>
    <s v="energy"/>
    <x v="5"/>
    <s v="Injury"/>
    <n v="0"/>
    <n v="0"/>
    <n v="1"/>
    <n v="0"/>
    <n v="0"/>
    <n v="7.6117982873453852E-4"/>
    <n v="7.6117982873453852E-4"/>
    <n v="1"/>
  </r>
  <r>
    <x v="2"/>
    <x v="26"/>
    <s v="energy"/>
    <x v="5"/>
    <s v="Neither"/>
    <n v="5"/>
    <n v="0"/>
    <n v="0"/>
    <n v="3.8058991436726928E-3"/>
    <n v="0"/>
    <n v="0"/>
    <n v="3.8058991436726928E-3"/>
    <n v="5"/>
  </r>
  <r>
    <x v="2"/>
    <x v="22"/>
    <s v="accessory"/>
    <x v="3"/>
    <s v="Injury"/>
    <n v="0"/>
    <n v="0"/>
    <n v="2"/>
    <n v="0"/>
    <n v="0"/>
    <n v="7.4543421543048823E-4"/>
    <n v="7.4543421543048823E-4"/>
    <n v="2"/>
  </r>
  <r>
    <x v="2"/>
    <x v="22"/>
    <s v="accessory"/>
    <x v="3"/>
    <s v="Neither"/>
    <n v="3"/>
    <n v="0"/>
    <n v="0"/>
    <n v="1.1181513231457323E-3"/>
    <n v="0"/>
    <n v="0"/>
    <n v="1.1181513231457323E-3"/>
    <n v="3"/>
  </r>
  <r>
    <x v="2"/>
    <x v="22"/>
    <s v="accessory"/>
    <x v="4"/>
    <s v="Neither"/>
    <n v="4"/>
    <n v="0"/>
    <n v="0"/>
    <n v="1.2686330478908975E-3"/>
    <n v="0"/>
    <n v="0"/>
    <n v="1.2686330478908975E-3"/>
    <n v="4"/>
  </r>
  <r>
    <x v="2"/>
    <x v="22"/>
    <s v="accessory"/>
    <x v="5"/>
    <s v="Injury"/>
    <n v="0"/>
    <n v="0"/>
    <n v="1"/>
    <n v="0"/>
    <n v="0"/>
    <n v="7.6117982873453852E-4"/>
    <n v="7.6117982873453852E-4"/>
    <n v="1"/>
  </r>
  <r>
    <x v="2"/>
    <x v="27"/>
    <s v="mechanical"/>
    <x v="0"/>
    <s v="Neither"/>
    <n v="1"/>
    <n v="0"/>
    <n v="0"/>
    <n v="6.2735257214554575E-4"/>
    <n v="0"/>
    <n v="0"/>
    <n v="6.2735257214554575E-4"/>
    <n v="1"/>
  </r>
  <r>
    <x v="2"/>
    <x v="27"/>
    <s v="mechanical"/>
    <x v="1"/>
    <s v="Neither"/>
    <n v="1"/>
    <n v="0"/>
    <n v="0"/>
    <n v="5.3333333333333336E-4"/>
    <n v="0"/>
    <n v="0"/>
    <n v="5.3333333333333336E-4"/>
    <n v="1"/>
  </r>
  <r>
    <x v="2"/>
    <x v="27"/>
    <s v="mechanical"/>
    <x v="2"/>
    <s v="Neither"/>
    <n v="1"/>
    <n v="0"/>
    <n v="0"/>
    <n v="4.3744531933508313E-4"/>
    <n v="0"/>
    <n v="0"/>
    <n v="4.3744531933508313E-4"/>
    <n v="1"/>
  </r>
  <r>
    <x v="2"/>
    <x v="27"/>
    <s v="mechanical"/>
    <x v="4"/>
    <s v="Neither"/>
    <n v="4"/>
    <n v="0"/>
    <n v="0"/>
    <n v="1.2686330478908975E-3"/>
    <n v="0"/>
    <n v="0"/>
    <n v="1.2686330478908975E-3"/>
    <n v="4"/>
  </r>
  <r>
    <x v="2"/>
    <x v="27"/>
    <s v="mechanical"/>
    <x v="5"/>
    <s v="Neither"/>
    <n v="2"/>
    <n v="0"/>
    <n v="0"/>
    <n v="1.522359657469077E-3"/>
    <n v="0"/>
    <n v="0"/>
    <n v="1.522359657469077E-3"/>
    <n v="2"/>
  </r>
  <r>
    <x v="2"/>
    <x v="28"/>
    <s v="energy"/>
    <x v="2"/>
    <s v="Injury"/>
    <n v="0"/>
    <n v="0"/>
    <n v="2"/>
    <n v="0"/>
    <n v="0"/>
    <n v="8.7489063867016625E-4"/>
    <n v="8.7489063867016625E-4"/>
    <n v="2"/>
  </r>
  <r>
    <x v="2"/>
    <x v="28"/>
    <s v="energy"/>
    <x v="2"/>
    <s v="Neither"/>
    <n v="5"/>
    <n v="0"/>
    <n v="0"/>
    <n v="2.1872265966754157E-3"/>
    <n v="0"/>
    <n v="0"/>
    <n v="2.1872265966754157E-3"/>
    <n v="5"/>
  </r>
  <r>
    <x v="2"/>
    <x v="29"/>
    <s v="system"/>
    <x v="1"/>
    <s v="Neither"/>
    <n v="2"/>
    <n v="0"/>
    <n v="0"/>
    <n v="1.0666666666666667E-3"/>
    <n v="0"/>
    <n v="0"/>
    <n v="1.0666666666666667E-3"/>
    <n v="2"/>
  </r>
  <r>
    <x v="2"/>
    <x v="29"/>
    <s v="system"/>
    <x v="2"/>
    <s v="Neither"/>
    <n v="3"/>
    <n v="0"/>
    <n v="0"/>
    <n v="1.3123359580052493E-3"/>
    <n v="0"/>
    <n v="0"/>
    <n v="1.3123359580052493E-3"/>
    <n v="3"/>
  </r>
  <r>
    <x v="2"/>
    <x v="30"/>
    <s v="system"/>
    <x v="1"/>
    <s v="Neither"/>
    <n v="1"/>
    <n v="0"/>
    <n v="0"/>
    <n v="5.3333333333333336E-4"/>
    <n v="0"/>
    <n v="0"/>
    <n v="5.3333333333333336E-4"/>
    <n v="1"/>
  </r>
  <r>
    <x v="2"/>
    <x v="30"/>
    <s v="system"/>
    <x v="2"/>
    <s v="Injury"/>
    <n v="0"/>
    <n v="0"/>
    <n v="1"/>
    <n v="0"/>
    <n v="0"/>
    <n v="4.3744531933508313E-4"/>
    <n v="4.3744531933508313E-4"/>
    <n v="1"/>
  </r>
  <r>
    <x v="2"/>
    <x v="30"/>
    <s v="system"/>
    <x v="2"/>
    <s v="Neither"/>
    <n v="1"/>
    <n v="0"/>
    <n v="0"/>
    <n v="4.3744531933508313E-4"/>
    <n v="0"/>
    <n v="0"/>
    <n v="4.3744531933508313E-4"/>
    <n v="1"/>
  </r>
  <r>
    <x v="2"/>
    <x v="30"/>
    <s v="system"/>
    <x v="5"/>
    <s v="Neither"/>
    <n v="2"/>
    <n v="0"/>
    <n v="0"/>
    <n v="1.522359657469077E-3"/>
    <n v="0"/>
    <n v="0"/>
    <n v="1.522359657469077E-3"/>
    <n v="2"/>
  </r>
  <r>
    <x v="2"/>
    <x v="25"/>
    <s v="mechanical"/>
    <x v="2"/>
    <s v="Injury"/>
    <n v="0"/>
    <n v="0"/>
    <n v="1"/>
    <n v="0"/>
    <n v="0"/>
    <n v="4.3744531933508313E-4"/>
    <n v="4.3744531933508313E-4"/>
    <n v="1"/>
  </r>
  <r>
    <x v="2"/>
    <x v="25"/>
    <s v="mechanical"/>
    <x v="4"/>
    <s v="Neither"/>
    <n v="1"/>
    <n v="0"/>
    <n v="0"/>
    <n v="3.1715826197272439E-4"/>
    <n v="0"/>
    <n v="0"/>
    <n v="3.1715826197272439E-4"/>
    <n v="1"/>
  </r>
  <r>
    <x v="2"/>
    <x v="25"/>
    <s v="mechanical"/>
    <x v="5"/>
    <s v="Neither"/>
    <n v="2"/>
    <n v="0"/>
    <n v="0"/>
    <n v="1.522359657469077E-3"/>
    <n v="0"/>
    <n v="0"/>
    <n v="1.522359657469077E-3"/>
    <n v="2"/>
  </r>
  <r>
    <x v="2"/>
    <x v="31"/>
    <s v="unknown"/>
    <x v="5"/>
    <s v="Neither"/>
    <n v="2"/>
    <n v="0"/>
    <n v="0"/>
    <n v="1.522359657469077E-3"/>
    <n v="0"/>
    <n v="0"/>
    <n v="1.522359657469077E-3"/>
    <n v="2"/>
  </r>
  <r>
    <x v="3"/>
    <x v="14"/>
    <s v="energy"/>
    <x v="0"/>
    <s v="Injury"/>
    <n v="0"/>
    <n v="0"/>
    <n v="23"/>
    <n v="0"/>
    <n v="0"/>
    <n v="1.4429109159347553E-2"/>
    <n v="1.4429109159347553E-2"/>
    <n v="23"/>
  </r>
  <r>
    <x v="3"/>
    <x v="14"/>
    <s v="energy"/>
    <x v="1"/>
    <s v="Injury"/>
    <n v="0"/>
    <n v="0"/>
    <n v="21"/>
    <n v="0"/>
    <n v="0"/>
    <n v="1.12E-2"/>
    <n v="1.12E-2"/>
    <n v="21"/>
  </r>
  <r>
    <x v="3"/>
    <x v="14"/>
    <s v="energy"/>
    <x v="2"/>
    <s v="Injury"/>
    <n v="0"/>
    <n v="0"/>
    <n v="13"/>
    <n v="0"/>
    <n v="0"/>
    <n v="5.6867891513560807E-3"/>
    <n v="5.6867891513560807E-3"/>
    <n v="13"/>
  </r>
  <r>
    <x v="3"/>
    <x v="14"/>
    <s v="energy"/>
    <x v="2"/>
    <s v="Neither"/>
    <n v="8"/>
    <n v="0"/>
    <n v="0"/>
    <n v="3.499562554680665E-3"/>
    <n v="0"/>
    <n v="0"/>
    <n v="3.499562554680665E-3"/>
    <n v="8"/>
  </r>
  <r>
    <x v="3"/>
    <x v="14"/>
    <s v="energy"/>
    <x v="3"/>
    <s v="Injury"/>
    <n v="0"/>
    <n v="0"/>
    <n v="11"/>
    <n v="0"/>
    <n v="0"/>
    <n v="4.0998881848676857E-3"/>
    <n v="4.0998881848676857E-3"/>
    <n v="11"/>
  </r>
  <r>
    <x v="3"/>
    <x v="14"/>
    <s v="energy"/>
    <x v="3"/>
    <s v="Neither"/>
    <n v="4"/>
    <n v="0"/>
    <n v="0"/>
    <n v="1.4908684308609765E-3"/>
    <n v="0"/>
    <n v="0"/>
    <n v="1.4908684308609765E-3"/>
    <n v="4"/>
  </r>
  <r>
    <x v="3"/>
    <x v="14"/>
    <s v="energy"/>
    <x v="4"/>
    <s v="Injury"/>
    <n v="0"/>
    <n v="0"/>
    <n v="55"/>
    <n v="0"/>
    <n v="0"/>
    <n v="1.7443704408499842E-2"/>
    <n v="1.7443704408499842E-2"/>
    <n v="55"/>
  </r>
  <r>
    <x v="3"/>
    <x v="14"/>
    <s v="energy"/>
    <x v="4"/>
    <s v="Neither"/>
    <n v="11"/>
    <n v="0"/>
    <n v="0"/>
    <n v="3.4887408816999684E-3"/>
    <n v="0"/>
    <n v="0"/>
    <n v="3.4887408816999684E-3"/>
    <n v="11"/>
  </r>
  <r>
    <x v="3"/>
    <x v="14"/>
    <s v="energy"/>
    <x v="5"/>
    <s v="Injury"/>
    <n v="0"/>
    <n v="0"/>
    <n v="24"/>
    <n v="0"/>
    <n v="0"/>
    <n v="1.8268315889628926E-2"/>
    <n v="1.8268315889628926E-2"/>
    <n v="24"/>
  </r>
  <r>
    <x v="3"/>
    <x v="14"/>
    <s v="energy"/>
    <x v="5"/>
    <s v="Neither"/>
    <n v="3"/>
    <n v="0"/>
    <n v="0"/>
    <n v="2.2835394862036158E-3"/>
    <n v="0"/>
    <n v="0"/>
    <n v="2.2835394862036158E-3"/>
    <n v="3"/>
  </r>
  <r>
    <x v="3"/>
    <x v="0"/>
    <s v="energy"/>
    <x v="1"/>
    <s v="Injury"/>
    <n v="0"/>
    <n v="0"/>
    <n v="1"/>
    <n v="0"/>
    <n v="0"/>
    <n v="5.3333333333333336E-4"/>
    <n v="5.3333333333333336E-4"/>
    <n v="1"/>
  </r>
  <r>
    <x v="3"/>
    <x v="0"/>
    <s v="energy"/>
    <x v="1"/>
    <s v="Neither"/>
    <n v="3"/>
    <n v="0"/>
    <n v="0"/>
    <n v="1.6000000000000001E-3"/>
    <n v="0"/>
    <n v="0"/>
    <n v="1.6000000000000001E-3"/>
    <n v="3"/>
  </r>
  <r>
    <x v="3"/>
    <x v="0"/>
    <s v="energy"/>
    <x v="2"/>
    <s v="Injury"/>
    <n v="0"/>
    <n v="0"/>
    <n v="2"/>
    <n v="0"/>
    <n v="0"/>
    <n v="8.7489063867016625E-4"/>
    <n v="8.7489063867016625E-4"/>
    <n v="2"/>
  </r>
  <r>
    <x v="3"/>
    <x v="0"/>
    <s v="energy"/>
    <x v="2"/>
    <s v="Neither"/>
    <n v="8"/>
    <n v="0"/>
    <n v="0"/>
    <n v="3.499562554680665E-3"/>
    <n v="0"/>
    <n v="0"/>
    <n v="3.499562554680665E-3"/>
    <n v="8"/>
  </r>
  <r>
    <x v="3"/>
    <x v="0"/>
    <s v="energy"/>
    <x v="3"/>
    <s v="Injury"/>
    <n v="0"/>
    <n v="0"/>
    <n v="2"/>
    <n v="0"/>
    <n v="0"/>
    <n v="7.4543421543048823E-4"/>
    <n v="7.4543421543048823E-4"/>
    <n v="2"/>
  </r>
  <r>
    <x v="3"/>
    <x v="0"/>
    <s v="energy"/>
    <x v="3"/>
    <s v="Neither"/>
    <n v="3"/>
    <n v="0"/>
    <n v="0"/>
    <n v="1.1181513231457323E-3"/>
    <n v="0"/>
    <n v="0"/>
    <n v="1.1181513231457323E-3"/>
    <n v="3"/>
  </r>
  <r>
    <x v="3"/>
    <x v="0"/>
    <s v="energy"/>
    <x v="4"/>
    <s v="Injury"/>
    <n v="0"/>
    <n v="0"/>
    <n v="1"/>
    <n v="0"/>
    <n v="0"/>
    <n v="3.1715826197272439E-4"/>
    <n v="3.1715826197272439E-4"/>
    <n v="1"/>
  </r>
  <r>
    <x v="3"/>
    <x v="0"/>
    <s v="energy"/>
    <x v="5"/>
    <s v="Injury"/>
    <n v="0"/>
    <n v="0"/>
    <n v="13"/>
    <n v="0"/>
    <n v="0"/>
    <n v="9.8953377735490015E-3"/>
    <n v="9.8953377735490015E-3"/>
    <n v="13"/>
  </r>
  <r>
    <x v="3"/>
    <x v="0"/>
    <s v="energy"/>
    <x v="5"/>
    <s v="Neither"/>
    <n v="1"/>
    <n v="0"/>
    <n v="0"/>
    <n v="7.6117982873453852E-4"/>
    <n v="0"/>
    <n v="0"/>
    <n v="7.6117982873453852E-4"/>
    <n v="1"/>
  </r>
  <r>
    <x v="3"/>
    <x v="5"/>
    <s v="energy"/>
    <x v="0"/>
    <s v="Injury"/>
    <n v="0"/>
    <n v="0"/>
    <n v="1"/>
    <n v="0"/>
    <n v="0"/>
    <n v="6.2735257214554575E-4"/>
    <n v="6.2735257214554575E-4"/>
    <n v="1"/>
  </r>
  <r>
    <x v="3"/>
    <x v="5"/>
    <s v="energy"/>
    <x v="1"/>
    <s v="Neither"/>
    <n v="1"/>
    <n v="0"/>
    <n v="0"/>
    <n v="5.3333333333333336E-4"/>
    <n v="0"/>
    <n v="0"/>
    <n v="5.3333333333333336E-4"/>
    <n v="1"/>
  </r>
  <r>
    <x v="3"/>
    <x v="5"/>
    <s v="energy"/>
    <x v="2"/>
    <s v="Injury"/>
    <n v="0"/>
    <n v="0"/>
    <n v="2"/>
    <n v="0"/>
    <n v="0"/>
    <n v="8.7489063867016625E-4"/>
    <n v="8.7489063867016625E-4"/>
    <n v="2"/>
  </r>
  <r>
    <x v="3"/>
    <x v="5"/>
    <s v="energy"/>
    <x v="2"/>
    <s v="Neither"/>
    <n v="3"/>
    <n v="0"/>
    <n v="0"/>
    <n v="1.3123359580052493E-3"/>
    <n v="0"/>
    <n v="0"/>
    <n v="1.3123359580052493E-3"/>
    <n v="3"/>
  </r>
  <r>
    <x v="3"/>
    <x v="5"/>
    <s v="energy"/>
    <x v="3"/>
    <s v="Injury"/>
    <n v="0"/>
    <n v="0"/>
    <n v="2"/>
    <n v="0"/>
    <n v="0"/>
    <n v="7.4543421543048823E-4"/>
    <n v="7.4543421543048823E-4"/>
    <n v="2"/>
  </r>
  <r>
    <x v="3"/>
    <x v="5"/>
    <s v="energy"/>
    <x v="4"/>
    <s v="Injury"/>
    <n v="0"/>
    <n v="0"/>
    <n v="11"/>
    <n v="0"/>
    <n v="0"/>
    <n v="3.4887408816999684E-3"/>
    <n v="3.4887408816999684E-3"/>
    <n v="11"/>
  </r>
  <r>
    <x v="3"/>
    <x v="5"/>
    <s v="energy"/>
    <x v="4"/>
    <s v="Neither"/>
    <n v="2"/>
    <n v="0"/>
    <n v="0"/>
    <n v="6.3431652394544877E-4"/>
    <n v="0"/>
    <n v="0"/>
    <n v="6.3431652394544877E-4"/>
    <n v="2"/>
  </r>
  <r>
    <x v="3"/>
    <x v="5"/>
    <s v="energy"/>
    <x v="5"/>
    <s v="Injury"/>
    <n v="0"/>
    <n v="0"/>
    <n v="6"/>
    <n v="0"/>
    <n v="0"/>
    <n v="4.5670789724072316E-3"/>
    <n v="4.5670789724072316E-3"/>
    <n v="6"/>
  </r>
  <r>
    <x v="3"/>
    <x v="5"/>
    <s v="energy"/>
    <x v="5"/>
    <s v="Neither"/>
    <n v="1"/>
    <n v="0"/>
    <n v="0"/>
    <n v="7.6117982873453852E-4"/>
    <n v="0"/>
    <n v="0"/>
    <n v="7.6117982873453852E-4"/>
    <n v="1"/>
  </r>
  <r>
    <x v="3"/>
    <x v="1"/>
    <s v="energy"/>
    <x v="0"/>
    <s v="Neither"/>
    <n v="2"/>
    <n v="0"/>
    <n v="0"/>
    <n v="1.2547051442910915E-3"/>
    <n v="0"/>
    <n v="0"/>
    <n v="1.2547051442910915E-3"/>
    <n v="2"/>
  </r>
  <r>
    <x v="3"/>
    <x v="1"/>
    <s v="energy"/>
    <x v="1"/>
    <s v="Neither"/>
    <n v="2"/>
    <n v="0"/>
    <n v="0"/>
    <n v="1.0666666666666667E-3"/>
    <n v="0"/>
    <n v="0"/>
    <n v="1.0666666666666667E-3"/>
    <n v="2"/>
  </r>
  <r>
    <x v="3"/>
    <x v="1"/>
    <s v="energy"/>
    <x v="2"/>
    <s v="Injury"/>
    <n v="0"/>
    <n v="0"/>
    <n v="1"/>
    <n v="0"/>
    <n v="0"/>
    <n v="4.3744531933508313E-4"/>
    <n v="4.3744531933508313E-4"/>
    <n v="1"/>
  </r>
  <r>
    <x v="3"/>
    <x v="1"/>
    <s v="energy"/>
    <x v="2"/>
    <s v="Neither"/>
    <n v="7"/>
    <n v="0"/>
    <n v="0"/>
    <n v="3.0621172353455816E-3"/>
    <n v="0"/>
    <n v="0"/>
    <n v="3.0621172353455816E-3"/>
    <n v="7"/>
  </r>
  <r>
    <x v="3"/>
    <x v="1"/>
    <s v="energy"/>
    <x v="3"/>
    <s v="Injury"/>
    <n v="0"/>
    <n v="0"/>
    <n v="4"/>
    <n v="0"/>
    <n v="0"/>
    <n v="1.4908684308609765E-3"/>
    <n v="1.4908684308609765E-3"/>
    <n v="4"/>
  </r>
  <r>
    <x v="3"/>
    <x v="1"/>
    <s v="energy"/>
    <x v="3"/>
    <s v="Neither"/>
    <n v="3"/>
    <n v="0"/>
    <n v="0"/>
    <n v="1.1181513231457323E-3"/>
    <n v="0"/>
    <n v="0"/>
    <n v="1.1181513231457323E-3"/>
    <n v="3"/>
  </r>
  <r>
    <x v="3"/>
    <x v="1"/>
    <s v="energy"/>
    <x v="4"/>
    <s v="Injury"/>
    <n v="0"/>
    <n v="0"/>
    <n v="1"/>
    <n v="0"/>
    <n v="0"/>
    <n v="3.1715826197272439E-4"/>
    <n v="3.1715826197272439E-4"/>
    <n v="1"/>
  </r>
  <r>
    <x v="3"/>
    <x v="1"/>
    <s v="energy"/>
    <x v="5"/>
    <s v="Injury"/>
    <n v="0"/>
    <n v="0"/>
    <n v="3"/>
    <n v="0"/>
    <n v="0"/>
    <n v="2.2835394862036158E-3"/>
    <n v="2.2835394862036158E-3"/>
    <n v="3"/>
  </r>
  <r>
    <x v="3"/>
    <x v="8"/>
    <s v="mechanical"/>
    <x v="1"/>
    <s v="Injury"/>
    <n v="0"/>
    <n v="0"/>
    <n v="1"/>
    <n v="0"/>
    <n v="0"/>
    <n v="5.3333333333333336E-4"/>
    <n v="5.3333333333333336E-4"/>
    <n v="1"/>
  </r>
  <r>
    <x v="3"/>
    <x v="8"/>
    <s v="mechanical"/>
    <x v="1"/>
    <s v="Neither"/>
    <n v="1"/>
    <n v="0"/>
    <n v="0"/>
    <n v="5.3333333333333336E-4"/>
    <n v="0"/>
    <n v="0"/>
    <n v="5.3333333333333336E-4"/>
    <n v="1"/>
  </r>
  <r>
    <x v="3"/>
    <x v="8"/>
    <s v="mechanical"/>
    <x v="2"/>
    <s v="Injury"/>
    <n v="0"/>
    <n v="0"/>
    <n v="6"/>
    <n v="0"/>
    <n v="0"/>
    <n v="2.6246719160104987E-3"/>
    <n v="2.6246719160104987E-3"/>
    <n v="6"/>
  </r>
  <r>
    <x v="3"/>
    <x v="8"/>
    <s v="mechanical"/>
    <x v="2"/>
    <s v="Neither"/>
    <n v="2"/>
    <n v="0"/>
    <n v="0"/>
    <n v="8.7489063867016625E-4"/>
    <n v="0"/>
    <n v="0"/>
    <n v="8.7489063867016625E-4"/>
    <n v="2"/>
  </r>
  <r>
    <x v="3"/>
    <x v="8"/>
    <s v="mechanical"/>
    <x v="3"/>
    <s v="Injury"/>
    <n v="0"/>
    <n v="0"/>
    <n v="3"/>
    <n v="0"/>
    <n v="0"/>
    <n v="1.1181513231457323E-3"/>
    <n v="1.1181513231457323E-3"/>
    <n v="3"/>
  </r>
  <r>
    <x v="3"/>
    <x v="8"/>
    <s v="mechanical"/>
    <x v="3"/>
    <s v="Neither"/>
    <n v="1"/>
    <n v="0"/>
    <n v="0"/>
    <n v="3.7271710771524412E-4"/>
    <n v="0"/>
    <n v="0"/>
    <n v="3.7271710771524412E-4"/>
    <n v="1"/>
  </r>
  <r>
    <x v="3"/>
    <x v="8"/>
    <s v="mechanical"/>
    <x v="4"/>
    <s v="Injury"/>
    <n v="0"/>
    <n v="0"/>
    <n v="3"/>
    <n v="0"/>
    <n v="0"/>
    <n v="9.5147478591817321E-4"/>
    <n v="9.5147478591817321E-4"/>
    <n v="3"/>
  </r>
  <r>
    <x v="3"/>
    <x v="8"/>
    <s v="mechanical"/>
    <x v="5"/>
    <s v="Injury"/>
    <n v="0"/>
    <n v="0"/>
    <n v="4"/>
    <n v="0"/>
    <n v="0"/>
    <n v="3.0447193149381541E-3"/>
    <n v="3.0447193149381541E-3"/>
    <n v="4"/>
  </r>
  <r>
    <x v="3"/>
    <x v="3"/>
    <s v="energy"/>
    <x v="1"/>
    <s v="Injury"/>
    <n v="0"/>
    <n v="0"/>
    <n v="1"/>
    <n v="0"/>
    <n v="0"/>
    <n v="5.3333333333333336E-4"/>
    <n v="5.3333333333333336E-4"/>
    <n v="1"/>
  </r>
  <r>
    <x v="3"/>
    <x v="3"/>
    <s v="energy"/>
    <x v="1"/>
    <s v="Neither"/>
    <n v="1"/>
    <n v="0"/>
    <n v="0"/>
    <n v="5.3333333333333336E-4"/>
    <n v="0"/>
    <n v="0"/>
    <n v="5.3333333333333336E-4"/>
    <n v="1"/>
  </r>
  <r>
    <x v="3"/>
    <x v="3"/>
    <s v="energy"/>
    <x v="2"/>
    <s v="Injury"/>
    <n v="0"/>
    <n v="0"/>
    <n v="2"/>
    <n v="0"/>
    <n v="0"/>
    <n v="8.7489063867016625E-4"/>
    <n v="8.7489063867016625E-4"/>
    <n v="2"/>
  </r>
  <r>
    <x v="3"/>
    <x v="3"/>
    <s v="energy"/>
    <x v="2"/>
    <s v="Neither"/>
    <n v="3"/>
    <n v="0"/>
    <n v="0"/>
    <n v="1.3123359580052493E-3"/>
    <n v="0"/>
    <n v="0"/>
    <n v="1.3123359580052493E-3"/>
    <n v="3"/>
  </r>
  <r>
    <x v="3"/>
    <x v="3"/>
    <s v="energy"/>
    <x v="3"/>
    <s v="Injury"/>
    <n v="0"/>
    <n v="0"/>
    <n v="1"/>
    <n v="0"/>
    <n v="0"/>
    <n v="3.7271710771524412E-4"/>
    <n v="3.7271710771524412E-4"/>
    <n v="1"/>
  </r>
  <r>
    <x v="3"/>
    <x v="3"/>
    <s v="energy"/>
    <x v="3"/>
    <s v="Neither"/>
    <n v="3"/>
    <n v="0"/>
    <n v="0"/>
    <n v="1.1181513231457323E-3"/>
    <n v="0"/>
    <n v="0"/>
    <n v="1.1181513231457323E-3"/>
    <n v="3"/>
  </r>
  <r>
    <x v="3"/>
    <x v="3"/>
    <s v="energy"/>
    <x v="4"/>
    <s v="Injury"/>
    <n v="0"/>
    <n v="0"/>
    <n v="1"/>
    <n v="0"/>
    <n v="0"/>
    <n v="3.1715826197272439E-4"/>
    <n v="3.1715826197272439E-4"/>
    <n v="1"/>
  </r>
  <r>
    <x v="3"/>
    <x v="3"/>
    <s v="energy"/>
    <x v="5"/>
    <s v="Injury"/>
    <n v="0"/>
    <n v="0"/>
    <n v="4"/>
    <n v="0"/>
    <n v="0"/>
    <n v="3.0447193149381541E-3"/>
    <n v="3.0447193149381541E-3"/>
    <n v="4"/>
  </r>
  <r>
    <x v="3"/>
    <x v="6"/>
    <s v="energy"/>
    <x v="0"/>
    <s v="Neither"/>
    <n v="1"/>
    <n v="0"/>
    <n v="0"/>
    <n v="6.2735257214554575E-4"/>
    <n v="0"/>
    <n v="0"/>
    <n v="6.2735257214554575E-4"/>
    <n v="1"/>
  </r>
  <r>
    <x v="3"/>
    <x v="6"/>
    <s v="energy"/>
    <x v="1"/>
    <s v="Neither"/>
    <n v="3"/>
    <n v="0"/>
    <n v="0"/>
    <n v="1.6000000000000001E-3"/>
    <n v="0"/>
    <n v="0"/>
    <n v="1.6000000000000001E-3"/>
    <n v="3"/>
  </r>
  <r>
    <x v="3"/>
    <x v="6"/>
    <s v="energy"/>
    <x v="2"/>
    <s v="Injury"/>
    <n v="0"/>
    <n v="0"/>
    <n v="1"/>
    <n v="0"/>
    <n v="0"/>
    <n v="4.3744531933508313E-4"/>
    <n v="4.3744531933508313E-4"/>
    <n v="1"/>
  </r>
  <r>
    <x v="3"/>
    <x v="6"/>
    <s v="energy"/>
    <x v="2"/>
    <s v="Neither"/>
    <n v="3"/>
    <n v="0"/>
    <n v="0"/>
    <n v="1.3123359580052493E-3"/>
    <n v="0"/>
    <n v="0"/>
    <n v="1.3123359580052493E-3"/>
    <n v="3"/>
  </r>
  <r>
    <x v="3"/>
    <x v="6"/>
    <s v="energy"/>
    <x v="3"/>
    <s v="Neither"/>
    <n v="1"/>
    <n v="0"/>
    <n v="0"/>
    <n v="3.7271710771524412E-4"/>
    <n v="0"/>
    <n v="0"/>
    <n v="3.7271710771524412E-4"/>
    <n v="1"/>
  </r>
  <r>
    <x v="3"/>
    <x v="6"/>
    <s v="energy"/>
    <x v="4"/>
    <s v="Injury"/>
    <n v="0"/>
    <n v="0"/>
    <n v="3"/>
    <n v="0"/>
    <n v="0"/>
    <n v="9.5147478591817321E-4"/>
    <n v="9.5147478591817321E-4"/>
    <n v="3"/>
  </r>
  <r>
    <x v="3"/>
    <x v="6"/>
    <s v="energy"/>
    <x v="5"/>
    <s v="Injury"/>
    <n v="0"/>
    <n v="0"/>
    <n v="4"/>
    <n v="0"/>
    <n v="0"/>
    <n v="3.0447193149381541E-3"/>
    <n v="3.0447193149381541E-3"/>
    <n v="4"/>
  </r>
  <r>
    <x v="3"/>
    <x v="4"/>
    <s v="mechanical"/>
    <x v="0"/>
    <s v="Injury"/>
    <n v="0"/>
    <n v="0"/>
    <n v="1"/>
    <n v="0"/>
    <n v="0"/>
    <n v="6.2735257214554575E-4"/>
    <n v="6.2735257214554575E-4"/>
    <n v="1"/>
  </r>
  <r>
    <x v="3"/>
    <x v="4"/>
    <s v="mechanical"/>
    <x v="1"/>
    <s v="Injury"/>
    <n v="0"/>
    <n v="0"/>
    <n v="2"/>
    <n v="0"/>
    <n v="0"/>
    <n v="1.0666666666666667E-3"/>
    <n v="1.0666666666666667E-3"/>
    <n v="2"/>
  </r>
  <r>
    <x v="3"/>
    <x v="4"/>
    <s v="mechanical"/>
    <x v="1"/>
    <s v="Neither"/>
    <n v="1"/>
    <n v="0"/>
    <n v="0"/>
    <n v="5.3333333333333336E-4"/>
    <n v="0"/>
    <n v="0"/>
    <n v="5.3333333333333336E-4"/>
    <n v="1"/>
  </r>
  <r>
    <x v="3"/>
    <x v="4"/>
    <s v="mechanical"/>
    <x v="2"/>
    <s v="Injury"/>
    <n v="0"/>
    <n v="0"/>
    <n v="1"/>
    <n v="0"/>
    <n v="0"/>
    <n v="4.3744531933508313E-4"/>
    <n v="4.3744531933508313E-4"/>
    <n v="1"/>
  </r>
  <r>
    <x v="3"/>
    <x v="4"/>
    <s v="mechanical"/>
    <x v="2"/>
    <s v="Neither"/>
    <n v="1"/>
    <n v="0"/>
    <n v="0"/>
    <n v="4.3744531933508313E-4"/>
    <n v="0"/>
    <n v="0"/>
    <n v="4.3744531933508313E-4"/>
    <n v="1"/>
  </r>
  <r>
    <x v="3"/>
    <x v="4"/>
    <s v="mechanical"/>
    <x v="3"/>
    <s v="Injury"/>
    <n v="0"/>
    <n v="0"/>
    <n v="1"/>
    <n v="0"/>
    <n v="0"/>
    <n v="3.7271710771524412E-4"/>
    <n v="3.7271710771524412E-4"/>
    <n v="1"/>
  </r>
  <r>
    <x v="3"/>
    <x v="4"/>
    <s v="mechanical"/>
    <x v="3"/>
    <s v="Neither"/>
    <n v="2"/>
    <n v="0"/>
    <n v="0"/>
    <n v="7.4543421543048823E-4"/>
    <n v="0"/>
    <n v="0"/>
    <n v="7.4543421543048823E-4"/>
    <n v="2"/>
  </r>
  <r>
    <x v="3"/>
    <x v="4"/>
    <s v="mechanical"/>
    <x v="4"/>
    <s v="Injury"/>
    <n v="0"/>
    <n v="0"/>
    <n v="4"/>
    <n v="0"/>
    <n v="0"/>
    <n v="1.2686330478908975E-3"/>
    <n v="1.2686330478908975E-3"/>
    <n v="4"/>
  </r>
  <r>
    <x v="3"/>
    <x v="4"/>
    <s v="mechanical"/>
    <x v="5"/>
    <s v="Neither"/>
    <n v="1"/>
    <n v="0"/>
    <n v="0"/>
    <n v="7.6117982873453852E-4"/>
    <n v="0"/>
    <n v="0"/>
    <n v="7.6117982873453852E-4"/>
    <n v="1"/>
  </r>
  <r>
    <x v="3"/>
    <x v="17"/>
    <s v="energy"/>
    <x v="0"/>
    <s v="Injury"/>
    <n v="0"/>
    <n v="0"/>
    <n v="2"/>
    <n v="0"/>
    <n v="0"/>
    <n v="1.2547051442910915E-3"/>
    <n v="1.2547051442910915E-3"/>
    <n v="2"/>
  </r>
  <r>
    <x v="3"/>
    <x v="17"/>
    <s v="energy"/>
    <x v="1"/>
    <s v="Injury"/>
    <n v="0"/>
    <n v="0"/>
    <n v="1"/>
    <n v="0"/>
    <n v="0"/>
    <n v="5.3333333333333336E-4"/>
    <n v="5.3333333333333336E-4"/>
    <n v="1"/>
  </r>
  <r>
    <x v="3"/>
    <x v="17"/>
    <s v="energy"/>
    <x v="2"/>
    <s v="Injury"/>
    <n v="0"/>
    <n v="0"/>
    <n v="1"/>
    <n v="0"/>
    <n v="0"/>
    <n v="4.3744531933508313E-4"/>
    <n v="4.3744531933508313E-4"/>
    <n v="1"/>
  </r>
  <r>
    <x v="3"/>
    <x v="17"/>
    <s v="energy"/>
    <x v="2"/>
    <s v="Neither"/>
    <n v="3"/>
    <n v="0"/>
    <n v="0"/>
    <n v="1.3123359580052493E-3"/>
    <n v="0"/>
    <n v="0"/>
    <n v="1.3123359580052493E-3"/>
    <n v="3"/>
  </r>
  <r>
    <x v="3"/>
    <x v="17"/>
    <s v="energy"/>
    <x v="3"/>
    <s v="Injury"/>
    <n v="0"/>
    <n v="0"/>
    <n v="2"/>
    <n v="0"/>
    <n v="0"/>
    <n v="7.4543421543048823E-4"/>
    <n v="7.4543421543048823E-4"/>
    <n v="2"/>
  </r>
  <r>
    <x v="3"/>
    <x v="17"/>
    <s v="energy"/>
    <x v="3"/>
    <s v="Neither"/>
    <n v="1"/>
    <n v="0"/>
    <n v="0"/>
    <n v="3.7271710771524412E-4"/>
    <n v="0"/>
    <n v="0"/>
    <n v="3.7271710771524412E-4"/>
    <n v="1"/>
  </r>
  <r>
    <x v="3"/>
    <x v="17"/>
    <s v="energy"/>
    <x v="4"/>
    <s v="Injury"/>
    <n v="0"/>
    <n v="0"/>
    <n v="2"/>
    <n v="0"/>
    <n v="0"/>
    <n v="6.3431652394544877E-4"/>
    <n v="6.3431652394544877E-4"/>
    <n v="2"/>
  </r>
  <r>
    <x v="3"/>
    <x v="17"/>
    <s v="energy"/>
    <x v="5"/>
    <s v="Injury"/>
    <n v="0"/>
    <n v="0"/>
    <n v="2"/>
    <n v="0"/>
    <n v="0"/>
    <n v="1.522359657469077E-3"/>
    <n v="1.522359657469077E-3"/>
    <n v="2"/>
  </r>
  <r>
    <x v="3"/>
    <x v="2"/>
    <s v="mechanical"/>
    <x v="2"/>
    <s v="Injury"/>
    <n v="0"/>
    <n v="0"/>
    <n v="2"/>
    <n v="0"/>
    <n v="0"/>
    <n v="8.7489063867016625E-4"/>
    <n v="8.7489063867016625E-4"/>
    <n v="2"/>
  </r>
  <r>
    <x v="3"/>
    <x v="2"/>
    <s v="mechanical"/>
    <x v="2"/>
    <s v="Neither"/>
    <n v="4"/>
    <n v="0"/>
    <n v="0"/>
    <n v="1.7497812773403325E-3"/>
    <n v="0"/>
    <n v="0"/>
    <n v="1.7497812773403325E-3"/>
    <n v="4"/>
  </r>
  <r>
    <x v="3"/>
    <x v="2"/>
    <s v="mechanical"/>
    <x v="3"/>
    <s v="Injury"/>
    <n v="0"/>
    <n v="0"/>
    <n v="3"/>
    <n v="0"/>
    <n v="0"/>
    <n v="1.1181513231457323E-3"/>
    <n v="1.1181513231457323E-3"/>
    <n v="3"/>
  </r>
  <r>
    <x v="3"/>
    <x v="2"/>
    <s v="mechanical"/>
    <x v="3"/>
    <s v="Neither"/>
    <n v="4"/>
    <n v="0"/>
    <n v="0"/>
    <n v="1.4908684308609765E-3"/>
    <n v="0"/>
    <n v="0"/>
    <n v="1.4908684308609765E-3"/>
    <n v="4"/>
  </r>
  <r>
    <x v="3"/>
    <x v="2"/>
    <s v="mechanical"/>
    <x v="5"/>
    <s v="Injury"/>
    <n v="0"/>
    <n v="0"/>
    <n v="1"/>
    <n v="0"/>
    <n v="0"/>
    <n v="7.6117982873453852E-4"/>
    <n v="7.6117982873453852E-4"/>
    <n v="1"/>
  </r>
  <r>
    <x v="3"/>
    <x v="21"/>
    <s v="system"/>
    <x v="0"/>
    <s v="Injury"/>
    <n v="0"/>
    <n v="0"/>
    <n v="3"/>
    <n v="0"/>
    <n v="0"/>
    <n v="1.8820577164366374E-3"/>
    <n v="1.8820577164366374E-3"/>
    <n v="3"/>
  </r>
  <r>
    <x v="3"/>
    <x v="21"/>
    <s v="system"/>
    <x v="0"/>
    <s v="Neither"/>
    <n v="3"/>
    <n v="0"/>
    <n v="0"/>
    <n v="1.8820577164366374E-3"/>
    <n v="0"/>
    <n v="0"/>
    <n v="1.8820577164366374E-3"/>
    <n v="3"/>
  </r>
  <r>
    <x v="3"/>
    <x v="21"/>
    <s v="system"/>
    <x v="2"/>
    <s v="Injury"/>
    <n v="0"/>
    <n v="0"/>
    <n v="1"/>
    <n v="0"/>
    <n v="0"/>
    <n v="4.3744531933508313E-4"/>
    <n v="4.3744531933508313E-4"/>
    <n v="1"/>
  </r>
  <r>
    <x v="3"/>
    <x v="21"/>
    <s v="system"/>
    <x v="3"/>
    <s v="Neither"/>
    <n v="1"/>
    <n v="0"/>
    <n v="0"/>
    <n v="3.7271710771524412E-4"/>
    <n v="0"/>
    <n v="0"/>
    <n v="3.7271710771524412E-4"/>
    <n v="1"/>
  </r>
  <r>
    <x v="3"/>
    <x v="21"/>
    <s v="system"/>
    <x v="4"/>
    <s v="Neither"/>
    <n v="2"/>
    <n v="0"/>
    <n v="0"/>
    <n v="6.3431652394544877E-4"/>
    <n v="0"/>
    <n v="0"/>
    <n v="6.3431652394544877E-4"/>
    <n v="2"/>
  </r>
  <r>
    <x v="3"/>
    <x v="21"/>
    <s v="system"/>
    <x v="5"/>
    <s v="Injury"/>
    <n v="0"/>
    <n v="0"/>
    <n v="2"/>
    <n v="0"/>
    <n v="0"/>
    <n v="1.522359657469077E-3"/>
    <n v="1.522359657469077E-3"/>
    <n v="2"/>
  </r>
  <r>
    <x v="3"/>
    <x v="21"/>
    <s v="system"/>
    <x v="5"/>
    <s v="Neither"/>
    <n v="1"/>
    <n v="0"/>
    <n v="0"/>
    <n v="7.6117982873453852E-4"/>
    <n v="0"/>
    <n v="0"/>
    <n v="7.6117982873453852E-4"/>
    <n v="1"/>
  </r>
  <r>
    <x v="3"/>
    <x v="16"/>
    <s v="system"/>
    <x v="1"/>
    <s v="Neither"/>
    <n v="4"/>
    <n v="0"/>
    <n v="0"/>
    <n v="2.1333333333333334E-3"/>
    <n v="0"/>
    <n v="0"/>
    <n v="2.1333333333333334E-3"/>
    <n v="4"/>
  </r>
  <r>
    <x v="3"/>
    <x v="16"/>
    <s v="system"/>
    <x v="2"/>
    <s v="Neither"/>
    <n v="2"/>
    <n v="0"/>
    <n v="0"/>
    <n v="8.7489063867016625E-4"/>
    <n v="0"/>
    <n v="0"/>
    <n v="8.7489063867016625E-4"/>
    <n v="2"/>
  </r>
  <r>
    <x v="3"/>
    <x v="16"/>
    <s v="system"/>
    <x v="3"/>
    <s v="Neither"/>
    <n v="1"/>
    <n v="0"/>
    <n v="0"/>
    <n v="3.7271710771524412E-4"/>
    <n v="0"/>
    <n v="0"/>
    <n v="3.7271710771524412E-4"/>
    <n v="1"/>
  </r>
  <r>
    <x v="3"/>
    <x v="16"/>
    <s v="system"/>
    <x v="4"/>
    <s v="Injury"/>
    <n v="0"/>
    <n v="0"/>
    <n v="2"/>
    <n v="0"/>
    <n v="0"/>
    <n v="6.3431652394544877E-4"/>
    <n v="6.3431652394544877E-4"/>
    <n v="2"/>
  </r>
  <r>
    <x v="3"/>
    <x v="16"/>
    <s v="system"/>
    <x v="4"/>
    <s v="Neither"/>
    <n v="1"/>
    <n v="0"/>
    <n v="0"/>
    <n v="3.1715826197272439E-4"/>
    <n v="0"/>
    <n v="0"/>
    <n v="3.1715826197272439E-4"/>
    <n v="1"/>
  </r>
  <r>
    <x v="3"/>
    <x v="16"/>
    <s v="system"/>
    <x v="5"/>
    <s v="Neither"/>
    <n v="1"/>
    <n v="0"/>
    <n v="0"/>
    <n v="7.6117982873453852E-4"/>
    <n v="0"/>
    <n v="0"/>
    <n v="7.6117982873453852E-4"/>
    <n v="1"/>
  </r>
  <r>
    <x v="3"/>
    <x v="11"/>
    <s v="mechanical"/>
    <x v="1"/>
    <s v="Injury"/>
    <n v="0"/>
    <n v="0"/>
    <n v="1"/>
    <n v="0"/>
    <n v="0"/>
    <n v="5.3333333333333336E-4"/>
    <n v="5.3333333333333336E-4"/>
    <n v="1"/>
  </r>
  <r>
    <x v="3"/>
    <x v="11"/>
    <s v="mechanical"/>
    <x v="2"/>
    <s v="Injury"/>
    <n v="0"/>
    <n v="0"/>
    <n v="1"/>
    <n v="0"/>
    <n v="0"/>
    <n v="4.3744531933508313E-4"/>
    <n v="4.3744531933508313E-4"/>
    <n v="1"/>
  </r>
  <r>
    <x v="3"/>
    <x v="11"/>
    <s v="mechanical"/>
    <x v="2"/>
    <s v="Neither"/>
    <n v="4"/>
    <n v="0"/>
    <n v="0"/>
    <n v="1.7497812773403325E-3"/>
    <n v="0"/>
    <n v="0"/>
    <n v="1.7497812773403325E-3"/>
    <n v="4"/>
  </r>
  <r>
    <x v="3"/>
    <x v="11"/>
    <s v="mechanical"/>
    <x v="3"/>
    <s v="Neither"/>
    <n v="1"/>
    <n v="0"/>
    <n v="0"/>
    <n v="3.7271710771524412E-4"/>
    <n v="0"/>
    <n v="0"/>
    <n v="3.7271710771524412E-4"/>
    <n v="1"/>
  </r>
  <r>
    <x v="3"/>
    <x v="11"/>
    <s v="mechanical"/>
    <x v="4"/>
    <s v="Injury"/>
    <n v="0"/>
    <n v="0"/>
    <n v="1"/>
    <n v="0"/>
    <n v="0"/>
    <n v="3.1715826197272439E-4"/>
    <n v="3.1715826197272439E-4"/>
    <n v="1"/>
  </r>
  <r>
    <x v="3"/>
    <x v="11"/>
    <s v="mechanical"/>
    <x v="5"/>
    <s v="Injury"/>
    <n v="0"/>
    <n v="0"/>
    <n v="1"/>
    <n v="0"/>
    <n v="0"/>
    <n v="7.6117982873453852E-4"/>
    <n v="7.6117982873453852E-4"/>
    <n v="1"/>
  </r>
  <r>
    <x v="3"/>
    <x v="9"/>
    <s v="energy"/>
    <x v="1"/>
    <s v="Neither"/>
    <n v="2"/>
    <n v="0"/>
    <n v="0"/>
    <n v="1.0666666666666667E-3"/>
    <n v="0"/>
    <n v="0"/>
    <n v="1.0666666666666667E-3"/>
    <n v="2"/>
  </r>
  <r>
    <x v="3"/>
    <x v="9"/>
    <s v="energy"/>
    <x v="2"/>
    <s v="Neither"/>
    <n v="4"/>
    <n v="0"/>
    <n v="0"/>
    <n v="1.7497812773403325E-3"/>
    <n v="0"/>
    <n v="0"/>
    <n v="1.7497812773403325E-3"/>
    <n v="4"/>
  </r>
  <r>
    <x v="3"/>
    <x v="9"/>
    <s v="energy"/>
    <x v="3"/>
    <s v="Neither"/>
    <n v="2"/>
    <n v="0"/>
    <n v="0"/>
    <n v="7.4543421543048823E-4"/>
    <n v="0"/>
    <n v="0"/>
    <n v="7.4543421543048823E-4"/>
    <n v="2"/>
  </r>
  <r>
    <x v="3"/>
    <x v="20"/>
    <s v="mechanical"/>
    <x v="0"/>
    <s v="Injury"/>
    <n v="0"/>
    <n v="0"/>
    <n v="1"/>
    <n v="0"/>
    <n v="0"/>
    <n v="6.2735257214554575E-4"/>
    <n v="6.2735257214554575E-4"/>
    <n v="1"/>
  </r>
  <r>
    <x v="3"/>
    <x v="20"/>
    <s v="mechanical"/>
    <x v="1"/>
    <s v="Injury"/>
    <n v="0"/>
    <n v="0"/>
    <n v="1"/>
    <n v="0"/>
    <n v="0"/>
    <n v="5.3333333333333336E-4"/>
    <n v="5.3333333333333336E-4"/>
    <n v="1"/>
  </r>
  <r>
    <x v="3"/>
    <x v="20"/>
    <s v="mechanical"/>
    <x v="1"/>
    <s v="Neither"/>
    <n v="1"/>
    <n v="0"/>
    <n v="0"/>
    <n v="5.3333333333333336E-4"/>
    <n v="0"/>
    <n v="0"/>
    <n v="5.3333333333333336E-4"/>
    <n v="1"/>
  </r>
  <r>
    <x v="3"/>
    <x v="20"/>
    <s v="mechanical"/>
    <x v="2"/>
    <s v="Injury"/>
    <n v="0"/>
    <n v="0"/>
    <n v="2"/>
    <n v="0"/>
    <n v="0"/>
    <n v="8.7489063867016625E-4"/>
    <n v="8.7489063867016625E-4"/>
    <n v="2"/>
  </r>
  <r>
    <x v="3"/>
    <x v="20"/>
    <s v="mechanical"/>
    <x v="4"/>
    <s v="Injury"/>
    <n v="0"/>
    <n v="0"/>
    <n v="1"/>
    <n v="0"/>
    <n v="0"/>
    <n v="3.1715826197272439E-4"/>
    <n v="3.1715826197272439E-4"/>
    <n v="1"/>
  </r>
  <r>
    <x v="3"/>
    <x v="20"/>
    <s v="mechanical"/>
    <x v="5"/>
    <s v="Injury"/>
    <n v="0"/>
    <n v="0"/>
    <n v="2"/>
    <n v="0"/>
    <n v="0"/>
    <n v="1.522359657469077E-3"/>
    <n v="1.522359657469077E-3"/>
    <n v="2"/>
  </r>
  <r>
    <x v="3"/>
    <x v="19"/>
    <s v="energy"/>
    <x v="2"/>
    <s v="Injury"/>
    <n v="0"/>
    <n v="0"/>
    <n v="1"/>
    <n v="0"/>
    <n v="0"/>
    <n v="4.3744531933508313E-4"/>
    <n v="4.3744531933508313E-4"/>
    <n v="1"/>
  </r>
  <r>
    <x v="3"/>
    <x v="19"/>
    <s v="energy"/>
    <x v="2"/>
    <s v="Neither"/>
    <n v="3"/>
    <n v="0"/>
    <n v="0"/>
    <n v="1.3123359580052493E-3"/>
    <n v="0"/>
    <n v="0"/>
    <n v="1.3123359580052493E-3"/>
    <n v="3"/>
  </r>
  <r>
    <x v="3"/>
    <x v="19"/>
    <s v="energy"/>
    <x v="3"/>
    <s v="Injury"/>
    <n v="0"/>
    <n v="0"/>
    <n v="1"/>
    <n v="0"/>
    <n v="0"/>
    <n v="3.7271710771524412E-4"/>
    <n v="3.7271710771524412E-4"/>
    <n v="1"/>
  </r>
  <r>
    <x v="3"/>
    <x v="19"/>
    <s v="energy"/>
    <x v="4"/>
    <s v="Injury"/>
    <n v="0"/>
    <n v="0"/>
    <n v="1"/>
    <n v="0"/>
    <n v="0"/>
    <n v="3.1715826197272439E-4"/>
    <n v="3.1715826197272439E-4"/>
    <n v="1"/>
  </r>
  <r>
    <x v="3"/>
    <x v="19"/>
    <s v="energy"/>
    <x v="4"/>
    <s v="Neither"/>
    <n v="1"/>
    <n v="0"/>
    <n v="0"/>
    <n v="3.1715826197272439E-4"/>
    <n v="0"/>
    <n v="0"/>
    <n v="3.1715826197272439E-4"/>
    <n v="1"/>
  </r>
  <r>
    <x v="3"/>
    <x v="13"/>
    <s v="energy"/>
    <x v="0"/>
    <s v="Neither"/>
    <n v="1"/>
    <n v="0"/>
    <n v="0"/>
    <n v="6.2735257214554575E-4"/>
    <n v="0"/>
    <n v="0"/>
    <n v="6.2735257214554575E-4"/>
    <n v="1"/>
  </r>
  <r>
    <x v="3"/>
    <x v="13"/>
    <s v="energy"/>
    <x v="2"/>
    <s v="Neither"/>
    <n v="3"/>
    <n v="0"/>
    <n v="0"/>
    <n v="1.3123359580052493E-3"/>
    <n v="0"/>
    <n v="0"/>
    <n v="1.3123359580052493E-3"/>
    <n v="3"/>
  </r>
  <r>
    <x v="3"/>
    <x v="13"/>
    <s v="energy"/>
    <x v="5"/>
    <s v="Injury"/>
    <n v="0"/>
    <n v="0"/>
    <n v="2"/>
    <n v="0"/>
    <n v="0"/>
    <n v="1.522359657469077E-3"/>
    <n v="1.522359657469077E-3"/>
    <n v="2"/>
  </r>
  <r>
    <x v="3"/>
    <x v="15"/>
    <s v="energy"/>
    <x v="0"/>
    <s v="Injury"/>
    <n v="0"/>
    <n v="0"/>
    <n v="1"/>
    <n v="0"/>
    <n v="0"/>
    <n v="6.2735257214554575E-4"/>
    <n v="6.2735257214554575E-4"/>
    <n v="1"/>
  </r>
  <r>
    <x v="3"/>
    <x v="15"/>
    <s v="energy"/>
    <x v="2"/>
    <s v="Neither"/>
    <n v="2"/>
    <n v="0"/>
    <n v="0"/>
    <n v="8.7489063867016625E-4"/>
    <n v="0"/>
    <n v="0"/>
    <n v="8.7489063867016625E-4"/>
    <n v="2"/>
  </r>
  <r>
    <x v="3"/>
    <x v="15"/>
    <s v="energy"/>
    <x v="4"/>
    <s v="Injury"/>
    <n v="0"/>
    <n v="0"/>
    <n v="1"/>
    <n v="0"/>
    <n v="0"/>
    <n v="3.1715826197272439E-4"/>
    <n v="3.1715826197272439E-4"/>
    <n v="1"/>
  </r>
  <r>
    <x v="3"/>
    <x v="15"/>
    <s v="energy"/>
    <x v="5"/>
    <s v="Injury"/>
    <n v="0"/>
    <n v="0"/>
    <n v="2"/>
    <n v="0"/>
    <n v="0"/>
    <n v="1.522359657469077E-3"/>
    <n v="1.522359657469077E-3"/>
    <n v="2"/>
  </r>
  <r>
    <x v="3"/>
    <x v="29"/>
    <s v="system"/>
    <x v="0"/>
    <s v="Neither"/>
    <n v="1"/>
    <n v="0"/>
    <n v="0"/>
    <n v="6.2735257214554575E-4"/>
    <n v="0"/>
    <n v="0"/>
    <n v="6.2735257214554575E-4"/>
    <n v="1"/>
  </r>
  <r>
    <x v="3"/>
    <x v="29"/>
    <s v="system"/>
    <x v="1"/>
    <s v="Neither"/>
    <n v="2"/>
    <n v="0"/>
    <n v="0"/>
    <n v="1.0666666666666667E-3"/>
    <n v="0"/>
    <n v="0"/>
    <n v="1.0666666666666667E-3"/>
    <n v="2"/>
  </r>
  <r>
    <x v="3"/>
    <x v="29"/>
    <s v="system"/>
    <x v="2"/>
    <s v="Neither"/>
    <n v="2"/>
    <n v="0"/>
    <n v="0"/>
    <n v="8.7489063867016625E-4"/>
    <n v="0"/>
    <n v="0"/>
    <n v="8.7489063867016625E-4"/>
    <n v="2"/>
  </r>
  <r>
    <x v="3"/>
    <x v="12"/>
    <s v="mechanical"/>
    <x v="1"/>
    <s v="Neither"/>
    <n v="1"/>
    <n v="0"/>
    <n v="0"/>
    <n v="5.3333333333333336E-4"/>
    <n v="0"/>
    <n v="0"/>
    <n v="5.3333333333333336E-4"/>
    <n v="1"/>
  </r>
  <r>
    <x v="3"/>
    <x v="12"/>
    <s v="mechanical"/>
    <x v="2"/>
    <s v="Neither"/>
    <n v="1"/>
    <n v="0"/>
    <n v="0"/>
    <n v="4.3744531933508313E-4"/>
    <n v="0"/>
    <n v="0"/>
    <n v="4.3744531933508313E-4"/>
    <n v="1"/>
  </r>
  <r>
    <x v="3"/>
    <x v="12"/>
    <s v="mechanical"/>
    <x v="3"/>
    <s v="Neither"/>
    <n v="1"/>
    <n v="0"/>
    <n v="0"/>
    <n v="3.7271710771524412E-4"/>
    <n v="0"/>
    <n v="0"/>
    <n v="3.7271710771524412E-4"/>
    <n v="1"/>
  </r>
  <r>
    <x v="3"/>
    <x v="12"/>
    <s v="mechanical"/>
    <x v="5"/>
    <s v="Injury"/>
    <n v="0"/>
    <n v="0"/>
    <n v="1"/>
    <n v="0"/>
    <n v="0"/>
    <n v="7.6117982873453852E-4"/>
    <n v="7.6117982873453852E-4"/>
    <n v="1"/>
  </r>
  <r>
    <x v="3"/>
    <x v="12"/>
    <s v="mechanical"/>
    <x v="5"/>
    <s v="Neither"/>
    <n v="1"/>
    <n v="0"/>
    <n v="0"/>
    <n v="7.6117982873453852E-4"/>
    <n v="0"/>
    <n v="0"/>
    <n v="7.6117982873453852E-4"/>
    <n v="1"/>
  </r>
  <r>
    <x v="3"/>
    <x v="23"/>
    <s v="system"/>
    <x v="1"/>
    <s v="Neither"/>
    <n v="3"/>
    <n v="0"/>
    <n v="0"/>
    <n v="1.6000000000000001E-3"/>
    <n v="0"/>
    <n v="0"/>
    <n v="1.6000000000000001E-3"/>
    <n v="3"/>
  </r>
  <r>
    <x v="3"/>
    <x v="23"/>
    <s v="system"/>
    <x v="2"/>
    <s v="Neither"/>
    <n v="2"/>
    <n v="0"/>
    <n v="0"/>
    <n v="8.7489063867016625E-4"/>
    <n v="0"/>
    <n v="0"/>
    <n v="8.7489063867016625E-4"/>
    <n v="2"/>
  </r>
  <r>
    <x v="3"/>
    <x v="22"/>
    <s v="accessory"/>
    <x v="3"/>
    <s v="Neither"/>
    <n v="3"/>
    <n v="0"/>
    <n v="0"/>
    <n v="1.1181513231457323E-3"/>
    <n v="0"/>
    <n v="0"/>
    <n v="1.1181513231457323E-3"/>
    <n v="3"/>
  </r>
  <r>
    <x v="3"/>
    <x v="22"/>
    <s v="accessory"/>
    <x v="4"/>
    <s v="Injury"/>
    <n v="0"/>
    <n v="0"/>
    <n v="1"/>
    <n v="0"/>
    <n v="0"/>
    <n v="3.1715826197272439E-4"/>
    <n v="3.1715826197272439E-4"/>
    <n v="1"/>
  </r>
  <r>
    <x v="3"/>
    <x v="22"/>
    <s v="accessory"/>
    <x v="5"/>
    <s v="Injury"/>
    <n v="0"/>
    <n v="0"/>
    <n v="1"/>
    <n v="0"/>
    <n v="0"/>
    <n v="7.6117982873453852E-4"/>
    <n v="7.6117982873453852E-4"/>
    <n v="1"/>
  </r>
  <r>
    <x v="3"/>
    <x v="24"/>
    <s v="energy"/>
    <x v="2"/>
    <s v="Neither"/>
    <n v="3"/>
    <n v="0"/>
    <n v="0"/>
    <n v="1.3123359580052493E-3"/>
    <n v="0"/>
    <n v="0"/>
    <n v="1.3123359580052493E-3"/>
    <n v="3"/>
  </r>
  <r>
    <x v="3"/>
    <x v="24"/>
    <s v="energy"/>
    <x v="4"/>
    <s v="Neither"/>
    <n v="1"/>
    <n v="0"/>
    <n v="0"/>
    <n v="3.1715826197272439E-4"/>
    <n v="0"/>
    <n v="0"/>
    <n v="3.1715826197272439E-4"/>
    <n v="1"/>
  </r>
  <r>
    <x v="3"/>
    <x v="18"/>
    <s v="accessory"/>
    <x v="2"/>
    <s v="Neither"/>
    <n v="2"/>
    <n v="0"/>
    <n v="0"/>
    <n v="8.7489063867016625E-4"/>
    <n v="0"/>
    <n v="0"/>
    <n v="8.7489063867016625E-4"/>
    <n v="2"/>
  </r>
  <r>
    <x v="3"/>
    <x v="18"/>
    <s v="accessory"/>
    <x v="4"/>
    <s v="Injury"/>
    <n v="0"/>
    <n v="0"/>
    <n v="1"/>
    <n v="0"/>
    <n v="0"/>
    <n v="3.1715826197272439E-4"/>
    <n v="3.1715826197272439E-4"/>
    <n v="1"/>
  </r>
  <r>
    <x v="3"/>
    <x v="30"/>
    <s v="system"/>
    <x v="1"/>
    <s v="Injury"/>
    <n v="0"/>
    <n v="0"/>
    <n v="1"/>
    <n v="0"/>
    <n v="0"/>
    <n v="5.3333333333333336E-4"/>
    <n v="5.3333333333333336E-4"/>
    <n v="1"/>
  </r>
  <r>
    <x v="3"/>
    <x v="30"/>
    <s v="system"/>
    <x v="5"/>
    <s v="Neither"/>
    <n v="1"/>
    <n v="0"/>
    <n v="0"/>
    <n v="7.6117982873453852E-4"/>
    <n v="0"/>
    <n v="0"/>
    <n v="7.6117982873453852E-4"/>
    <n v="1"/>
  </r>
  <r>
    <x v="3"/>
    <x v="7"/>
    <s v="mechanical"/>
    <x v="3"/>
    <s v="Neither"/>
    <n v="1"/>
    <n v="0"/>
    <n v="0"/>
    <n v="3.7271710771524412E-4"/>
    <n v="0"/>
    <n v="0"/>
    <n v="3.7271710771524412E-4"/>
    <n v="1"/>
  </r>
  <r>
    <x v="3"/>
    <x v="10"/>
    <s v="mechanical"/>
    <x v="3"/>
    <s v="Neither"/>
    <n v="1"/>
    <n v="0"/>
    <n v="0"/>
    <n v="3.7271710771524412E-4"/>
    <n v="0"/>
    <n v="0"/>
    <n v="3.7271710771524412E-4"/>
    <n v="1"/>
  </r>
  <r>
    <x v="4"/>
    <x v="16"/>
    <s v="system"/>
    <x v="0"/>
    <s v="Injury"/>
    <n v="0"/>
    <n v="0"/>
    <n v="3"/>
    <n v="0"/>
    <n v="0"/>
    <n v="1.8820577164366374E-3"/>
    <n v="1.8820577164366374E-3"/>
    <n v="3"/>
  </r>
  <r>
    <x v="4"/>
    <x v="16"/>
    <s v="system"/>
    <x v="1"/>
    <s v="Injury"/>
    <n v="0"/>
    <n v="0"/>
    <n v="7"/>
    <n v="0"/>
    <n v="0"/>
    <n v="3.7333333333333333E-3"/>
    <n v="3.7333333333333333E-3"/>
    <n v="7"/>
  </r>
  <r>
    <x v="4"/>
    <x v="16"/>
    <s v="system"/>
    <x v="1"/>
    <s v="Neither"/>
    <n v="82"/>
    <n v="0"/>
    <n v="0"/>
    <n v="4.3733333333333332E-2"/>
    <n v="0"/>
    <n v="0"/>
    <n v="4.3733333333333332E-2"/>
    <n v="82"/>
  </r>
  <r>
    <x v="4"/>
    <x v="16"/>
    <s v="system"/>
    <x v="2"/>
    <s v="Death"/>
    <n v="0"/>
    <n v="1"/>
    <n v="0"/>
    <n v="0"/>
    <n v="4.3744531933508313E-4"/>
    <n v="0"/>
    <n v="4.3744531933508313E-4"/>
    <n v="1"/>
  </r>
  <r>
    <x v="4"/>
    <x v="16"/>
    <s v="system"/>
    <x v="2"/>
    <s v="Injury"/>
    <n v="0"/>
    <n v="0"/>
    <n v="10"/>
    <n v="0"/>
    <n v="0"/>
    <n v="4.3744531933508314E-3"/>
    <n v="4.3744531933508314E-3"/>
    <n v="10"/>
  </r>
  <r>
    <x v="4"/>
    <x v="16"/>
    <s v="system"/>
    <x v="2"/>
    <s v="Neither"/>
    <n v="131"/>
    <n v="0"/>
    <n v="0"/>
    <n v="5.730533683289589E-2"/>
    <n v="0"/>
    <n v="0"/>
    <n v="5.730533683289589E-2"/>
    <n v="131"/>
  </r>
  <r>
    <x v="4"/>
    <x v="16"/>
    <s v="system"/>
    <x v="3"/>
    <s v="Injury"/>
    <n v="0"/>
    <n v="0"/>
    <n v="10"/>
    <n v="0"/>
    <n v="0"/>
    <n v="3.7271710771524412E-3"/>
    <n v="3.7271710771524412E-3"/>
    <n v="10"/>
  </r>
  <r>
    <x v="4"/>
    <x v="16"/>
    <s v="system"/>
    <x v="3"/>
    <s v="Neither"/>
    <n v="130"/>
    <n v="0"/>
    <n v="0"/>
    <n v="4.8453224002981736E-2"/>
    <n v="0"/>
    <n v="0"/>
    <n v="4.8453224002981736E-2"/>
    <n v="130"/>
  </r>
  <r>
    <x v="4"/>
    <x v="16"/>
    <s v="system"/>
    <x v="4"/>
    <s v="Injury"/>
    <n v="0"/>
    <n v="0"/>
    <n v="11"/>
    <n v="0"/>
    <n v="0"/>
    <n v="3.4887408816999684E-3"/>
    <n v="3.4887408816999684E-3"/>
    <n v="11"/>
  </r>
  <r>
    <x v="4"/>
    <x v="16"/>
    <s v="system"/>
    <x v="4"/>
    <s v="Neither"/>
    <n v="179"/>
    <n v="0"/>
    <n v="0"/>
    <n v="5.6771328893117666E-2"/>
    <n v="0"/>
    <n v="0"/>
    <n v="5.6771328893117666E-2"/>
    <n v="179"/>
  </r>
  <r>
    <x v="4"/>
    <x v="16"/>
    <s v="system"/>
    <x v="5"/>
    <s v="Injury"/>
    <n v="0"/>
    <n v="0"/>
    <n v="5"/>
    <n v="0"/>
    <n v="0"/>
    <n v="3.8058991436726928E-3"/>
    <n v="3.8058991436726928E-3"/>
    <n v="5"/>
  </r>
  <r>
    <x v="4"/>
    <x v="16"/>
    <s v="system"/>
    <x v="5"/>
    <s v="Neither"/>
    <n v="124"/>
    <n v="0"/>
    <n v="0"/>
    <n v="9.4386298763082785E-2"/>
    <n v="0"/>
    <n v="0"/>
    <n v="9.4386298763082785E-2"/>
    <n v="124"/>
  </r>
  <r>
    <x v="4"/>
    <x v="29"/>
    <s v="system"/>
    <x v="1"/>
    <s v="Injury"/>
    <n v="0"/>
    <n v="0"/>
    <n v="1"/>
    <n v="0"/>
    <n v="0"/>
    <n v="5.3333333333333336E-4"/>
    <n v="5.3333333333333336E-4"/>
    <n v="1"/>
  </r>
  <r>
    <x v="4"/>
    <x v="29"/>
    <s v="system"/>
    <x v="1"/>
    <s v="Neither"/>
    <n v="19"/>
    <n v="0"/>
    <n v="0"/>
    <n v="1.0133333333333333E-2"/>
    <n v="0"/>
    <n v="0"/>
    <n v="1.0133333333333333E-2"/>
    <n v="19"/>
  </r>
  <r>
    <x v="4"/>
    <x v="29"/>
    <s v="system"/>
    <x v="2"/>
    <s v="Injury"/>
    <n v="0"/>
    <n v="0"/>
    <n v="2"/>
    <n v="0"/>
    <n v="0"/>
    <n v="8.7489063867016625E-4"/>
    <n v="8.7489063867016625E-4"/>
    <n v="2"/>
  </r>
  <r>
    <x v="4"/>
    <x v="29"/>
    <s v="system"/>
    <x v="2"/>
    <s v="Neither"/>
    <n v="42"/>
    <n v="0"/>
    <n v="0"/>
    <n v="1.8372703412073491E-2"/>
    <n v="0"/>
    <n v="0"/>
    <n v="1.8372703412073491E-2"/>
    <n v="42"/>
  </r>
  <r>
    <x v="4"/>
    <x v="29"/>
    <s v="system"/>
    <x v="3"/>
    <s v="Injury"/>
    <n v="0"/>
    <n v="0"/>
    <n v="3"/>
    <n v="0"/>
    <n v="0"/>
    <n v="1.1181513231457323E-3"/>
    <n v="1.1181513231457323E-3"/>
    <n v="3"/>
  </r>
  <r>
    <x v="4"/>
    <x v="29"/>
    <s v="system"/>
    <x v="3"/>
    <s v="Neither"/>
    <n v="39"/>
    <n v="0"/>
    <n v="0"/>
    <n v="1.4535967200894522E-2"/>
    <n v="0"/>
    <n v="0"/>
    <n v="1.4535967200894522E-2"/>
    <n v="39"/>
  </r>
  <r>
    <x v="4"/>
    <x v="29"/>
    <s v="system"/>
    <x v="4"/>
    <s v="Injury"/>
    <n v="0"/>
    <n v="0"/>
    <n v="1"/>
    <n v="0"/>
    <n v="0"/>
    <n v="3.1715826197272439E-4"/>
    <n v="3.1715826197272439E-4"/>
    <n v="1"/>
  </r>
  <r>
    <x v="4"/>
    <x v="29"/>
    <s v="system"/>
    <x v="4"/>
    <s v="Neither"/>
    <n v="53"/>
    <n v="0"/>
    <n v="0"/>
    <n v="1.6809387884554394E-2"/>
    <n v="0"/>
    <n v="0"/>
    <n v="1.6809387884554394E-2"/>
    <n v="53"/>
  </r>
  <r>
    <x v="4"/>
    <x v="29"/>
    <s v="system"/>
    <x v="5"/>
    <s v="Injury"/>
    <n v="0"/>
    <n v="0"/>
    <n v="1"/>
    <n v="0"/>
    <n v="0"/>
    <n v="7.6117982873453852E-4"/>
    <n v="7.6117982873453852E-4"/>
    <n v="1"/>
  </r>
  <r>
    <x v="4"/>
    <x v="29"/>
    <s v="system"/>
    <x v="5"/>
    <s v="Neither"/>
    <n v="48"/>
    <n v="0"/>
    <n v="0"/>
    <n v="3.6536631779257853E-2"/>
    <n v="0"/>
    <n v="0"/>
    <n v="3.6536631779257853E-2"/>
    <n v="48"/>
  </r>
  <r>
    <x v="4"/>
    <x v="1"/>
    <s v="energy"/>
    <x v="1"/>
    <s v="Injury"/>
    <n v="0"/>
    <n v="0"/>
    <n v="1"/>
    <n v="0"/>
    <n v="0"/>
    <n v="5.3333333333333336E-4"/>
    <n v="5.3333333333333336E-4"/>
    <n v="1"/>
  </r>
  <r>
    <x v="4"/>
    <x v="1"/>
    <s v="energy"/>
    <x v="1"/>
    <s v="Neither"/>
    <n v="13"/>
    <n v="0"/>
    <n v="0"/>
    <n v="6.933333333333333E-3"/>
    <n v="0"/>
    <n v="0"/>
    <n v="6.933333333333333E-3"/>
    <n v="13"/>
  </r>
  <r>
    <x v="4"/>
    <x v="1"/>
    <s v="energy"/>
    <x v="2"/>
    <s v="Neither"/>
    <n v="39"/>
    <n v="0"/>
    <n v="0"/>
    <n v="1.7060367454068241E-2"/>
    <n v="0"/>
    <n v="0"/>
    <n v="1.7060367454068241E-2"/>
    <n v="39"/>
  </r>
  <r>
    <x v="4"/>
    <x v="1"/>
    <s v="energy"/>
    <x v="3"/>
    <s v="Neither"/>
    <n v="36"/>
    <n v="0"/>
    <n v="0"/>
    <n v="1.3417815877748788E-2"/>
    <n v="0"/>
    <n v="0"/>
    <n v="1.3417815877748788E-2"/>
    <n v="36"/>
  </r>
  <r>
    <x v="4"/>
    <x v="1"/>
    <s v="energy"/>
    <x v="4"/>
    <s v="Injury"/>
    <n v="0"/>
    <n v="0"/>
    <n v="1"/>
    <n v="0"/>
    <n v="0"/>
    <n v="3.1715826197272439E-4"/>
    <n v="3.1715826197272439E-4"/>
    <n v="1"/>
  </r>
  <r>
    <x v="4"/>
    <x v="1"/>
    <s v="energy"/>
    <x v="4"/>
    <s v="Neither"/>
    <n v="70"/>
    <n v="0"/>
    <n v="0"/>
    <n v="2.2201078338090707E-2"/>
    <n v="0"/>
    <n v="0"/>
    <n v="2.2201078338090707E-2"/>
    <n v="70"/>
  </r>
  <r>
    <x v="4"/>
    <x v="1"/>
    <s v="energy"/>
    <x v="5"/>
    <s v="Injury"/>
    <n v="0"/>
    <n v="0"/>
    <n v="1"/>
    <n v="0"/>
    <n v="0"/>
    <n v="7.6117982873453852E-4"/>
    <n v="7.6117982873453852E-4"/>
    <n v="1"/>
  </r>
  <r>
    <x v="4"/>
    <x v="1"/>
    <s v="energy"/>
    <x v="5"/>
    <s v="Neither"/>
    <n v="31"/>
    <n v="0"/>
    <n v="0"/>
    <n v="2.3596574690770696E-2"/>
    <n v="0"/>
    <n v="0"/>
    <n v="2.3596574690770696E-2"/>
    <n v="31"/>
  </r>
  <r>
    <x v="4"/>
    <x v="8"/>
    <s v="mechanical"/>
    <x v="0"/>
    <s v="Neither"/>
    <n v="20"/>
    <n v="0"/>
    <n v="0"/>
    <n v="1.2547051442910916E-2"/>
    <n v="0"/>
    <n v="0"/>
    <n v="1.2547051442910916E-2"/>
    <n v="20"/>
  </r>
  <r>
    <x v="4"/>
    <x v="8"/>
    <s v="mechanical"/>
    <x v="1"/>
    <s v="Injury"/>
    <n v="0"/>
    <n v="0"/>
    <n v="3"/>
    <n v="0"/>
    <n v="0"/>
    <n v="1.6000000000000001E-3"/>
    <n v="1.6000000000000001E-3"/>
    <n v="3"/>
  </r>
  <r>
    <x v="4"/>
    <x v="8"/>
    <s v="mechanical"/>
    <x v="1"/>
    <s v="Neither"/>
    <n v="45"/>
    <n v="0"/>
    <n v="0"/>
    <n v="2.4E-2"/>
    <n v="0"/>
    <n v="0"/>
    <n v="2.4E-2"/>
    <n v="45"/>
  </r>
  <r>
    <x v="4"/>
    <x v="8"/>
    <s v="mechanical"/>
    <x v="2"/>
    <s v="Injury"/>
    <n v="0"/>
    <n v="0"/>
    <n v="3"/>
    <n v="0"/>
    <n v="0"/>
    <n v="1.3123359580052493E-3"/>
    <n v="1.3123359580052493E-3"/>
    <n v="3"/>
  </r>
  <r>
    <x v="4"/>
    <x v="8"/>
    <s v="mechanical"/>
    <x v="2"/>
    <s v="Neither"/>
    <n v="38"/>
    <n v="0"/>
    <n v="0"/>
    <n v="1.6622922134733157E-2"/>
    <n v="0"/>
    <n v="0"/>
    <n v="1.6622922134733157E-2"/>
    <n v="38"/>
  </r>
  <r>
    <x v="4"/>
    <x v="8"/>
    <s v="mechanical"/>
    <x v="3"/>
    <s v="Injury"/>
    <n v="0"/>
    <n v="0"/>
    <n v="4"/>
    <n v="0"/>
    <n v="0"/>
    <n v="1.4908684308609765E-3"/>
    <n v="1.4908684308609765E-3"/>
    <n v="4"/>
  </r>
  <r>
    <x v="4"/>
    <x v="8"/>
    <s v="mechanical"/>
    <x v="3"/>
    <s v="Neither"/>
    <n v="40"/>
    <n v="0"/>
    <n v="0"/>
    <n v="1.4908684308609765E-2"/>
    <n v="0"/>
    <n v="0"/>
    <n v="1.4908684308609765E-2"/>
    <n v="40"/>
  </r>
  <r>
    <x v="4"/>
    <x v="8"/>
    <s v="mechanical"/>
    <x v="4"/>
    <s v="Neither"/>
    <n v="25"/>
    <n v="0"/>
    <n v="0"/>
    <n v="7.9289565493181093E-3"/>
    <n v="0"/>
    <n v="0"/>
    <n v="7.9289565493181093E-3"/>
    <n v="25"/>
  </r>
  <r>
    <x v="4"/>
    <x v="8"/>
    <s v="mechanical"/>
    <x v="5"/>
    <s v="Neither"/>
    <n v="13"/>
    <n v="0"/>
    <n v="0"/>
    <n v="9.8953377735490015E-3"/>
    <n v="0"/>
    <n v="0"/>
    <n v="9.8953377735490015E-3"/>
    <n v="13"/>
  </r>
  <r>
    <x v="4"/>
    <x v="4"/>
    <s v="mechanical"/>
    <x v="1"/>
    <s v="Neither"/>
    <n v="12"/>
    <n v="0"/>
    <n v="0"/>
    <n v="6.4000000000000003E-3"/>
    <n v="0"/>
    <n v="0"/>
    <n v="6.4000000000000003E-3"/>
    <n v="12"/>
  </r>
  <r>
    <x v="4"/>
    <x v="4"/>
    <s v="mechanical"/>
    <x v="2"/>
    <s v="Neither"/>
    <n v="83"/>
    <n v="0"/>
    <n v="0"/>
    <n v="3.63079615048119E-2"/>
    <n v="0"/>
    <n v="0"/>
    <n v="3.63079615048119E-2"/>
    <n v="83"/>
  </r>
  <r>
    <x v="4"/>
    <x v="4"/>
    <s v="mechanical"/>
    <x v="3"/>
    <s v="Neither"/>
    <n v="38"/>
    <n v="0"/>
    <n v="0"/>
    <n v="1.4163250093179277E-2"/>
    <n v="0"/>
    <n v="0"/>
    <n v="1.4163250093179277E-2"/>
    <n v="38"/>
  </r>
  <r>
    <x v="4"/>
    <x v="4"/>
    <s v="mechanical"/>
    <x v="4"/>
    <s v="Injury"/>
    <n v="0"/>
    <n v="0"/>
    <n v="1"/>
    <n v="0"/>
    <n v="0"/>
    <n v="3.1715826197272439E-4"/>
    <n v="3.1715826197272439E-4"/>
    <n v="1"/>
  </r>
  <r>
    <x v="4"/>
    <x v="4"/>
    <s v="mechanical"/>
    <x v="4"/>
    <s v="Neither"/>
    <n v="32"/>
    <n v="0"/>
    <n v="0"/>
    <n v="1.014906438312718E-2"/>
    <n v="0"/>
    <n v="0"/>
    <n v="1.014906438312718E-2"/>
    <n v="32"/>
  </r>
  <r>
    <x v="4"/>
    <x v="4"/>
    <s v="mechanical"/>
    <x v="5"/>
    <s v="Neither"/>
    <n v="22"/>
    <n v="0"/>
    <n v="0"/>
    <n v="1.6745956232159846E-2"/>
    <n v="0"/>
    <n v="0"/>
    <n v="1.6745956232159846E-2"/>
    <n v="22"/>
  </r>
  <r>
    <x v="4"/>
    <x v="15"/>
    <s v="energy"/>
    <x v="1"/>
    <s v="Neither"/>
    <n v="12"/>
    <n v="0"/>
    <n v="0"/>
    <n v="6.4000000000000003E-3"/>
    <n v="0"/>
    <n v="0"/>
    <n v="6.4000000000000003E-3"/>
    <n v="12"/>
  </r>
  <r>
    <x v="4"/>
    <x v="15"/>
    <s v="energy"/>
    <x v="2"/>
    <s v="Injury"/>
    <n v="0"/>
    <n v="0"/>
    <n v="1"/>
    <n v="0"/>
    <n v="0"/>
    <n v="4.3744531933508313E-4"/>
    <n v="4.3744531933508313E-4"/>
    <n v="1"/>
  </r>
  <r>
    <x v="4"/>
    <x v="15"/>
    <s v="energy"/>
    <x v="2"/>
    <s v="Neither"/>
    <n v="30"/>
    <n v="0"/>
    <n v="0"/>
    <n v="1.3123359580052493E-2"/>
    <n v="0"/>
    <n v="0"/>
    <n v="1.3123359580052493E-2"/>
    <n v="30"/>
  </r>
  <r>
    <x v="4"/>
    <x v="15"/>
    <s v="energy"/>
    <x v="3"/>
    <s v="Injury"/>
    <n v="0"/>
    <n v="0"/>
    <n v="1"/>
    <n v="0"/>
    <n v="0"/>
    <n v="3.7271710771524412E-4"/>
    <n v="3.7271710771524412E-4"/>
    <n v="1"/>
  </r>
  <r>
    <x v="4"/>
    <x v="15"/>
    <s v="energy"/>
    <x v="3"/>
    <s v="Neither"/>
    <n v="30"/>
    <n v="0"/>
    <n v="0"/>
    <n v="1.1181513231457324E-2"/>
    <n v="0"/>
    <n v="0"/>
    <n v="1.1181513231457324E-2"/>
    <n v="30"/>
  </r>
  <r>
    <x v="4"/>
    <x v="15"/>
    <s v="energy"/>
    <x v="4"/>
    <s v="Injury"/>
    <n v="0"/>
    <n v="0"/>
    <n v="2"/>
    <n v="0"/>
    <n v="0"/>
    <n v="6.3431652394544877E-4"/>
    <n v="6.3431652394544877E-4"/>
    <n v="2"/>
  </r>
  <r>
    <x v="4"/>
    <x v="15"/>
    <s v="energy"/>
    <x v="4"/>
    <s v="Neither"/>
    <n v="69"/>
    <n v="0"/>
    <n v="0"/>
    <n v="2.1883920076117985E-2"/>
    <n v="0"/>
    <n v="0"/>
    <n v="2.1883920076117985E-2"/>
    <n v="69"/>
  </r>
  <r>
    <x v="4"/>
    <x v="15"/>
    <s v="energy"/>
    <x v="5"/>
    <s v="Neither"/>
    <n v="28"/>
    <n v="0"/>
    <n v="0"/>
    <n v="2.131303520456708E-2"/>
    <n v="0"/>
    <n v="0"/>
    <n v="2.131303520456708E-2"/>
    <n v="28"/>
  </r>
  <r>
    <x v="4"/>
    <x v="5"/>
    <s v="energy"/>
    <x v="1"/>
    <s v="Neither"/>
    <n v="14"/>
    <n v="0"/>
    <n v="0"/>
    <n v="7.4666666666666666E-3"/>
    <n v="0"/>
    <n v="0"/>
    <n v="7.4666666666666666E-3"/>
    <n v="14"/>
  </r>
  <r>
    <x v="4"/>
    <x v="5"/>
    <s v="energy"/>
    <x v="2"/>
    <s v="Injury"/>
    <n v="0"/>
    <n v="0"/>
    <n v="1"/>
    <n v="0"/>
    <n v="0"/>
    <n v="4.3744531933508313E-4"/>
    <n v="4.3744531933508313E-4"/>
    <n v="1"/>
  </r>
  <r>
    <x v="4"/>
    <x v="5"/>
    <s v="energy"/>
    <x v="2"/>
    <s v="Neither"/>
    <n v="38"/>
    <n v="0"/>
    <n v="0"/>
    <n v="1.6622922134733157E-2"/>
    <n v="0"/>
    <n v="0"/>
    <n v="1.6622922134733157E-2"/>
    <n v="38"/>
  </r>
  <r>
    <x v="4"/>
    <x v="5"/>
    <s v="energy"/>
    <x v="3"/>
    <s v="Neither"/>
    <n v="35"/>
    <n v="0"/>
    <n v="0"/>
    <n v="1.3045098770033545E-2"/>
    <n v="0"/>
    <n v="0"/>
    <n v="1.3045098770033545E-2"/>
    <n v="35"/>
  </r>
  <r>
    <x v="4"/>
    <x v="5"/>
    <s v="energy"/>
    <x v="4"/>
    <s v="Injury"/>
    <n v="0"/>
    <n v="0"/>
    <n v="1"/>
    <n v="0"/>
    <n v="0"/>
    <n v="3.1715826197272439E-4"/>
    <n v="3.1715826197272439E-4"/>
    <n v="1"/>
  </r>
  <r>
    <x v="4"/>
    <x v="5"/>
    <s v="energy"/>
    <x v="4"/>
    <s v="Neither"/>
    <n v="36"/>
    <n v="0"/>
    <n v="0"/>
    <n v="1.1417697431018078E-2"/>
    <n v="0"/>
    <n v="0"/>
    <n v="1.1417697431018078E-2"/>
    <n v="36"/>
  </r>
  <r>
    <x v="4"/>
    <x v="5"/>
    <s v="energy"/>
    <x v="5"/>
    <s v="Neither"/>
    <n v="19"/>
    <n v="0"/>
    <n v="0"/>
    <n v="1.4462416745956231E-2"/>
    <n v="0"/>
    <n v="0"/>
    <n v="1.4462416745956231E-2"/>
    <n v="19"/>
  </r>
  <r>
    <x v="4"/>
    <x v="9"/>
    <s v="energy"/>
    <x v="1"/>
    <s v="Neither"/>
    <n v="10"/>
    <n v="0"/>
    <n v="0"/>
    <n v="5.3333333333333332E-3"/>
    <n v="0"/>
    <n v="0"/>
    <n v="5.3333333333333332E-3"/>
    <n v="10"/>
  </r>
  <r>
    <x v="4"/>
    <x v="9"/>
    <s v="energy"/>
    <x v="2"/>
    <s v="Neither"/>
    <n v="36"/>
    <n v="0"/>
    <n v="0"/>
    <n v="1.5748031496062992E-2"/>
    <n v="0"/>
    <n v="0"/>
    <n v="1.5748031496062992E-2"/>
    <n v="36"/>
  </r>
  <r>
    <x v="4"/>
    <x v="9"/>
    <s v="energy"/>
    <x v="3"/>
    <s v="Neither"/>
    <n v="17"/>
    <n v="0"/>
    <n v="0"/>
    <n v="6.3361908311591504E-3"/>
    <n v="0"/>
    <n v="0"/>
    <n v="6.3361908311591504E-3"/>
    <n v="17"/>
  </r>
  <r>
    <x v="4"/>
    <x v="9"/>
    <s v="energy"/>
    <x v="4"/>
    <s v="Injury"/>
    <n v="0"/>
    <n v="0"/>
    <n v="1"/>
    <n v="0"/>
    <n v="0"/>
    <n v="3.1715826197272439E-4"/>
    <n v="3.1715826197272439E-4"/>
    <n v="1"/>
  </r>
  <r>
    <x v="4"/>
    <x v="9"/>
    <s v="energy"/>
    <x v="4"/>
    <s v="Neither"/>
    <n v="35"/>
    <n v="0"/>
    <n v="0"/>
    <n v="1.1100539169045354E-2"/>
    <n v="0"/>
    <n v="0"/>
    <n v="1.1100539169045354E-2"/>
    <n v="35"/>
  </r>
  <r>
    <x v="4"/>
    <x v="9"/>
    <s v="energy"/>
    <x v="5"/>
    <s v="Neither"/>
    <n v="22"/>
    <n v="0"/>
    <n v="0"/>
    <n v="1.6745956232159846E-2"/>
    <n v="0"/>
    <n v="0"/>
    <n v="1.6745956232159846E-2"/>
    <n v="22"/>
  </r>
  <r>
    <x v="4"/>
    <x v="2"/>
    <s v="mechanical"/>
    <x v="1"/>
    <s v="Neither"/>
    <n v="6"/>
    <n v="0"/>
    <n v="0"/>
    <n v="3.2000000000000002E-3"/>
    <n v="0"/>
    <n v="0"/>
    <n v="3.2000000000000002E-3"/>
    <n v="6"/>
  </r>
  <r>
    <x v="4"/>
    <x v="2"/>
    <s v="mechanical"/>
    <x v="2"/>
    <s v="Neither"/>
    <n v="31"/>
    <n v="0"/>
    <n v="0"/>
    <n v="1.3560804899387576E-2"/>
    <n v="0"/>
    <n v="0"/>
    <n v="1.3560804899387576E-2"/>
    <n v="31"/>
  </r>
  <r>
    <x v="4"/>
    <x v="2"/>
    <s v="mechanical"/>
    <x v="3"/>
    <s v="Neither"/>
    <n v="17"/>
    <n v="0"/>
    <n v="0"/>
    <n v="6.3361908311591504E-3"/>
    <n v="0"/>
    <n v="0"/>
    <n v="6.3361908311591504E-3"/>
    <n v="17"/>
  </r>
  <r>
    <x v="4"/>
    <x v="2"/>
    <s v="mechanical"/>
    <x v="4"/>
    <s v="Neither"/>
    <n v="44"/>
    <n v="0"/>
    <n v="0"/>
    <n v="1.3954963526799874E-2"/>
    <n v="0"/>
    <n v="0"/>
    <n v="1.3954963526799874E-2"/>
    <n v="44"/>
  </r>
  <r>
    <x v="4"/>
    <x v="2"/>
    <s v="mechanical"/>
    <x v="5"/>
    <s v="Neither"/>
    <n v="20"/>
    <n v="0"/>
    <n v="0"/>
    <n v="1.5223596574690771E-2"/>
    <n v="0"/>
    <n v="0"/>
    <n v="1.5223596574690771E-2"/>
    <n v="20"/>
  </r>
  <r>
    <x v="4"/>
    <x v="20"/>
    <s v="mechanical"/>
    <x v="1"/>
    <s v="Injury"/>
    <n v="0"/>
    <n v="0"/>
    <n v="3"/>
    <n v="0"/>
    <n v="0"/>
    <n v="1.6000000000000001E-3"/>
    <n v="1.6000000000000001E-3"/>
    <n v="3"/>
  </r>
  <r>
    <x v="4"/>
    <x v="20"/>
    <s v="mechanical"/>
    <x v="1"/>
    <s v="Neither"/>
    <n v="35"/>
    <n v="0"/>
    <n v="0"/>
    <n v="1.8666666666666668E-2"/>
    <n v="0"/>
    <n v="0"/>
    <n v="1.8666666666666668E-2"/>
    <n v="35"/>
  </r>
  <r>
    <x v="4"/>
    <x v="20"/>
    <s v="mechanical"/>
    <x v="2"/>
    <s v="Injury"/>
    <n v="0"/>
    <n v="0"/>
    <n v="1"/>
    <n v="0"/>
    <n v="0"/>
    <n v="4.3744531933508313E-4"/>
    <n v="4.3744531933508313E-4"/>
    <n v="1"/>
  </r>
  <r>
    <x v="4"/>
    <x v="20"/>
    <s v="mechanical"/>
    <x v="2"/>
    <s v="Neither"/>
    <n v="33"/>
    <n v="0"/>
    <n v="0"/>
    <n v="1.4435695538057743E-2"/>
    <n v="0"/>
    <n v="0"/>
    <n v="1.4435695538057743E-2"/>
    <n v="33"/>
  </r>
  <r>
    <x v="4"/>
    <x v="20"/>
    <s v="mechanical"/>
    <x v="3"/>
    <s v="Neither"/>
    <n v="17"/>
    <n v="0"/>
    <n v="0"/>
    <n v="6.3361908311591504E-3"/>
    <n v="0"/>
    <n v="0"/>
    <n v="6.3361908311591504E-3"/>
    <n v="17"/>
  </r>
  <r>
    <x v="4"/>
    <x v="20"/>
    <s v="mechanical"/>
    <x v="4"/>
    <s v="Neither"/>
    <n v="12"/>
    <n v="0"/>
    <n v="0"/>
    <n v="3.8058991436726928E-3"/>
    <n v="0"/>
    <n v="0"/>
    <n v="3.8058991436726928E-3"/>
    <n v="12"/>
  </r>
  <r>
    <x v="4"/>
    <x v="20"/>
    <s v="mechanical"/>
    <x v="5"/>
    <s v="Neither"/>
    <n v="10"/>
    <n v="0"/>
    <n v="0"/>
    <n v="7.6117982873453857E-3"/>
    <n v="0"/>
    <n v="0"/>
    <n v="7.6117982873453857E-3"/>
    <n v="10"/>
  </r>
  <r>
    <x v="4"/>
    <x v="23"/>
    <s v="system"/>
    <x v="0"/>
    <s v="Neither"/>
    <n v="2"/>
    <n v="0"/>
    <n v="0"/>
    <n v="1.2547051442910915E-3"/>
    <n v="0"/>
    <n v="0"/>
    <n v="1.2547051442910915E-3"/>
    <n v="2"/>
  </r>
  <r>
    <x v="4"/>
    <x v="23"/>
    <s v="system"/>
    <x v="1"/>
    <s v="Injury"/>
    <n v="0"/>
    <n v="0"/>
    <n v="1"/>
    <n v="0"/>
    <n v="0"/>
    <n v="5.3333333333333336E-4"/>
    <n v="5.3333333333333336E-4"/>
    <n v="1"/>
  </r>
  <r>
    <x v="4"/>
    <x v="23"/>
    <s v="system"/>
    <x v="1"/>
    <s v="Neither"/>
    <n v="12"/>
    <n v="0"/>
    <n v="0"/>
    <n v="6.4000000000000003E-3"/>
    <n v="0"/>
    <n v="0"/>
    <n v="6.4000000000000003E-3"/>
    <n v="12"/>
  </r>
  <r>
    <x v="4"/>
    <x v="23"/>
    <s v="system"/>
    <x v="2"/>
    <s v="Neither"/>
    <n v="43"/>
    <n v="0"/>
    <n v="0"/>
    <n v="1.8810148731408575E-2"/>
    <n v="0"/>
    <n v="0"/>
    <n v="1.8810148731408575E-2"/>
    <n v="43"/>
  </r>
  <r>
    <x v="4"/>
    <x v="23"/>
    <s v="system"/>
    <x v="3"/>
    <s v="Injury"/>
    <n v="0"/>
    <n v="0"/>
    <n v="1"/>
    <n v="0"/>
    <n v="0"/>
    <n v="3.7271710771524412E-4"/>
    <n v="3.7271710771524412E-4"/>
    <n v="1"/>
  </r>
  <r>
    <x v="4"/>
    <x v="23"/>
    <s v="system"/>
    <x v="3"/>
    <s v="Neither"/>
    <n v="9"/>
    <n v="0"/>
    <n v="0"/>
    <n v="3.354453969437197E-3"/>
    <n v="0"/>
    <n v="0"/>
    <n v="3.354453969437197E-3"/>
    <n v="9"/>
  </r>
  <r>
    <x v="4"/>
    <x v="23"/>
    <s v="system"/>
    <x v="4"/>
    <s v="Neither"/>
    <n v="15"/>
    <n v="0"/>
    <n v="0"/>
    <n v="4.7573739295908657E-3"/>
    <n v="0"/>
    <n v="0"/>
    <n v="4.7573739295908657E-3"/>
    <n v="15"/>
  </r>
  <r>
    <x v="4"/>
    <x v="23"/>
    <s v="system"/>
    <x v="5"/>
    <s v="Neither"/>
    <n v="6"/>
    <n v="0"/>
    <n v="0"/>
    <n v="4.5670789724072316E-3"/>
    <n v="0"/>
    <n v="0"/>
    <n v="4.5670789724072316E-3"/>
    <n v="6"/>
  </r>
  <r>
    <x v="4"/>
    <x v="3"/>
    <s v="energy"/>
    <x v="1"/>
    <s v="Neither"/>
    <n v="3"/>
    <n v="0"/>
    <n v="0"/>
    <n v="1.6000000000000001E-3"/>
    <n v="0"/>
    <n v="0"/>
    <n v="1.6000000000000001E-3"/>
    <n v="3"/>
  </r>
  <r>
    <x v="4"/>
    <x v="3"/>
    <s v="energy"/>
    <x v="2"/>
    <s v="Neither"/>
    <n v="13"/>
    <n v="0"/>
    <n v="0"/>
    <n v="5.6867891513560807E-3"/>
    <n v="0"/>
    <n v="0"/>
    <n v="5.6867891513560807E-3"/>
    <n v="13"/>
  </r>
  <r>
    <x v="4"/>
    <x v="3"/>
    <s v="energy"/>
    <x v="3"/>
    <s v="Neither"/>
    <n v="18"/>
    <n v="0"/>
    <n v="0"/>
    <n v="6.7089079388743941E-3"/>
    <n v="0"/>
    <n v="0"/>
    <n v="6.7089079388743941E-3"/>
    <n v="18"/>
  </r>
  <r>
    <x v="4"/>
    <x v="3"/>
    <s v="energy"/>
    <x v="4"/>
    <s v="Neither"/>
    <n v="24"/>
    <n v="0"/>
    <n v="0"/>
    <n v="7.6117982873453857E-3"/>
    <n v="0"/>
    <n v="0"/>
    <n v="7.6117982873453857E-3"/>
    <n v="24"/>
  </r>
  <r>
    <x v="4"/>
    <x v="3"/>
    <s v="energy"/>
    <x v="5"/>
    <s v="Neither"/>
    <n v="10"/>
    <n v="0"/>
    <n v="0"/>
    <n v="7.6117982873453857E-3"/>
    <n v="0"/>
    <n v="0"/>
    <n v="7.6117982873453857E-3"/>
    <n v="10"/>
  </r>
  <r>
    <x v="4"/>
    <x v="11"/>
    <s v="mechanical"/>
    <x v="1"/>
    <s v="Injury"/>
    <n v="0"/>
    <n v="0"/>
    <n v="1"/>
    <n v="0"/>
    <n v="0"/>
    <n v="5.3333333333333336E-4"/>
    <n v="5.3333333333333336E-4"/>
    <n v="1"/>
  </r>
  <r>
    <x v="4"/>
    <x v="11"/>
    <s v="mechanical"/>
    <x v="1"/>
    <s v="Neither"/>
    <n v="7"/>
    <n v="0"/>
    <n v="0"/>
    <n v="3.7333333333333333E-3"/>
    <n v="0"/>
    <n v="0"/>
    <n v="3.7333333333333333E-3"/>
    <n v="7"/>
  </r>
  <r>
    <x v="4"/>
    <x v="11"/>
    <s v="mechanical"/>
    <x v="2"/>
    <s v="Neither"/>
    <n v="5"/>
    <n v="0"/>
    <n v="0"/>
    <n v="2.1872265966754157E-3"/>
    <n v="0"/>
    <n v="0"/>
    <n v="2.1872265966754157E-3"/>
    <n v="5"/>
  </r>
  <r>
    <x v="4"/>
    <x v="11"/>
    <s v="mechanical"/>
    <x v="3"/>
    <s v="Neither"/>
    <n v="12"/>
    <n v="0"/>
    <n v="0"/>
    <n v="4.4726052925829294E-3"/>
    <n v="0"/>
    <n v="0"/>
    <n v="4.4726052925829294E-3"/>
    <n v="12"/>
  </r>
  <r>
    <x v="4"/>
    <x v="11"/>
    <s v="mechanical"/>
    <x v="4"/>
    <s v="Neither"/>
    <n v="20"/>
    <n v="0"/>
    <n v="0"/>
    <n v="6.3431652394544879E-3"/>
    <n v="0"/>
    <n v="0"/>
    <n v="6.3431652394544879E-3"/>
    <n v="20"/>
  </r>
  <r>
    <x v="4"/>
    <x v="11"/>
    <s v="mechanical"/>
    <x v="5"/>
    <s v="Neither"/>
    <n v="13"/>
    <n v="0"/>
    <n v="0"/>
    <n v="9.8953377735490015E-3"/>
    <n v="0"/>
    <n v="0"/>
    <n v="9.8953377735490015E-3"/>
    <n v="13"/>
  </r>
  <r>
    <x v="4"/>
    <x v="6"/>
    <s v="energy"/>
    <x v="1"/>
    <s v="Neither"/>
    <n v="1"/>
    <n v="0"/>
    <n v="0"/>
    <n v="5.3333333333333336E-4"/>
    <n v="0"/>
    <n v="0"/>
    <n v="5.3333333333333336E-4"/>
    <n v="1"/>
  </r>
  <r>
    <x v="4"/>
    <x v="6"/>
    <s v="energy"/>
    <x v="2"/>
    <s v="Injury"/>
    <n v="0"/>
    <n v="0"/>
    <n v="1"/>
    <n v="0"/>
    <n v="0"/>
    <n v="4.3744531933508313E-4"/>
    <n v="4.3744531933508313E-4"/>
    <n v="1"/>
  </r>
  <r>
    <x v="4"/>
    <x v="6"/>
    <s v="energy"/>
    <x v="2"/>
    <s v="Neither"/>
    <n v="15"/>
    <n v="0"/>
    <n v="0"/>
    <n v="6.5616797900262466E-3"/>
    <n v="0"/>
    <n v="0"/>
    <n v="6.5616797900262466E-3"/>
    <n v="15"/>
  </r>
  <r>
    <x v="4"/>
    <x v="6"/>
    <s v="energy"/>
    <x v="3"/>
    <s v="Neither"/>
    <n v="16"/>
    <n v="0"/>
    <n v="0"/>
    <n v="5.9634737234439059E-3"/>
    <n v="0"/>
    <n v="0"/>
    <n v="5.9634737234439059E-3"/>
    <n v="16"/>
  </r>
  <r>
    <x v="4"/>
    <x v="6"/>
    <s v="energy"/>
    <x v="4"/>
    <s v="Neither"/>
    <n v="19"/>
    <n v="0"/>
    <n v="0"/>
    <n v="6.0260069774817635E-3"/>
    <n v="0"/>
    <n v="0"/>
    <n v="6.0260069774817635E-3"/>
    <n v="19"/>
  </r>
  <r>
    <x v="4"/>
    <x v="6"/>
    <s v="energy"/>
    <x v="5"/>
    <s v="Neither"/>
    <n v="4"/>
    <n v="0"/>
    <n v="0"/>
    <n v="3.0447193149381541E-3"/>
    <n v="0"/>
    <n v="0"/>
    <n v="3.0447193149381541E-3"/>
    <n v="4"/>
  </r>
  <r>
    <x v="4"/>
    <x v="7"/>
    <s v="mechanical"/>
    <x v="1"/>
    <s v="Neither"/>
    <n v="2"/>
    <n v="0"/>
    <n v="0"/>
    <n v="1.0666666666666667E-3"/>
    <n v="0"/>
    <n v="0"/>
    <n v="1.0666666666666667E-3"/>
    <n v="2"/>
  </r>
  <r>
    <x v="4"/>
    <x v="7"/>
    <s v="mechanical"/>
    <x v="2"/>
    <s v="Neither"/>
    <n v="7"/>
    <n v="0"/>
    <n v="0"/>
    <n v="3.0621172353455816E-3"/>
    <n v="0"/>
    <n v="0"/>
    <n v="3.0621172353455816E-3"/>
    <n v="7"/>
  </r>
  <r>
    <x v="4"/>
    <x v="7"/>
    <s v="mechanical"/>
    <x v="3"/>
    <s v="Neither"/>
    <n v="5"/>
    <n v="0"/>
    <n v="0"/>
    <n v="1.8635855385762206E-3"/>
    <n v="0"/>
    <n v="0"/>
    <n v="1.8635855385762206E-3"/>
    <n v="5"/>
  </r>
  <r>
    <x v="4"/>
    <x v="7"/>
    <s v="mechanical"/>
    <x v="4"/>
    <s v="Neither"/>
    <n v="4"/>
    <n v="0"/>
    <n v="0"/>
    <n v="1.2686330478908975E-3"/>
    <n v="0"/>
    <n v="0"/>
    <n v="1.2686330478908975E-3"/>
    <n v="4"/>
  </r>
  <r>
    <x v="4"/>
    <x v="7"/>
    <s v="mechanical"/>
    <x v="5"/>
    <s v="Neither"/>
    <n v="1"/>
    <n v="0"/>
    <n v="0"/>
    <n v="7.6117982873453852E-4"/>
    <n v="0"/>
    <n v="0"/>
    <n v="7.6117982873453852E-4"/>
    <n v="1"/>
  </r>
  <r>
    <x v="4"/>
    <x v="12"/>
    <s v="mechanical"/>
    <x v="2"/>
    <s v="Neither"/>
    <n v="6"/>
    <n v="0"/>
    <n v="0"/>
    <n v="2.6246719160104987E-3"/>
    <n v="0"/>
    <n v="0"/>
    <n v="2.6246719160104987E-3"/>
    <n v="6"/>
  </r>
  <r>
    <x v="4"/>
    <x v="12"/>
    <s v="mechanical"/>
    <x v="3"/>
    <s v="Neither"/>
    <n v="1"/>
    <n v="0"/>
    <n v="0"/>
    <n v="3.7271710771524412E-4"/>
    <n v="0"/>
    <n v="0"/>
    <n v="3.7271710771524412E-4"/>
    <n v="1"/>
  </r>
  <r>
    <x v="4"/>
    <x v="12"/>
    <s v="mechanical"/>
    <x v="4"/>
    <s v="Neither"/>
    <n v="6"/>
    <n v="0"/>
    <n v="0"/>
    <n v="1.9029495718363464E-3"/>
    <n v="0"/>
    <n v="0"/>
    <n v="1.9029495718363464E-3"/>
    <n v="6"/>
  </r>
  <r>
    <x v="4"/>
    <x v="12"/>
    <s v="mechanical"/>
    <x v="5"/>
    <s v="Neither"/>
    <n v="3"/>
    <n v="0"/>
    <n v="0"/>
    <n v="2.2835394862036158E-3"/>
    <n v="0"/>
    <n v="0"/>
    <n v="2.2835394862036158E-3"/>
    <n v="3"/>
  </r>
  <r>
    <x v="4"/>
    <x v="19"/>
    <s v="energy"/>
    <x v="1"/>
    <s v="Neither"/>
    <n v="2"/>
    <n v="0"/>
    <n v="0"/>
    <n v="1.0666666666666667E-3"/>
    <n v="0"/>
    <n v="0"/>
    <n v="1.0666666666666667E-3"/>
    <n v="2"/>
  </r>
  <r>
    <x v="4"/>
    <x v="19"/>
    <s v="energy"/>
    <x v="2"/>
    <s v="Neither"/>
    <n v="4"/>
    <n v="0"/>
    <n v="0"/>
    <n v="1.7497812773403325E-3"/>
    <n v="0"/>
    <n v="0"/>
    <n v="1.7497812773403325E-3"/>
    <n v="4"/>
  </r>
  <r>
    <x v="4"/>
    <x v="19"/>
    <s v="energy"/>
    <x v="3"/>
    <s v="Neither"/>
    <n v="1"/>
    <n v="0"/>
    <n v="0"/>
    <n v="3.7271710771524412E-4"/>
    <n v="0"/>
    <n v="0"/>
    <n v="3.7271710771524412E-4"/>
    <n v="1"/>
  </r>
  <r>
    <x v="4"/>
    <x v="19"/>
    <s v="energy"/>
    <x v="4"/>
    <s v="Neither"/>
    <n v="6"/>
    <n v="0"/>
    <n v="0"/>
    <n v="1.9029495718363464E-3"/>
    <n v="0"/>
    <n v="0"/>
    <n v="1.9029495718363464E-3"/>
    <n v="6"/>
  </r>
  <r>
    <x v="4"/>
    <x v="19"/>
    <s v="energy"/>
    <x v="5"/>
    <s v="Neither"/>
    <n v="2"/>
    <n v="0"/>
    <n v="0"/>
    <n v="1.522359657469077E-3"/>
    <n v="0"/>
    <n v="0"/>
    <n v="1.522359657469077E-3"/>
    <n v="2"/>
  </r>
  <r>
    <x v="4"/>
    <x v="17"/>
    <s v="energy"/>
    <x v="2"/>
    <s v="Injury"/>
    <n v="0"/>
    <n v="0"/>
    <n v="1"/>
    <n v="0"/>
    <n v="0"/>
    <n v="4.3744531933508313E-4"/>
    <n v="4.3744531933508313E-4"/>
    <n v="1"/>
  </r>
  <r>
    <x v="4"/>
    <x v="17"/>
    <s v="energy"/>
    <x v="3"/>
    <s v="Death"/>
    <n v="0"/>
    <n v="1"/>
    <n v="0"/>
    <n v="0"/>
    <n v="3.7271710771524412E-4"/>
    <n v="0"/>
    <n v="3.7271710771524412E-4"/>
    <n v="1"/>
  </r>
  <r>
    <x v="4"/>
    <x v="17"/>
    <s v="energy"/>
    <x v="3"/>
    <s v="Neither"/>
    <n v="1"/>
    <n v="0"/>
    <n v="0"/>
    <n v="3.7271710771524412E-4"/>
    <n v="0"/>
    <n v="0"/>
    <n v="3.7271710771524412E-4"/>
    <n v="1"/>
  </r>
  <r>
    <x v="4"/>
    <x v="17"/>
    <s v="energy"/>
    <x v="4"/>
    <s v="Neither"/>
    <n v="9"/>
    <n v="0"/>
    <n v="0"/>
    <n v="2.8544243577545195E-3"/>
    <n v="0"/>
    <n v="0"/>
    <n v="2.8544243577545195E-3"/>
    <n v="9"/>
  </r>
  <r>
    <x v="4"/>
    <x v="17"/>
    <s v="energy"/>
    <x v="5"/>
    <s v="Neither"/>
    <n v="3"/>
    <n v="0"/>
    <n v="0"/>
    <n v="2.2835394862036158E-3"/>
    <n v="0"/>
    <n v="0"/>
    <n v="2.2835394862036158E-3"/>
    <n v="3"/>
  </r>
  <r>
    <x v="4"/>
    <x v="30"/>
    <s v="system"/>
    <x v="1"/>
    <s v="Injury"/>
    <n v="0"/>
    <n v="0"/>
    <n v="1"/>
    <n v="0"/>
    <n v="0"/>
    <n v="5.3333333333333336E-4"/>
    <n v="5.3333333333333336E-4"/>
    <n v="1"/>
  </r>
  <r>
    <x v="4"/>
    <x v="30"/>
    <s v="system"/>
    <x v="1"/>
    <s v="Neither"/>
    <n v="2"/>
    <n v="0"/>
    <n v="0"/>
    <n v="1.0666666666666667E-3"/>
    <n v="0"/>
    <n v="0"/>
    <n v="1.0666666666666667E-3"/>
    <n v="2"/>
  </r>
  <r>
    <x v="4"/>
    <x v="30"/>
    <s v="system"/>
    <x v="2"/>
    <s v="Neither"/>
    <n v="5"/>
    <n v="0"/>
    <n v="0"/>
    <n v="2.1872265966754157E-3"/>
    <n v="0"/>
    <n v="0"/>
    <n v="2.1872265966754157E-3"/>
    <n v="5"/>
  </r>
  <r>
    <x v="4"/>
    <x v="30"/>
    <s v="system"/>
    <x v="3"/>
    <s v="Injury"/>
    <n v="0"/>
    <n v="0"/>
    <n v="1"/>
    <n v="0"/>
    <n v="0"/>
    <n v="3.7271710771524412E-4"/>
    <n v="3.7271710771524412E-4"/>
    <n v="1"/>
  </r>
  <r>
    <x v="4"/>
    <x v="30"/>
    <s v="system"/>
    <x v="4"/>
    <s v="Injury"/>
    <n v="0"/>
    <n v="0"/>
    <n v="2"/>
    <n v="0"/>
    <n v="0"/>
    <n v="6.3431652394544877E-4"/>
    <n v="6.3431652394544877E-4"/>
    <n v="2"/>
  </r>
  <r>
    <x v="4"/>
    <x v="30"/>
    <s v="system"/>
    <x v="5"/>
    <s v="Neither"/>
    <n v="2"/>
    <n v="0"/>
    <n v="0"/>
    <n v="1.522359657469077E-3"/>
    <n v="0"/>
    <n v="0"/>
    <n v="1.522359657469077E-3"/>
    <n v="2"/>
  </r>
  <r>
    <x v="4"/>
    <x v="13"/>
    <s v="energy"/>
    <x v="1"/>
    <s v="Neither"/>
    <n v="1"/>
    <n v="0"/>
    <n v="0"/>
    <n v="5.3333333333333336E-4"/>
    <n v="0"/>
    <n v="0"/>
    <n v="5.3333333333333336E-4"/>
    <n v="1"/>
  </r>
  <r>
    <x v="4"/>
    <x v="13"/>
    <s v="energy"/>
    <x v="2"/>
    <s v="Neither"/>
    <n v="1"/>
    <n v="0"/>
    <n v="0"/>
    <n v="4.3744531933508313E-4"/>
    <n v="0"/>
    <n v="0"/>
    <n v="4.3744531933508313E-4"/>
    <n v="1"/>
  </r>
  <r>
    <x v="4"/>
    <x v="13"/>
    <s v="energy"/>
    <x v="3"/>
    <s v="Neither"/>
    <n v="3"/>
    <n v="0"/>
    <n v="0"/>
    <n v="1.1181513231457323E-3"/>
    <n v="0"/>
    <n v="0"/>
    <n v="1.1181513231457323E-3"/>
    <n v="3"/>
  </r>
  <r>
    <x v="4"/>
    <x v="13"/>
    <s v="energy"/>
    <x v="4"/>
    <s v="Neither"/>
    <n v="4"/>
    <n v="0"/>
    <n v="0"/>
    <n v="1.2686330478908975E-3"/>
    <n v="0"/>
    <n v="0"/>
    <n v="1.2686330478908975E-3"/>
    <n v="4"/>
  </r>
  <r>
    <x v="4"/>
    <x v="13"/>
    <s v="energy"/>
    <x v="5"/>
    <s v="Injury"/>
    <n v="0"/>
    <n v="0"/>
    <n v="1"/>
    <n v="0"/>
    <n v="0"/>
    <n v="7.6117982873453852E-4"/>
    <n v="7.6117982873453852E-4"/>
    <n v="1"/>
  </r>
  <r>
    <x v="4"/>
    <x v="13"/>
    <s v="energy"/>
    <x v="5"/>
    <s v="Neither"/>
    <n v="2"/>
    <n v="0"/>
    <n v="0"/>
    <n v="1.522359657469077E-3"/>
    <n v="0"/>
    <n v="0"/>
    <n v="1.522359657469077E-3"/>
    <n v="2"/>
  </r>
  <r>
    <x v="4"/>
    <x v="24"/>
    <s v="energy"/>
    <x v="1"/>
    <s v="Neither"/>
    <n v="2"/>
    <n v="0"/>
    <n v="0"/>
    <n v="1.0666666666666667E-3"/>
    <n v="0"/>
    <n v="0"/>
    <n v="1.0666666666666667E-3"/>
    <n v="2"/>
  </r>
  <r>
    <x v="4"/>
    <x v="24"/>
    <s v="energy"/>
    <x v="2"/>
    <s v="Neither"/>
    <n v="1"/>
    <n v="0"/>
    <n v="0"/>
    <n v="4.3744531933508313E-4"/>
    <n v="0"/>
    <n v="0"/>
    <n v="4.3744531933508313E-4"/>
    <n v="1"/>
  </r>
  <r>
    <x v="4"/>
    <x v="24"/>
    <s v="energy"/>
    <x v="4"/>
    <s v="Neither"/>
    <n v="6"/>
    <n v="0"/>
    <n v="0"/>
    <n v="1.9029495718363464E-3"/>
    <n v="0"/>
    <n v="0"/>
    <n v="1.9029495718363464E-3"/>
    <n v="6"/>
  </r>
  <r>
    <x v="4"/>
    <x v="24"/>
    <s v="energy"/>
    <x v="5"/>
    <s v="Neither"/>
    <n v="1"/>
    <n v="0"/>
    <n v="0"/>
    <n v="7.6117982873453852E-4"/>
    <n v="0"/>
    <n v="0"/>
    <n v="7.6117982873453852E-4"/>
    <n v="1"/>
  </r>
  <r>
    <x v="4"/>
    <x v="0"/>
    <s v="energy"/>
    <x v="1"/>
    <s v="Injury"/>
    <n v="0"/>
    <n v="0"/>
    <n v="1"/>
    <n v="0"/>
    <n v="0"/>
    <n v="5.3333333333333336E-4"/>
    <n v="5.3333333333333336E-4"/>
    <n v="1"/>
  </r>
  <r>
    <x v="4"/>
    <x v="0"/>
    <s v="energy"/>
    <x v="2"/>
    <s v="Injury"/>
    <n v="0"/>
    <n v="0"/>
    <n v="2"/>
    <n v="0"/>
    <n v="0"/>
    <n v="8.7489063867016625E-4"/>
    <n v="8.7489063867016625E-4"/>
    <n v="2"/>
  </r>
  <r>
    <x v="4"/>
    <x v="0"/>
    <s v="energy"/>
    <x v="2"/>
    <s v="Neither"/>
    <n v="7"/>
    <n v="0"/>
    <n v="0"/>
    <n v="3.0621172353455816E-3"/>
    <n v="0"/>
    <n v="0"/>
    <n v="3.0621172353455816E-3"/>
    <n v="7"/>
  </r>
  <r>
    <x v="4"/>
    <x v="21"/>
    <s v="system"/>
    <x v="1"/>
    <s v="Injury"/>
    <n v="0"/>
    <n v="0"/>
    <n v="1"/>
    <n v="0"/>
    <n v="0"/>
    <n v="5.3333333333333336E-4"/>
    <n v="5.3333333333333336E-4"/>
    <n v="1"/>
  </r>
  <r>
    <x v="4"/>
    <x v="21"/>
    <s v="system"/>
    <x v="1"/>
    <s v="Neither"/>
    <n v="1"/>
    <n v="0"/>
    <n v="0"/>
    <n v="5.3333333333333336E-4"/>
    <n v="0"/>
    <n v="0"/>
    <n v="5.3333333333333336E-4"/>
    <n v="1"/>
  </r>
  <r>
    <x v="4"/>
    <x v="21"/>
    <s v="system"/>
    <x v="2"/>
    <s v="Neither"/>
    <n v="1"/>
    <n v="0"/>
    <n v="0"/>
    <n v="4.3744531933508313E-4"/>
    <n v="0"/>
    <n v="0"/>
    <n v="4.3744531933508313E-4"/>
    <n v="1"/>
  </r>
  <r>
    <x v="4"/>
    <x v="21"/>
    <s v="system"/>
    <x v="3"/>
    <s v="Neither"/>
    <n v="1"/>
    <n v="0"/>
    <n v="0"/>
    <n v="3.7271710771524412E-4"/>
    <n v="0"/>
    <n v="0"/>
    <n v="3.7271710771524412E-4"/>
    <n v="1"/>
  </r>
  <r>
    <x v="4"/>
    <x v="21"/>
    <s v="system"/>
    <x v="4"/>
    <s v="Neither"/>
    <n v="3"/>
    <n v="0"/>
    <n v="0"/>
    <n v="9.5147478591817321E-4"/>
    <n v="0"/>
    <n v="0"/>
    <n v="9.5147478591817321E-4"/>
    <n v="3"/>
  </r>
  <r>
    <x v="4"/>
    <x v="18"/>
    <s v="accessory"/>
    <x v="1"/>
    <s v="Neither"/>
    <n v="2"/>
    <n v="0"/>
    <n v="0"/>
    <n v="1.0666666666666667E-3"/>
    <n v="0"/>
    <n v="0"/>
    <n v="1.0666666666666667E-3"/>
    <n v="2"/>
  </r>
  <r>
    <x v="4"/>
    <x v="18"/>
    <s v="accessory"/>
    <x v="2"/>
    <s v="Neither"/>
    <n v="1"/>
    <n v="0"/>
    <n v="0"/>
    <n v="4.3744531933508313E-4"/>
    <n v="0"/>
    <n v="0"/>
    <n v="4.3744531933508313E-4"/>
    <n v="1"/>
  </r>
  <r>
    <x v="4"/>
    <x v="18"/>
    <s v="accessory"/>
    <x v="4"/>
    <s v="Injury"/>
    <n v="0"/>
    <n v="0"/>
    <n v="1"/>
    <n v="0"/>
    <n v="0"/>
    <n v="3.1715826197272439E-4"/>
    <n v="3.1715826197272439E-4"/>
    <n v="1"/>
  </r>
  <r>
    <x v="4"/>
    <x v="18"/>
    <s v="accessory"/>
    <x v="5"/>
    <s v="Neither"/>
    <n v="2"/>
    <n v="0"/>
    <n v="0"/>
    <n v="1.522359657469077E-3"/>
    <n v="0"/>
    <n v="0"/>
    <n v="1.522359657469077E-3"/>
    <n v="2"/>
  </r>
  <r>
    <x v="4"/>
    <x v="10"/>
    <s v="mechanical"/>
    <x v="3"/>
    <s v="Neither"/>
    <n v="2"/>
    <n v="0"/>
    <n v="0"/>
    <n v="7.4543421543048823E-4"/>
    <n v="0"/>
    <n v="0"/>
    <n v="7.4543421543048823E-4"/>
    <n v="2"/>
  </r>
  <r>
    <x v="4"/>
    <x v="10"/>
    <s v="mechanical"/>
    <x v="4"/>
    <s v="Neither"/>
    <n v="4"/>
    <n v="0"/>
    <n v="0"/>
    <n v="1.2686330478908975E-3"/>
    <n v="0"/>
    <n v="0"/>
    <n v="1.2686330478908975E-3"/>
    <n v="4"/>
  </r>
  <r>
    <x v="4"/>
    <x v="25"/>
    <s v="mechanical"/>
    <x v="2"/>
    <s v="Neither"/>
    <n v="2"/>
    <n v="0"/>
    <n v="0"/>
    <n v="8.7489063867016625E-4"/>
    <n v="0"/>
    <n v="0"/>
    <n v="8.7489063867016625E-4"/>
    <n v="2"/>
  </r>
  <r>
    <x v="4"/>
    <x v="25"/>
    <s v="mechanical"/>
    <x v="3"/>
    <s v="Neither"/>
    <n v="3"/>
    <n v="0"/>
    <n v="0"/>
    <n v="1.1181513231457323E-3"/>
    <n v="0"/>
    <n v="0"/>
    <n v="1.1181513231457323E-3"/>
    <n v="3"/>
  </r>
  <r>
    <x v="4"/>
    <x v="25"/>
    <s v="mechanical"/>
    <x v="4"/>
    <s v="Neither"/>
    <n v="1"/>
    <n v="0"/>
    <n v="0"/>
    <n v="3.1715826197272439E-4"/>
    <n v="0"/>
    <n v="0"/>
    <n v="3.1715826197272439E-4"/>
    <n v="1"/>
  </r>
  <r>
    <x v="4"/>
    <x v="26"/>
    <s v="energy"/>
    <x v="2"/>
    <s v="Neither"/>
    <n v="3"/>
    <n v="0"/>
    <n v="0"/>
    <n v="1.3123359580052493E-3"/>
    <n v="0"/>
    <n v="0"/>
    <n v="1.3123359580052493E-3"/>
    <n v="3"/>
  </r>
  <r>
    <x v="4"/>
    <x v="26"/>
    <s v="energy"/>
    <x v="5"/>
    <s v="Neither"/>
    <n v="1"/>
    <n v="0"/>
    <n v="0"/>
    <n v="7.6117982873453852E-4"/>
    <n v="0"/>
    <n v="0"/>
    <n v="7.6117982873453852E-4"/>
    <n v="1"/>
  </r>
  <r>
    <x v="4"/>
    <x v="28"/>
    <s v="energy"/>
    <x v="2"/>
    <s v="Neither"/>
    <n v="1"/>
    <n v="0"/>
    <n v="0"/>
    <n v="4.3744531933508313E-4"/>
    <n v="0"/>
    <n v="0"/>
    <n v="4.3744531933508313E-4"/>
    <n v="1"/>
  </r>
  <r>
    <x v="5"/>
    <x v="1"/>
    <s v="energy"/>
    <x v="0"/>
    <s v="Injury"/>
    <n v="0"/>
    <n v="0"/>
    <n v="1"/>
    <n v="0"/>
    <n v="0"/>
    <n v="6.2735257214554575E-4"/>
    <n v="6.2735257214554575E-4"/>
    <n v="1"/>
  </r>
  <r>
    <x v="5"/>
    <x v="1"/>
    <s v="energy"/>
    <x v="0"/>
    <s v="Neither"/>
    <n v="141"/>
    <n v="0"/>
    <n v="0"/>
    <n v="8.8456712672521962E-2"/>
    <n v="0"/>
    <n v="0"/>
    <n v="8.8456712672521962E-2"/>
    <n v="141"/>
  </r>
  <r>
    <x v="5"/>
    <x v="1"/>
    <s v="energy"/>
    <x v="1"/>
    <s v="Injury"/>
    <n v="0"/>
    <n v="0"/>
    <n v="2"/>
    <n v="0"/>
    <n v="0"/>
    <n v="1.0666666666666667E-3"/>
    <n v="1.0666666666666667E-3"/>
    <n v="2"/>
  </r>
  <r>
    <x v="5"/>
    <x v="1"/>
    <s v="energy"/>
    <x v="1"/>
    <s v="Neither"/>
    <n v="139"/>
    <n v="0"/>
    <n v="0"/>
    <n v="7.4133333333333329E-2"/>
    <n v="0"/>
    <n v="0"/>
    <n v="7.4133333333333329E-2"/>
    <n v="139"/>
  </r>
  <r>
    <x v="5"/>
    <x v="1"/>
    <s v="energy"/>
    <x v="2"/>
    <s v="Injury"/>
    <n v="0"/>
    <n v="0"/>
    <n v="2"/>
    <n v="0"/>
    <n v="0"/>
    <n v="8.7489063867016625E-4"/>
    <n v="8.7489063867016625E-4"/>
    <n v="2"/>
  </r>
  <r>
    <x v="5"/>
    <x v="1"/>
    <s v="energy"/>
    <x v="2"/>
    <s v="Neither"/>
    <n v="176"/>
    <n v="0"/>
    <n v="0"/>
    <n v="7.6990376202974622E-2"/>
    <n v="0"/>
    <n v="0"/>
    <n v="7.6990376202974622E-2"/>
    <n v="176"/>
  </r>
  <r>
    <x v="5"/>
    <x v="1"/>
    <s v="energy"/>
    <x v="3"/>
    <s v="Injury"/>
    <n v="0"/>
    <n v="0"/>
    <n v="1"/>
    <n v="0"/>
    <n v="0"/>
    <n v="3.7271710771524412E-4"/>
    <n v="3.7271710771524412E-4"/>
    <n v="1"/>
  </r>
  <r>
    <x v="5"/>
    <x v="1"/>
    <s v="energy"/>
    <x v="3"/>
    <s v="Neither"/>
    <n v="261"/>
    <n v="0"/>
    <n v="0"/>
    <n v="9.727916511367872E-2"/>
    <n v="0"/>
    <n v="0"/>
    <n v="9.727916511367872E-2"/>
    <n v="261"/>
  </r>
  <r>
    <x v="5"/>
    <x v="1"/>
    <s v="energy"/>
    <x v="4"/>
    <s v="Injury"/>
    <n v="0"/>
    <n v="0"/>
    <n v="9"/>
    <n v="0"/>
    <n v="0"/>
    <n v="2.8544243577545195E-3"/>
    <n v="2.8544243577545195E-3"/>
    <n v="9"/>
  </r>
  <r>
    <x v="5"/>
    <x v="1"/>
    <s v="energy"/>
    <x v="4"/>
    <s v="Neither"/>
    <n v="7516"/>
    <n v="0"/>
    <n v="0"/>
    <n v="2.3837614969869967"/>
    <n v="0"/>
    <n v="0"/>
    <n v="2.3837614969869967"/>
    <n v="7516"/>
  </r>
  <r>
    <x v="5"/>
    <x v="1"/>
    <s v="energy"/>
    <x v="5"/>
    <s v="Injury"/>
    <n v="0"/>
    <n v="0"/>
    <n v="3"/>
    <n v="0"/>
    <n v="0"/>
    <n v="2.2835394862036158E-3"/>
    <n v="2.2835394862036158E-3"/>
    <n v="3"/>
  </r>
  <r>
    <x v="5"/>
    <x v="1"/>
    <s v="energy"/>
    <x v="5"/>
    <s v="Neither"/>
    <n v="3182"/>
    <n v="0"/>
    <n v="0"/>
    <n v="2.4220742150333017"/>
    <n v="0"/>
    <n v="0"/>
    <n v="2.4220742150333017"/>
    <n v="3182"/>
  </r>
  <r>
    <x v="5"/>
    <x v="5"/>
    <s v="energy"/>
    <x v="0"/>
    <s v="Injury"/>
    <n v="0"/>
    <n v="0"/>
    <n v="1"/>
    <n v="0"/>
    <n v="0"/>
    <n v="6.2735257214554575E-4"/>
    <n v="6.2735257214554575E-4"/>
    <n v="1"/>
  </r>
  <r>
    <x v="5"/>
    <x v="5"/>
    <s v="energy"/>
    <x v="0"/>
    <s v="Neither"/>
    <n v="6"/>
    <n v="0"/>
    <n v="0"/>
    <n v="3.7641154328732747E-3"/>
    <n v="0"/>
    <n v="0"/>
    <n v="3.7641154328732747E-3"/>
    <n v="6"/>
  </r>
  <r>
    <x v="5"/>
    <x v="5"/>
    <s v="energy"/>
    <x v="1"/>
    <s v="Neither"/>
    <n v="11"/>
    <n v="0"/>
    <n v="0"/>
    <n v="5.8666666666666667E-3"/>
    <n v="0"/>
    <n v="0"/>
    <n v="5.8666666666666667E-3"/>
    <n v="11"/>
  </r>
  <r>
    <x v="5"/>
    <x v="5"/>
    <s v="energy"/>
    <x v="2"/>
    <s v="Neither"/>
    <n v="14"/>
    <n v="0"/>
    <n v="0"/>
    <n v="6.1242344706911632E-3"/>
    <n v="0"/>
    <n v="0"/>
    <n v="6.1242344706911632E-3"/>
    <n v="14"/>
  </r>
  <r>
    <x v="5"/>
    <x v="5"/>
    <s v="energy"/>
    <x v="3"/>
    <s v="Injury"/>
    <n v="0"/>
    <n v="0"/>
    <n v="2"/>
    <n v="0"/>
    <n v="0"/>
    <n v="7.4543421543048823E-4"/>
    <n v="7.4543421543048823E-4"/>
    <n v="2"/>
  </r>
  <r>
    <x v="5"/>
    <x v="5"/>
    <s v="energy"/>
    <x v="3"/>
    <s v="Neither"/>
    <n v="48"/>
    <n v="0"/>
    <n v="0"/>
    <n v="1.7890421170331718E-2"/>
    <n v="0"/>
    <n v="0"/>
    <n v="1.7890421170331718E-2"/>
    <n v="48"/>
  </r>
  <r>
    <x v="5"/>
    <x v="5"/>
    <s v="energy"/>
    <x v="4"/>
    <s v="Injury"/>
    <n v="0"/>
    <n v="0"/>
    <n v="4"/>
    <n v="0"/>
    <n v="0"/>
    <n v="1.2686330478908975E-3"/>
    <n v="1.2686330478908975E-3"/>
    <n v="4"/>
  </r>
  <r>
    <x v="5"/>
    <x v="5"/>
    <s v="energy"/>
    <x v="4"/>
    <s v="Neither"/>
    <n v="5670"/>
    <n v="0"/>
    <n v="0"/>
    <n v="1.7982873453853472"/>
    <n v="0"/>
    <n v="0"/>
    <n v="1.7982873453853472"/>
    <n v="5670"/>
  </r>
  <r>
    <x v="5"/>
    <x v="5"/>
    <s v="energy"/>
    <x v="5"/>
    <s v="Injury"/>
    <n v="0"/>
    <n v="0"/>
    <n v="4"/>
    <n v="0"/>
    <n v="0"/>
    <n v="3.0447193149381541E-3"/>
    <n v="3.0447193149381541E-3"/>
    <n v="4"/>
  </r>
  <r>
    <x v="5"/>
    <x v="5"/>
    <s v="energy"/>
    <x v="5"/>
    <s v="Neither"/>
    <n v="2918"/>
    <n v="0"/>
    <n v="0"/>
    <n v="2.2211227402473837"/>
    <n v="0"/>
    <n v="0"/>
    <n v="2.2211227402473837"/>
    <n v="2918"/>
  </r>
  <r>
    <x v="5"/>
    <x v="2"/>
    <s v="mechanical"/>
    <x v="1"/>
    <s v="Neither"/>
    <n v="2"/>
    <n v="0"/>
    <n v="0"/>
    <n v="1.0666666666666667E-3"/>
    <n v="0"/>
    <n v="0"/>
    <n v="1.0666666666666667E-3"/>
    <n v="2"/>
  </r>
  <r>
    <x v="5"/>
    <x v="2"/>
    <s v="mechanical"/>
    <x v="2"/>
    <s v="Injury"/>
    <n v="0"/>
    <n v="0"/>
    <n v="1"/>
    <n v="0"/>
    <n v="0"/>
    <n v="4.3744531933508313E-4"/>
    <n v="4.3744531933508313E-4"/>
    <n v="1"/>
  </r>
  <r>
    <x v="5"/>
    <x v="2"/>
    <s v="mechanical"/>
    <x v="2"/>
    <s v="Neither"/>
    <n v="3"/>
    <n v="0"/>
    <n v="0"/>
    <n v="1.3123359580052493E-3"/>
    <n v="0"/>
    <n v="0"/>
    <n v="1.3123359580052493E-3"/>
    <n v="3"/>
  </r>
  <r>
    <x v="5"/>
    <x v="2"/>
    <s v="mechanical"/>
    <x v="3"/>
    <s v="Injury"/>
    <n v="0"/>
    <n v="0"/>
    <n v="1"/>
    <n v="0"/>
    <n v="0"/>
    <n v="3.7271710771524412E-4"/>
    <n v="3.7271710771524412E-4"/>
    <n v="1"/>
  </r>
  <r>
    <x v="5"/>
    <x v="2"/>
    <s v="mechanical"/>
    <x v="3"/>
    <s v="Neither"/>
    <n v="3"/>
    <n v="0"/>
    <n v="0"/>
    <n v="1.1181513231457323E-3"/>
    <n v="0"/>
    <n v="0"/>
    <n v="1.1181513231457323E-3"/>
    <n v="3"/>
  </r>
  <r>
    <x v="5"/>
    <x v="2"/>
    <s v="mechanical"/>
    <x v="4"/>
    <s v="Injury"/>
    <n v="0"/>
    <n v="0"/>
    <n v="10"/>
    <n v="0"/>
    <n v="0"/>
    <n v="3.171582619727244E-3"/>
    <n v="3.171582619727244E-3"/>
    <n v="10"/>
  </r>
  <r>
    <x v="5"/>
    <x v="2"/>
    <s v="mechanical"/>
    <x v="4"/>
    <s v="Neither"/>
    <n v="3747"/>
    <n v="0"/>
    <n v="0"/>
    <n v="1.1883920076117982"/>
    <n v="0"/>
    <n v="0"/>
    <n v="1.1883920076117982"/>
    <n v="3747"/>
  </r>
  <r>
    <x v="5"/>
    <x v="2"/>
    <s v="mechanical"/>
    <x v="5"/>
    <s v="Injury"/>
    <n v="0"/>
    <n v="0"/>
    <n v="8"/>
    <n v="0"/>
    <n v="0"/>
    <n v="6.0894386298763082E-3"/>
    <n v="6.0894386298763082E-3"/>
    <n v="8"/>
  </r>
  <r>
    <x v="5"/>
    <x v="2"/>
    <s v="mechanical"/>
    <x v="5"/>
    <s v="Neither"/>
    <n v="1805"/>
    <n v="0"/>
    <n v="0"/>
    <n v="1.373929590865842"/>
    <n v="0"/>
    <n v="0"/>
    <n v="1.373929590865842"/>
    <n v="1805"/>
  </r>
  <r>
    <x v="5"/>
    <x v="9"/>
    <s v="energy"/>
    <x v="0"/>
    <s v="Neither"/>
    <n v="54"/>
    <n v="0"/>
    <n v="0"/>
    <n v="3.3877038895859475E-2"/>
    <n v="0"/>
    <n v="0"/>
    <n v="3.3877038895859475E-2"/>
    <n v="54"/>
  </r>
  <r>
    <x v="5"/>
    <x v="9"/>
    <s v="energy"/>
    <x v="1"/>
    <s v="Neither"/>
    <n v="65"/>
    <n v="0"/>
    <n v="0"/>
    <n v="3.4666666666666665E-2"/>
    <n v="0"/>
    <n v="0"/>
    <n v="3.4666666666666665E-2"/>
    <n v="65"/>
  </r>
  <r>
    <x v="5"/>
    <x v="9"/>
    <s v="energy"/>
    <x v="2"/>
    <s v="Neither"/>
    <n v="97"/>
    <n v="0"/>
    <n v="0"/>
    <n v="4.2432195975503059E-2"/>
    <n v="0"/>
    <n v="0"/>
    <n v="4.2432195975503059E-2"/>
    <n v="97"/>
  </r>
  <r>
    <x v="5"/>
    <x v="9"/>
    <s v="energy"/>
    <x v="3"/>
    <s v="Neither"/>
    <n v="108"/>
    <n v="0"/>
    <n v="0"/>
    <n v="4.0253447633246363E-2"/>
    <n v="0"/>
    <n v="0"/>
    <n v="4.0253447633246363E-2"/>
    <n v="108"/>
  </r>
  <r>
    <x v="5"/>
    <x v="9"/>
    <s v="energy"/>
    <x v="4"/>
    <s v="Injury"/>
    <n v="0"/>
    <n v="0"/>
    <n v="4"/>
    <n v="0"/>
    <n v="0"/>
    <n v="1.2686330478908975E-3"/>
    <n v="1.2686330478908975E-3"/>
    <n v="4"/>
  </r>
  <r>
    <x v="5"/>
    <x v="9"/>
    <s v="energy"/>
    <x v="4"/>
    <s v="Neither"/>
    <n v="2998"/>
    <n v="0"/>
    <n v="0"/>
    <n v="0.95084046939422773"/>
    <n v="0"/>
    <n v="0"/>
    <n v="0.95084046939422773"/>
    <n v="2998"/>
  </r>
  <r>
    <x v="5"/>
    <x v="9"/>
    <s v="energy"/>
    <x v="5"/>
    <s v="Neither"/>
    <n v="1056"/>
    <n v="0"/>
    <n v="0"/>
    <n v="0.80380589914367273"/>
    <n v="0"/>
    <n v="0"/>
    <n v="0.80380589914367273"/>
    <n v="1056"/>
  </r>
  <r>
    <x v="5"/>
    <x v="4"/>
    <s v="mechanical"/>
    <x v="1"/>
    <s v="Neither"/>
    <n v="2"/>
    <n v="0"/>
    <n v="0"/>
    <n v="1.0666666666666667E-3"/>
    <n v="0"/>
    <n v="0"/>
    <n v="1.0666666666666667E-3"/>
    <n v="2"/>
  </r>
  <r>
    <x v="5"/>
    <x v="4"/>
    <s v="mechanical"/>
    <x v="2"/>
    <s v="Neither"/>
    <n v="17"/>
    <n v="0"/>
    <n v="0"/>
    <n v="7.4365704286964126E-3"/>
    <n v="0"/>
    <n v="0"/>
    <n v="7.4365704286964126E-3"/>
    <n v="17"/>
  </r>
  <r>
    <x v="5"/>
    <x v="4"/>
    <s v="mechanical"/>
    <x v="3"/>
    <s v="Neither"/>
    <n v="47"/>
    <n v="0"/>
    <n v="0"/>
    <n v="1.7517704062616473E-2"/>
    <n v="0"/>
    <n v="0"/>
    <n v="1.7517704062616473E-2"/>
    <n v="47"/>
  </r>
  <r>
    <x v="5"/>
    <x v="4"/>
    <s v="mechanical"/>
    <x v="4"/>
    <s v="Injury"/>
    <n v="0"/>
    <n v="0"/>
    <n v="4"/>
    <n v="0"/>
    <n v="0"/>
    <n v="1.2686330478908975E-3"/>
    <n v="1.2686330478908975E-3"/>
    <n v="4"/>
  </r>
  <r>
    <x v="5"/>
    <x v="4"/>
    <s v="mechanical"/>
    <x v="4"/>
    <s v="Neither"/>
    <n v="2368"/>
    <n v="0"/>
    <n v="0"/>
    <n v="0.75103076435141136"/>
    <n v="0"/>
    <n v="0"/>
    <n v="0.75103076435141136"/>
    <n v="2368"/>
  </r>
  <r>
    <x v="5"/>
    <x v="4"/>
    <s v="mechanical"/>
    <x v="5"/>
    <s v="Injury"/>
    <n v="0"/>
    <n v="0"/>
    <n v="4"/>
    <n v="0"/>
    <n v="0"/>
    <n v="3.0447193149381541E-3"/>
    <n v="3.0447193149381541E-3"/>
    <n v="4"/>
  </r>
  <r>
    <x v="5"/>
    <x v="4"/>
    <s v="mechanical"/>
    <x v="5"/>
    <s v="Neither"/>
    <n v="1228"/>
    <n v="0"/>
    <n v="0"/>
    <n v="0.93472882968601334"/>
    <n v="0"/>
    <n v="0"/>
    <n v="0.93472882968601334"/>
    <n v="1228"/>
  </r>
  <r>
    <x v="5"/>
    <x v="11"/>
    <s v="mechanical"/>
    <x v="1"/>
    <s v="Injury"/>
    <n v="0"/>
    <n v="0"/>
    <n v="1"/>
    <n v="0"/>
    <n v="0"/>
    <n v="5.3333333333333336E-4"/>
    <n v="5.3333333333333336E-4"/>
    <n v="1"/>
  </r>
  <r>
    <x v="5"/>
    <x v="11"/>
    <s v="mechanical"/>
    <x v="3"/>
    <s v="Neither"/>
    <n v="2"/>
    <n v="0"/>
    <n v="0"/>
    <n v="7.4543421543048823E-4"/>
    <n v="0"/>
    <n v="0"/>
    <n v="7.4543421543048823E-4"/>
    <n v="2"/>
  </r>
  <r>
    <x v="5"/>
    <x v="11"/>
    <s v="mechanical"/>
    <x v="4"/>
    <s v="Injury"/>
    <n v="0"/>
    <n v="0"/>
    <n v="4"/>
    <n v="0"/>
    <n v="0"/>
    <n v="1.2686330478908975E-3"/>
    <n v="1.2686330478908975E-3"/>
    <n v="4"/>
  </r>
  <r>
    <x v="5"/>
    <x v="11"/>
    <s v="mechanical"/>
    <x v="4"/>
    <s v="Neither"/>
    <n v="1030"/>
    <n v="0"/>
    <n v="0"/>
    <n v="0.32667300983190611"/>
    <n v="0"/>
    <n v="0"/>
    <n v="0.32667300983190611"/>
    <n v="1030"/>
  </r>
  <r>
    <x v="5"/>
    <x v="11"/>
    <s v="mechanical"/>
    <x v="5"/>
    <s v="Injury"/>
    <n v="0"/>
    <n v="0"/>
    <n v="3"/>
    <n v="0"/>
    <n v="0"/>
    <n v="2.2835394862036158E-3"/>
    <n v="2.2835394862036158E-3"/>
    <n v="3"/>
  </r>
  <r>
    <x v="5"/>
    <x v="11"/>
    <s v="mechanical"/>
    <x v="5"/>
    <s v="Neither"/>
    <n v="499"/>
    <n v="0"/>
    <n v="0"/>
    <n v="0.37982873453853472"/>
    <n v="0"/>
    <n v="0"/>
    <n v="0.37982873453853472"/>
    <n v="499"/>
  </r>
  <r>
    <x v="5"/>
    <x v="3"/>
    <s v="energy"/>
    <x v="0"/>
    <s v="Injury"/>
    <n v="0"/>
    <n v="0"/>
    <n v="1"/>
    <n v="0"/>
    <n v="0"/>
    <n v="6.2735257214554575E-4"/>
    <n v="6.2735257214554575E-4"/>
    <n v="1"/>
  </r>
  <r>
    <x v="5"/>
    <x v="3"/>
    <s v="energy"/>
    <x v="0"/>
    <s v="Neither"/>
    <n v="27"/>
    <n v="0"/>
    <n v="0"/>
    <n v="1.6938519447929738E-2"/>
    <n v="0"/>
    <n v="0"/>
    <n v="1.6938519447929738E-2"/>
    <n v="27"/>
  </r>
  <r>
    <x v="5"/>
    <x v="3"/>
    <s v="energy"/>
    <x v="1"/>
    <s v="Injury"/>
    <n v="0"/>
    <n v="0"/>
    <n v="1"/>
    <n v="0"/>
    <n v="0"/>
    <n v="5.3333333333333336E-4"/>
    <n v="5.3333333333333336E-4"/>
    <n v="1"/>
  </r>
  <r>
    <x v="5"/>
    <x v="3"/>
    <s v="energy"/>
    <x v="1"/>
    <s v="Neither"/>
    <n v="18"/>
    <n v="0"/>
    <n v="0"/>
    <n v="9.5999999999999992E-3"/>
    <n v="0"/>
    <n v="0"/>
    <n v="9.5999999999999992E-3"/>
    <n v="18"/>
  </r>
  <r>
    <x v="5"/>
    <x v="3"/>
    <s v="energy"/>
    <x v="2"/>
    <s v="Injury"/>
    <n v="0"/>
    <n v="0"/>
    <n v="3"/>
    <n v="0"/>
    <n v="0"/>
    <n v="1.3123359580052493E-3"/>
    <n v="1.3123359580052493E-3"/>
    <n v="3"/>
  </r>
  <r>
    <x v="5"/>
    <x v="3"/>
    <s v="energy"/>
    <x v="2"/>
    <s v="Neither"/>
    <n v="46"/>
    <n v="0"/>
    <n v="0"/>
    <n v="2.0122484689413824E-2"/>
    <n v="0"/>
    <n v="0"/>
    <n v="2.0122484689413824E-2"/>
    <n v="46"/>
  </r>
  <r>
    <x v="5"/>
    <x v="3"/>
    <s v="energy"/>
    <x v="3"/>
    <s v="Injury"/>
    <n v="0"/>
    <n v="0"/>
    <n v="2"/>
    <n v="0"/>
    <n v="0"/>
    <n v="7.4543421543048823E-4"/>
    <n v="7.4543421543048823E-4"/>
    <n v="2"/>
  </r>
  <r>
    <x v="5"/>
    <x v="3"/>
    <s v="energy"/>
    <x v="3"/>
    <s v="Neither"/>
    <n v="33"/>
    <n v="0"/>
    <n v="0"/>
    <n v="1.2299664554603056E-2"/>
    <n v="0"/>
    <n v="0"/>
    <n v="1.2299664554603056E-2"/>
    <n v="33"/>
  </r>
  <r>
    <x v="5"/>
    <x v="3"/>
    <s v="energy"/>
    <x v="4"/>
    <s v="Injury"/>
    <n v="0"/>
    <n v="0"/>
    <n v="9"/>
    <n v="0"/>
    <n v="0"/>
    <n v="2.8544243577545195E-3"/>
    <n v="2.8544243577545195E-3"/>
    <n v="9"/>
  </r>
  <r>
    <x v="5"/>
    <x v="3"/>
    <s v="energy"/>
    <x v="4"/>
    <s v="Neither"/>
    <n v="794"/>
    <n v="0"/>
    <n v="0"/>
    <n v="0.25182366000634315"/>
    <n v="0"/>
    <n v="0"/>
    <n v="0.25182366000634315"/>
    <n v="794"/>
  </r>
  <r>
    <x v="5"/>
    <x v="3"/>
    <s v="energy"/>
    <x v="5"/>
    <s v="Injury"/>
    <n v="0"/>
    <n v="0"/>
    <n v="5"/>
    <n v="0"/>
    <n v="0"/>
    <n v="3.8058991436726928E-3"/>
    <n v="3.8058991436726928E-3"/>
    <n v="5"/>
  </r>
  <r>
    <x v="5"/>
    <x v="3"/>
    <s v="energy"/>
    <x v="5"/>
    <s v="Neither"/>
    <n v="407"/>
    <n v="0"/>
    <n v="0"/>
    <n v="0.3098001902949572"/>
    <n v="0"/>
    <n v="0"/>
    <n v="0.3098001902949572"/>
    <n v="407"/>
  </r>
  <r>
    <x v="5"/>
    <x v="12"/>
    <s v="mechanical"/>
    <x v="1"/>
    <s v="Neither"/>
    <n v="1"/>
    <n v="0"/>
    <n v="0"/>
    <n v="5.3333333333333336E-4"/>
    <n v="0"/>
    <n v="0"/>
    <n v="5.3333333333333336E-4"/>
    <n v="1"/>
  </r>
  <r>
    <x v="5"/>
    <x v="12"/>
    <s v="mechanical"/>
    <x v="2"/>
    <s v="Neither"/>
    <n v="1"/>
    <n v="0"/>
    <n v="0"/>
    <n v="4.3744531933508313E-4"/>
    <n v="0"/>
    <n v="0"/>
    <n v="4.3744531933508313E-4"/>
    <n v="1"/>
  </r>
  <r>
    <x v="5"/>
    <x v="12"/>
    <s v="mechanical"/>
    <x v="3"/>
    <s v="Neither"/>
    <n v="1"/>
    <n v="0"/>
    <n v="0"/>
    <n v="3.7271710771524412E-4"/>
    <n v="0"/>
    <n v="0"/>
    <n v="3.7271710771524412E-4"/>
    <n v="1"/>
  </r>
  <r>
    <x v="5"/>
    <x v="12"/>
    <s v="mechanical"/>
    <x v="4"/>
    <s v="Injury"/>
    <n v="0"/>
    <n v="0"/>
    <n v="1"/>
    <n v="0"/>
    <n v="0"/>
    <n v="3.1715826197272439E-4"/>
    <n v="3.1715826197272439E-4"/>
    <n v="1"/>
  </r>
  <r>
    <x v="5"/>
    <x v="12"/>
    <s v="mechanical"/>
    <x v="4"/>
    <s v="Neither"/>
    <n v="579"/>
    <n v="0"/>
    <n v="0"/>
    <n v="0.18363463368220742"/>
    <n v="0"/>
    <n v="0"/>
    <n v="0.18363463368220742"/>
    <n v="579"/>
  </r>
  <r>
    <x v="5"/>
    <x v="12"/>
    <s v="mechanical"/>
    <x v="5"/>
    <s v="Neither"/>
    <n v="359"/>
    <n v="0"/>
    <n v="0"/>
    <n v="0.27326355851569933"/>
    <n v="0"/>
    <n v="0"/>
    <n v="0.27326355851569933"/>
    <n v="359"/>
  </r>
  <r>
    <x v="5"/>
    <x v="19"/>
    <s v="energy"/>
    <x v="0"/>
    <s v="Neither"/>
    <n v="8"/>
    <n v="0"/>
    <n v="0"/>
    <n v="5.018820577164366E-3"/>
    <n v="0"/>
    <n v="0"/>
    <n v="5.018820577164366E-3"/>
    <n v="8"/>
  </r>
  <r>
    <x v="5"/>
    <x v="19"/>
    <s v="energy"/>
    <x v="1"/>
    <s v="Neither"/>
    <n v="9"/>
    <n v="0"/>
    <n v="0"/>
    <n v="4.7999999999999996E-3"/>
    <n v="0"/>
    <n v="0"/>
    <n v="4.7999999999999996E-3"/>
    <n v="9"/>
  </r>
  <r>
    <x v="5"/>
    <x v="19"/>
    <s v="energy"/>
    <x v="2"/>
    <s v="Neither"/>
    <n v="13"/>
    <n v="0"/>
    <n v="0"/>
    <n v="5.6867891513560807E-3"/>
    <n v="0"/>
    <n v="0"/>
    <n v="5.6867891513560807E-3"/>
    <n v="13"/>
  </r>
  <r>
    <x v="5"/>
    <x v="19"/>
    <s v="energy"/>
    <x v="3"/>
    <s v="Injury"/>
    <n v="0"/>
    <n v="0"/>
    <n v="1"/>
    <n v="0"/>
    <n v="0"/>
    <n v="3.7271710771524412E-4"/>
    <n v="3.7271710771524412E-4"/>
    <n v="1"/>
  </r>
  <r>
    <x v="5"/>
    <x v="19"/>
    <s v="energy"/>
    <x v="3"/>
    <s v="Neither"/>
    <n v="17"/>
    <n v="0"/>
    <n v="0"/>
    <n v="6.3361908311591504E-3"/>
    <n v="0"/>
    <n v="0"/>
    <n v="6.3361908311591504E-3"/>
    <n v="17"/>
  </r>
  <r>
    <x v="5"/>
    <x v="19"/>
    <s v="energy"/>
    <x v="4"/>
    <s v="Injury"/>
    <n v="0"/>
    <n v="0"/>
    <n v="5"/>
    <n v="0"/>
    <n v="0"/>
    <n v="1.585791309863622E-3"/>
    <n v="1.585791309863622E-3"/>
    <n v="5"/>
  </r>
  <r>
    <x v="5"/>
    <x v="19"/>
    <s v="energy"/>
    <x v="4"/>
    <s v="Neither"/>
    <n v="444"/>
    <n v="0"/>
    <n v="0"/>
    <n v="0.14081826831588962"/>
    <n v="0"/>
    <n v="0"/>
    <n v="0.14081826831588962"/>
    <n v="444"/>
  </r>
  <r>
    <x v="5"/>
    <x v="19"/>
    <s v="energy"/>
    <x v="5"/>
    <s v="Injury"/>
    <n v="0"/>
    <n v="0"/>
    <n v="2"/>
    <n v="0"/>
    <n v="0"/>
    <n v="1.522359657469077E-3"/>
    <n v="1.522359657469077E-3"/>
    <n v="2"/>
  </r>
  <r>
    <x v="5"/>
    <x v="19"/>
    <s v="energy"/>
    <x v="5"/>
    <s v="Neither"/>
    <n v="224"/>
    <n v="0"/>
    <n v="0"/>
    <n v="0.17050428163653664"/>
    <n v="0"/>
    <n v="0"/>
    <n v="0.17050428163653664"/>
    <n v="224"/>
  </r>
  <r>
    <x v="5"/>
    <x v="8"/>
    <s v="mechanical"/>
    <x v="1"/>
    <s v="Neither"/>
    <n v="1"/>
    <n v="0"/>
    <n v="0"/>
    <n v="5.3333333333333336E-4"/>
    <n v="0"/>
    <n v="0"/>
    <n v="5.3333333333333336E-4"/>
    <n v="1"/>
  </r>
  <r>
    <x v="5"/>
    <x v="8"/>
    <s v="mechanical"/>
    <x v="2"/>
    <s v="Neither"/>
    <n v="3"/>
    <n v="0"/>
    <n v="0"/>
    <n v="1.3123359580052493E-3"/>
    <n v="0"/>
    <n v="0"/>
    <n v="1.3123359580052493E-3"/>
    <n v="3"/>
  </r>
  <r>
    <x v="5"/>
    <x v="8"/>
    <s v="mechanical"/>
    <x v="3"/>
    <s v="Neither"/>
    <n v="5"/>
    <n v="0"/>
    <n v="0"/>
    <n v="1.8635855385762206E-3"/>
    <n v="0"/>
    <n v="0"/>
    <n v="1.8635855385762206E-3"/>
    <n v="5"/>
  </r>
  <r>
    <x v="5"/>
    <x v="8"/>
    <s v="mechanical"/>
    <x v="4"/>
    <s v="Neither"/>
    <n v="455"/>
    <n v="0"/>
    <n v="0"/>
    <n v="0.1443070091975896"/>
    <n v="0"/>
    <n v="0"/>
    <n v="0.1443070091975896"/>
    <n v="455"/>
  </r>
  <r>
    <x v="5"/>
    <x v="8"/>
    <s v="mechanical"/>
    <x v="5"/>
    <s v="Neither"/>
    <n v="214"/>
    <n v="0"/>
    <n v="0"/>
    <n v="0.16289248334919124"/>
    <n v="0"/>
    <n v="0"/>
    <n v="0.16289248334919124"/>
    <n v="214"/>
  </r>
  <r>
    <x v="5"/>
    <x v="7"/>
    <s v="mechanical"/>
    <x v="0"/>
    <s v="Neither"/>
    <n v="2"/>
    <n v="0"/>
    <n v="0"/>
    <n v="1.2547051442910915E-3"/>
    <n v="0"/>
    <n v="0"/>
    <n v="1.2547051442910915E-3"/>
    <n v="2"/>
  </r>
  <r>
    <x v="5"/>
    <x v="7"/>
    <s v="mechanical"/>
    <x v="1"/>
    <s v="Neither"/>
    <n v="2"/>
    <n v="0"/>
    <n v="0"/>
    <n v="1.0666666666666667E-3"/>
    <n v="0"/>
    <n v="0"/>
    <n v="1.0666666666666667E-3"/>
    <n v="2"/>
  </r>
  <r>
    <x v="5"/>
    <x v="7"/>
    <s v="mechanical"/>
    <x v="2"/>
    <s v="Neither"/>
    <n v="27"/>
    <n v="0"/>
    <n v="0"/>
    <n v="1.1811023622047244E-2"/>
    <n v="0"/>
    <n v="0"/>
    <n v="1.1811023622047244E-2"/>
    <n v="27"/>
  </r>
  <r>
    <x v="5"/>
    <x v="7"/>
    <s v="mechanical"/>
    <x v="3"/>
    <s v="Neither"/>
    <n v="7"/>
    <n v="0"/>
    <n v="0"/>
    <n v="2.6090197540067088E-3"/>
    <n v="0"/>
    <n v="0"/>
    <n v="2.6090197540067088E-3"/>
    <n v="7"/>
  </r>
  <r>
    <x v="5"/>
    <x v="7"/>
    <s v="mechanical"/>
    <x v="4"/>
    <s v="Injury"/>
    <n v="0"/>
    <n v="0"/>
    <n v="3"/>
    <n v="0"/>
    <n v="0"/>
    <n v="9.5147478591817321E-4"/>
    <n v="9.5147478591817321E-4"/>
    <n v="3"/>
  </r>
  <r>
    <x v="5"/>
    <x v="7"/>
    <s v="mechanical"/>
    <x v="4"/>
    <s v="Neither"/>
    <n v="287"/>
    <n v="0"/>
    <n v="0"/>
    <n v="9.1024421186171905E-2"/>
    <n v="0"/>
    <n v="0"/>
    <n v="9.1024421186171905E-2"/>
    <n v="287"/>
  </r>
  <r>
    <x v="5"/>
    <x v="7"/>
    <s v="mechanical"/>
    <x v="5"/>
    <s v="Neither"/>
    <n v="76"/>
    <n v="0"/>
    <n v="0"/>
    <n v="5.7849666983824925E-2"/>
    <n v="0"/>
    <n v="0"/>
    <n v="5.7849666983824925E-2"/>
    <n v="76"/>
  </r>
  <r>
    <x v="5"/>
    <x v="6"/>
    <s v="energy"/>
    <x v="0"/>
    <s v="Injury"/>
    <n v="0"/>
    <n v="0"/>
    <n v="1"/>
    <n v="0"/>
    <n v="0"/>
    <n v="6.2735257214554575E-4"/>
    <n v="6.2735257214554575E-4"/>
    <n v="1"/>
  </r>
  <r>
    <x v="5"/>
    <x v="6"/>
    <s v="energy"/>
    <x v="0"/>
    <s v="Neither"/>
    <n v="15"/>
    <n v="0"/>
    <n v="0"/>
    <n v="9.4102885821831864E-3"/>
    <n v="0"/>
    <n v="0"/>
    <n v="9.4102885821831864E-3"/>
    <n v="15"/>
  </r>
  <r>
    <x v="5"/>
    <x v="6"/>
    <s v="energy"/>
    <x v="1"/>
    <s v="Neither"/>
    <n v="13"/>
    <n v="0"/>
    <n v="0"/>
    <n v="6.933333333333333E-3"/>
    <n v="0"/>
    <n v="0"/>
    <n v="6.933333333333333E-3"/>
    <n v="13"/>
  </r>
  <r>
    <x v="5"/>
    <x v="6"/>
    <s v="energy"/>
    <x v="2"/>
    <s v="Injury"/>
    <n v="0"/>
    <n v="0"/>
    <n v="1"/>
    <n v="0"/>
    <n v="0"/>
    <n v="4.3744531933508313E-4"/>
    <n v="4.3744531933508313E-4"/>
    <n v="1"/>
  </r>
  <r>
    <x v="5"/>
    <x v="6"/>
    <s v="energy"/>
    <x v="2"/>
    <s v="Neither"/>
    <n v="13"/>
    <n v="0"/>
    <n v="0"/>
    <n v="5.6867891513560807E-3"/>
    <n v="0"/>
    <n v="0"/>
    <n v="5.6867891513560807E-3"/>
    <n v="13"/>
  </r>
  <r>
    <x v="5"/>
    <x v="6"/>
    <s v="energy"/>
    <x v="3"/>
    <s v="Neither"/>
    <n v="21"/>
    <n v="0"/>
    <n v="0"/>
    <n v="7.8270592620201269E-3"/>
    <n v="0"/>
    <n v="0"/>
    <n v="7.8270592620201269E-3"/>
    <n v="21"/>
  </r>
  <r>
    <x v="5"/>
    <x v="6"/>
    <s v="energy"/>
    <x v="4"/>
    <s v="Injury"/>
    <n v="0"/>
    <n v="0"/>
    <n v="3"/>
    <n v="0"/>
    <n v="0"/>
    <n v="9.5147478591817321E-4"/>
    <n v="9.5147478591817321E-4"/>
    <n v="3"/>
  </r>
  <r>
    <x v="5"/>
    <x v="6"/>
    <s v="energy"/>
    <x v="4"/>
    <s v="Neither"/>
    <n v="234"/>
    <n v="0"/>
    <n v="0"/>
    <n v="7.4215033301617508E-2"/>
    <n v="0"/>
    <n v="0"/>
    <n v="7.4215033301617508E-2"/>
    <n v="234"/>
  </r>
  <r>
    <x v="5"/>
    <x v="6"/>
    <s v="energy"/>
    <x v="5"/>
    <s v="Injury"/>
    <n v="0"/>
    <n v="0"/>
    <n v="1"/>
    <n v="0"/>
    <n v="0"/>
    <n v="7.6117982873453852E-4"/>
    <n v="7.6117982873453852E-4"/>
    <n v="1"/>
  </r>
  <r>
    <x v="5"/>
    <x v="6"/>
    <s v="energy"/>
    <x v="5"/>
    <s v="Neither"/>
    <n v="91"/>
    <n v="0"/>
    <n v="0"/>
    <n v="6.9267364414843005E-2"/>
    <n v="0"/>
    <n v="0"/>
    <n v="6.9267364414843005E-2"/>
    <n v="91"/>
  </r>
  <r>
    <x v="5"/>
    <x v="10"/>
    <s v="mechanical"/>
    <x v="0"/>
    <s v="Neither"/>
    <n v="4"/>
    <n v="0"/>
    <n v="0"/>
    <n v="2.509410288582183E-3"/>
    <n v="0"/>
    <n v="0"/>
    <n v="2.509410288582183E-3"/>
    <n v="4"/>
  </r>
  <r>
    <x v="5"/>
    <x v="10"/>
    <s v="mechanical"/>
    <x v="1"/>
    <s v="Neither"/>
    <n v="3"/>
    <n v="0"/>
    <n v="0"/>
    <n v="1.6000000000000001E-3"/>
    <n v="0"/>
    <n v="0"/>
    <n v="1.6000000000000001E-3"/>
    <n v="3"/>
  </r>
  <r>
    <x v="5"/>
    <x v="10"/>
    <s v="mechanical"/>
    <x v="2"/>
    <s v="Neither"/>
    <n v="25"/>
    <n v="0"/>
    <n v="0"/>
    <n v="1.0936132983377077E-2"/>
    <n v="0"/>
    <n v="0"/>
    <n v="1.0936132983377077E-2"/>
    <n v="25"/>
  </r>
  <r>
    <x v="5"/>
    <x v="10"/>
    <s v="mechanical"/>
    <x v="3"/>
    <s v="Neither"/>
    <n v="9"/>
    <n v="0"/>
    <n v="0"/>
    <n v="3.354453969437197E-3"/>
    <n v="0"/>
    <n v="0"/>
    <n v="3.354453969437197E-3"/>
    <n v="9"/>
  </r>
  <r>
    <x v="5"/>
    <x v="10"/>
    <s v="mechanical"/>
    <x v="4"/>
    <s v="Injury"/>
    <n v="0"/>
    <n v="0"/>
    <n v="2"/>
    <n v="0"/>
    <n v="0"/>
    <n v="6.3431652394544877E-4"/>
    <n v="6.3431652394544877E-4"/>
    <n v="2"/>
  </r>
  <r>
    <x v="5"/>
    <x v="10"/>
    <s v="mechanical"/>
    <x v="4"/>
    <s v="Neither"/>
    <n v="208"/>
    <n v="0"/>
    <n v="0"/>
    <n v="6.596891849032667E-2"/>
    <n v="0"/>
    <n v="0"/>
    <n v="6.596891849032667E-2"/>
    <n v="208"/>
  </r>
  <r>
    <x v="5"/>
    <x v="10"/>
    <s v="mechanical"/>
    <x v="5"/>
    <s v="Neither"/>
    <n v="43"/>
    <n v="0"/>
    <n v="0"/>
    <n v="3.2730732635585159E-2"/>
    <n v="0"/>
    <n v="0"/>
    <n v="3.2730732635585159E-2"/>
    <n v="43"/>
  </r>
  <r>
    <x v="5"/>
    <x v="13"/>
    <s v="energy"/>
    <x v="0"/>
    <s v="Neither"/>
    <n v="6"/>
    <n v="0"/>
    <n v="0"/>
    <n v="3.7641154328732747E-3"/>
    <n v="0"/>
    <n v="0"/>
    <n v="3.7641154328732747E-3"/>
    <n v="6"/>
  </r>
  <r>
    <x v="5"/>
    <x v="13"/>
    <s v="energy"/>
    <x v="1"/>
    <s v="Neither"/>
    <n v="6"/>
    <n v="0"/>
    <n v="0"/>
    <n v="3.2000000000000002E-3"/>
    <n v="0"/>
    <n v="0"/>
    <n v="3.2000000000000002E-3"/>
    <n v="6"/>
  </r>
  <r>
    <x v="5"/>
    <x v="13"/>
    <s v="energy"/>
    <x v="2"/>
    <s v="Neither"/>
    <n v="5"/>
    <n v="0"/>
    <n v="0"/>
    <n v="2.1872265966754157E-3"/>
    <n v="0"/>
    <n v="0"/>
    <n v="2.1872265966754157E-3"/>
    <n v="5"/>
  </r>
  <r>
    <x v="5"/>
    <x v="13"/>
    <s v="energy"/>
    <x v="3"/>
    <s v="Neither"/>
    <n v="7"/>
    <n v="0"/>
    <n v="0"/>
    <n v="2.6090197540067088E-3"/>
    <n v="0"/>
    <n v="0"/>
    <n v="2.6090197540067088E-3"/>
    <n v="7"/>
  </r>
  <r>
    <x v="5"/>
    <x v="13"/>
    <s v="energy"/>
    <x v="4"/>
    <s v="Injury"/>
    <n v="0"/>
    <n v="0"/>
    <n v="1"/>
    <n v="0"/>
    <n v="0"/>
    <n v="3.1715826197272439E-4"/>
    <n v="3.1715826197272439E-4"/>
    <n v="1"/>
  </r>
  <r>
    <x v="5"/>
    <x v="13"/>
    <s v="energy"/>
    <x v="4"/>
    <s v="Neither"/>
    <n v="181"/>
    <n v="0"/>
    <n v="0"/>
    <n v="5.7405645417063111E-2"/>
    <n v="0"/>
    <n v="0"/>
    <n v="5.7405645417063111E-2"/>
    <n v="181"/>
  </r>
  <r>
    <x v="5"/>
    <x v="13"/>
    <s v="energy"/>
    <x v="5"/>
    <s v="Neither"/>
    <n v="82"/>
    <n v="0"/>
    <n v="0"/>
    <n v="6.2416745956232159E-2"/>
    <n v="0"/>
    <n v="0"/>
    <n v="6.2416745956232159E-2"/>
    <n v="82"/>
  </r>
  <r>
    <x v="5"/>
    <x v="14"/>
    <s v="energy"/>
    <x v="0"/>
    <s v="Injury"/>
    <n v="0"/>
    <n v="0"/>
    <n v="6"/>
    <n v="0"/>
    <n v="0"/>
    <n v="3.7641154328732747E-3"/>
    <n v="3.7641154328732747E-3"/>
    <n v="6"/>
  </r>
  <r>
    <x v="5"/>
    <x v="14"/>
    <s v="energy"/>
    <x v="0"/>
    <s v="Neither"/>
    <n v="16"/>
    <n v="0"/>
    <n v="0"/>
    <n v="1.0037641154328732E-2"/>
    <n v="0"/>
    <n v="0"/>
    <n v="1.0037641154328732E-2"/>
    <n v="16"/>
  </r>
  <r>
    <x v="5"/>
    <x v="14"/>
    <s v="energy"/>
    <x v="1"/>
    <s v="Injury"/>
    <n v="0"/>
    <n v="0"/>
    <n v="2"/>
    <n v="0"/>
    <n v="0"/>
    <n v="1.0666666666666667E-3"/>
    <n v="1.0666666666666667E-3"/>
    <n v="2"/>
  </r>
  <r>
    <x v="5"/>
    <x v="14"/>
    <s v="energy"/>
    <x v="1"/>
    <s v="Neither"/>
    <n v="26"/>
    <n v="0"/>
    <n v="0"/>
    <n v="1.3866666666666666E-2"/>
    <n v="0"/>
    <n v="0"/>
    <n v="1.3866666666666666E-2"/>
    <n v="26"/>
  </r>
  <r>
    <x v="5"/>
    <x v="14"/>
    <s v="energy"/>
    <x v="2"/>
    <s v="Injury"/>
    <n v="0"/>
    <n v="0"/>
    <n v="4"/>
    <n v="0"/>
    <n v="0"/>
    <n v="1.7497812773403325E-3"/>
    <n v="1.7497812773403325E-3"/>
    <n v="4"/>
  </r>
  <r>
    <x v="5"/>
    <x v="14"/>
    <s v="energy"/>
    <x v="2"/>
    <s v="Neither"/>
    <n v="32"/>
    <n v="0"/>
    <n v="0"/>
    <n v="1.399825021872266E-2"/>
    <n v="0"/>
    <n v="0"/>
    <n v="1.399825021872266E-2"/>
    <n v="32"/>
  </r>
  <r>
    <x v="5"/>
    <x v="14"/>
    <s v="energy"/>
    <x v="3"/>
    <s v="Injury"/>
    <n v="0"/>
    <n v="0"/>
    <n v="2"/>
    <n v="0"/>
    <n v="0"/>
    <n v="7.4543421543048823E-4"/>
    <n v="7.4543421543048823E-4"/>
    <n v="2"/>
  </r>
  <r>
    <x v="5"/>
    <x v="14"/>
    <s v="energy"/>
    <x v="3"/>
    <s v="Neither"/>
    <n v="67"/>
    <n v="0"/>
    <n v="0"/>
    <n v="2.4972046216921357E-2"/>
    <n v="0"/>
    <n v="0"/>
    <n v="2.4972046216921357E-2"/>
    <n v="67"/>
  </r>
  <r>
    <x v="5"/>
    <x v="14"/>
    <s v="energy"/>
    <x v="4"/>
    <s v="Injury"/>
    <n v="0"/>
    <n v="0"/>
    <n v="2"/>
    <n v="0"/>
    <n v="0"/>
    <n v="6.3431652394544877E-4"/>
    <n v="6.3431652394544877E-4"/>
    <n v="2"/>
  </r>
  <r>
    <x v="5"/>
    <x v="14"/>
    <s v="energy"/>
    <x v="4"/>
    <s v="Neither"/>
    <n v="64"/>
    <n v="0"/>
    <n v="0"/>
    <n v="2.0298128766254361E-2"/>
    <n v="0"/>
    <n v="0"/>
    <n v="2.0298128766254361E-2"/>
    <n v="64"/>
  </r>
  <r>
    <x v="5"/>
    <x v="14"/>
    <s v="energy"/>
    <x v="5"/>
    <s v="Injury"/>
    <n v="0"/>
    <n v="0"/>
    <n v="2"/>
    <n v="0"/>
    <n v="0"/>
    <n v="1.522359657469077E-3"/>
    <n v="1.522359657469077E-3"/>
    <n v="2"/>
  </r>
  <r>
    <x v="5"/>
    <x v="14"/>
    <s v="energy"/>
    <x v="5"/>
    <s v="Neither"/>
    <n v="47"/>
    <n v="0"/>
    <n v="0"/>
    <n v="3.5775451950523313E-2"/>
    <n v="0"/>
    <n v="0"/>
    <n v="3.5775451950523313E-2"/>
    <n v="47"/>
  </r>
  <r>
    <x v="5"/>
    <x v="26"/>
    <s v="energy"/>
    <x v="0"/>
    <s v="Neither"/>
    <n v="4"/>
    <n v="0"/>
    <n v="0"/>
    <n v="2.509410288582183E-3"/>
    <n v="0"/>
    <n v="0"/>
    <n v="2.509410288582183E-3"/>
    <n v="4"/>
  </r>
  <r>
    <x v="5"/>
    <x v="26"/>
    <s v="energy"/>
    <x v="1"/>
    <s v="Neither"/>
    <n v="4"/>
    <n v="0"/>
    <n v="0"/>
    <n v="2.1333333333333334E-3"/>
    <n v="0"/>
    <n v="0"/>
    <n v="2.1333333333333334E-3"/>
    <n v="4"/>
  </r>
  <r>
    <x v="5"/>
    <x v="26"/>
    <s v="energy"/>
    <x v="2"/>
    <s v="Neither"/>
    <n v="5"/>
    <n v="0"/>
    <n v="0"/>
    <n v="2.1872265966754157E-3"/>
    <n v="0"/>
    <n v="0"/>
    <n v="2.1872265966754157E-3"/>
    <n v="5"/>
  </r>
  <r>
    <x v="5"/>
    <x v="26"/>
    <s v="energy"/>
    <x v="3"/>
    <s v="Neither"/>
    <n v="4"/>
    <n v="0"/>
    <n v="0"/>
    <n v="1.4908684308609765E-3"/>
    <n v="0"/>
    <n v="0"/>
    <n v="1.4908684308609765E-3"/>
    <n v="4"/>
  </r>
  <r>
    <x v="5"/>
    <x v="26"/>
    <s v="energy"/>
    <x v="4"/>
    <s v="Neither"/>
    <n v="110"/>
    <n v="0"/>
    <n v="0"/>
    <n v="3.4887408816999685E-2"/>
    <n v="0"/>
    <n v="0"/>
    <n v="3.4887408816999685E-2"/>
    <n v="110"/>
  </r>
  <r>
    <x v="5"/>
    <x v="26"/>
    <s v="energy"/>
    <x v="5"/>
    <s v="Neither"/>
    <n v="45"/>
    <n v="0"/>
    <n v="0"/>
    <n v="3.4253092293054233E-2"/>
    <n v="0"/>
    <n v="0"/>
    <n v="3.4253092293054233E-2"/>
    <n v="45"/>
  </r>
  <r>
    <x v="5"/>
    <x v="17"/>
    <s v="energy"/>
    <x v="2"/>
    <s v="Injury"/>
    <n v="0"/>
    <n v="0"/>
    <n v="1"/>
    <n v="0"/>
    <n v="0"/>
    <n v="4.3744531933508313E-4"/>
    <n v="4.3744531933508313E-4"/>
    <n v="1"/>
  </r>
  <r>
    <x v="5"/>
    <x v="17"/>
    <s v="energy"/>
    <x v="2"/>
    <s v="Neither"/>
    <n v="8"/>
    <n v="0"/>
    <n v="0"/>
    <n v="3.499562554680665E-3"/>
    <n v="0"/>
    <n v="0"/>
    <n v="3.499562554680665E-3"/>
    <n v="8"/>
  </r>
  <r>
    <x v="5"/>
    <x v="17"/>
    <s v="energy"/>
    <x v="3"/>
    <s v="Injury"/>
    <n v="0"/>
    <n v="0"/>
    <n v="1"/>
    <n v="0"/>
    <n v="0"/>
    <n v="3.7271710771524412E-4"/>
    <n v="3.7271710771524412E-4"/>
    <n v="1"/>
  </r>
  <r>
    <x v="5"/>
    <x v="17"/>
    <s v="energy"/>
    <x v="3"/>
    <s v="Neither"/>
    <n v="29"/>
    <n v="0"/>
    <n v="0"/>
    <n v="1.080879612374208E-2"/>
    <n v="0"/>
    <n v="0"/>
    <n v="1.080879612374208E-2"/>
    <n v="29"/>
  </r>
  <r>
    <x v="5"/>
    <x v="17"/>
    <s v="energy"/>
    <x v="4"/>
    <s v="Injury"/>
    <n v="0"/>
    <n v="0"/>
    <n v="1"/>
    <n v="0"/>
    <n v="0"/>
    <n v="3.1715826197272439E-4"/>
    <n v="3.1715826197272439E-4"/>
    <n v="1"/>
  </r>
  <r>
    <x v="5"/>
    <x v="17"/>
    <s v="energy"/>
    <x v="4"/>
    <s v="Neither"/>
    <n v="22"/>
    <n v="0"/>
    <n v="0"/>
    <n v="6.9774817633999368E-3"/>
    <n v="0"/>
    <n v="0"/>
    <n v="6.9774817633999368E-3"/>
    <n v="22"/>
  </r>
  <r>
    <x v="5"/>
    <x v="17"/>
    <s v="energy"/>
    <x v="5"/>
    <s v="Neither"/>
    <n v="9"/>
    <n v="0"/>
    <n v="0"/>
    <n v="6.8506184586108465E-3"/>
    <n v="0"/>
    <n v="0"/>
    <n v="6.8506184586108465E-3"/>
    <n v="9"/>
  </r>
  <r>
    <x v="5"/>
    <x v="15"/>
    <s v="energy"/>
    <x v="0"/>
    <s v="Neither"/>
    <n v="6"/>
    <n v="0"/>
    <n v="0"/>
    <n v="3.7641154328732747E-3"/>
    <n v="0"/>
    <n v="0"/>
    <n v="3.7641154328732747E-3"/>
    <n v="6"/>
  </r>
  <r>
    <x v="5"/>
    <x v="15"/>
    <s v="energy"/>
    <x v="1"/>
    <s v="Neither"/>
    <n v="2"/>
    <n v="0"/>
    <n v="0"/>
    <n v="1.0666666666666667E-3"/>
    <n v="0"/>
    <n v="0"/>
    <n v="1.0666666666666667E-3"/>
    <n v="2"/>
  </r>
  <r>
    <x v="5"/>
    <x v="15"/>
    <s v="energy"/>
    <x v="2"/>
    <s v="Neither"/>
    <n v="7"/>
    <n v="0"/>
    <n v="0"/>
    <n v="3.0621172353455816E-3"/>
    <n v="0"/>
    <n v="0"/>
    <n v="3.0621172353455816E-3"/>
    <n v="7"/>
  </r>
  <r>
    <x v="5"/>
    <x v="15"/>
    <s v="energy"/>
    <x v="3"/>
    <s v="Injury"/>
    <n v="0"/>
    <n v="0"/>
    <n v="1"/>
    <n v="0"/>
    <n v="0"/>
    <n v="3.7271710771524412E-4"/>
    <n v="3.7271710771524412E-4"/>
    <n v="1"/>
  </r>
  <r>
    <x v="5"/>
    <x v="15"/>
    <s v="energy"/>
    <x v="3"/>
    <s v="Neither"/>
    <n v="6"/>
    <n v="0"/>
    <n v="0"/>
    <n v="2.2363026462914647E-3"/>
    <n v="0"/>
    <n v="0"/>
    <n v="2.2363026462914647E-3"/>
    <n v="6"/>
  </r>
  <r>
    <x v="5"/>
    <x v="15"/>
    <s v="energy"/>
    <x v="4"/>
    <s v="Neither"/>
    <n v="17"/>
    <n v="0"/>
    <n v="0"/>
    <n v="5.3916904535363146E-3"/>
    <n v="0"/>
    <n v="0"/>
    <n v="5.3916904535363146E-3"/>
    <n v="17"/>
  </r>
  <r>
    <x v="5"/>
    <x v="15"/>
    <s v="energy"/>
    <x v="5"/>
    <s v="Injury"/>
    <n v="0"/>
    <n v="0"/>
    <n v="2"/>
    <n v="0"/>
    <n v="0"/>
    <n v="1.522359657469077E-3"/>
    <n v="1.522359657469077E-3"/>
    <n v="2"/>
  </r>
  <r>
    <x v="5"/>
    <x v="15"/>
    <s v="energy"/>
    <x v="5"/>
    <s v="Neither"/>
    <n v="11"/>
    <n v="0"/>
    <n v="0"/>
    <n v="8.3729781160799231E-3"/>
    <n v="0"/>
    <n v="0"/>
    <n v="8.3729781160799231E-3"/>
    <n v="11"/>
  </r>
  <r>
    <x v="5"/>
    <x v="25"/>
    <s v="mechanical"/>
    <x v="2"/>
    <s v="Neither"/>
    <n v="1"/>
    <n v="0"/>
    <n v="0"/>
    <n v="4.3744531933508313E-4"/>
    <n v="0"/>
    <n v="0"/>
    <n v="4.3744531933508313E-4"/>
    <n v="1"/>
  </r>
  <r>
    <x v="5"/>
    <x v="25"/>
    <s v="mechanical"/>
    <x v="4"/>
    <s v="Neither"/>
    <n v="26"/>
    <n v="0"/>
    <n v="0"/>
    <n v="8.2461148112908337E-3"/>
    <n v="0"/>
    <n v="0"/>
    <n v="8.2461148112908337E-3"/>
    <n v="26"/>
  </r>
  <r>
    <x v="5"/>
    <x v="25"/>
    <s v="mechanical"/>
    <x v="5"/>
    <s v="Neither"/>
    <n v="10"/>
    <n v="0"/>
    <n v="0"/>
    <n v="7.6117982873453857E-3"/>
    <n v="0"/>
    <n v="0"/>
    <n v="7.6117982873453857E-3"/>
    <n v="10"/>
  </r>
  <r>
    <x v="5"/>
    <x v="21"/>
    <s v="system"/>
    <x v="0"/>
    <s v="Neither"/>
    <n v="2"/>
    <n v="0"/>
    <n v="0"/>
    <n v="1.2547051442910915E-3"/>
    <n v="0"/>
    <n v="0"/>
    <n v="1.2547051442910915E-3"/>
    <n v="2"/>
  </r>
  <r>
    <x v="5"/>
    <x v="21"/>
    <s v="system"/>
    <x v="4"/>
    <s v="Neither"/>
    <n v="22"/>
    <n v="0"/>
    <n v="0"/>
    <n v="6.9774817633999368E-3"/>
    <n v="0"/>
    <n v="0"/>
    <n v="6.9774817633999368E-3"/>
    <n v="22"/>
  </r>
  <r>
    <x v="5"/>
    <x v="21"/>
    <s v="system"/>
    <x v="5"/>
    <s v="Neither"/>
    <n v="6"/>
    <n v="0"/>
    <n v="0"/>
    <n v="4.5670789724072316E-3"/>
    <n v="0"/>
    <n v="0"/>
    <n v="4.5670789724072316E-3"/>
    <n v="6"/>
  </r>
  <r>
    <x v="5"/>
    <x v="20"/>
    <s v="mechanical"/>
    <x v="1"/>
    <s v="Injury"/>
    <n v="0"/>
    <n v="0"/>
    <n v="1"/>
    <n v="0"/>
    <n v="0"/>
    <n v="5.3333333333333336E-4"/>
    <n v="5.3333333333333336E-4"/>
    <n v="1"/>
  </r>
  <r>
    <x v="5"/>
    <x v="20"/>
    <s v="mechanical"/>
    <x v="1"/>
    <s v="Neither"/>
    <n v="1"/>
    <n v="0"/>
    <n v="0"/>
    <n v="5.3333333333333336E-4"/>
    <n v="0"/>
    <n v="0"/>
    <n v="5.3333333333333336E-4"/>
    <n v="1"/>
  </r>
  <r>
    <x v="5"/>
    <x v="20"/>
    <s v="mechanical"/>
    <x v="2"/>
    <s v="Neither"/>
    <n v="5"/>
    <n v="0"/>
    <n v="0"/>
    <n v="2.1872265966754157E-3"/>
    <n v="0"/>
    <n v="0"/>
    <n v="2.1872265966754157E-3"/>
    <n v="5"/>
  </r>
  <r>
    <x v="5"/>
    <x v="20"/>
    <s v="mechanical"/>
    <x v="3"/>
    <s v="Neither"/>
    <n v="2"/>
    <n v="0"/>
    <n v="0"/>
    <n v="7.4543421543048823E-4"/>
    <n v="0"/>
    <n v="0"/>
    <n v="7.4543421543048823E-4"/>
    <n v="2"/>
  </r>
  <r>
    <x v="5"/>
    <x v="20"/>
    <s v="mechanical"/>
    <x v="4"/>
    <s v="Injury"/>
    <n v="0"/>
    <n v="0"/>
    <n v="1"/>
    <n v="0"/>
    <n v="0"/>
    <n v="3.1715826197272439E-4"/>
    <n v="3.1715826197272439E-4"/>
    <n v="1"/>
  </r>
  <r>
    <x v="5"/>
    <x v="20"/>
    <s v="mechanical"/>
    <x v="4"/>
    <s v="Neither"/>
    <n v="6"/>
    <n v="0"/>
    <n v="0"/>
    <n v="1.9029495718363464E-3"/>
    <n v="0"/>
    <n v="0"/>
    <n v="1.9029495718363464E-3"/>
    <n v="6"/>
  </r>
  <r>
    <x v="5"/>
    <x v="20"/>
    <s v="mechanical"/>
    <x v="5"/>
    <s v="Neither"/>
    <n v="10"/>
    <n v="0"/>
    <n v="0"/>
    <n v="7.6117982873453857E-3"/>
    <n v="0"/>
    <n v="0"/>
    <n v="7.6117982873453857E-3"/>
    <n v="10"/>
  </r>
  <r>
    <x v="5"/>
    <x v="16"/>
    <s v="system"/>
    <x v="4"/>
    <s v="Injury"/>
    <n v="0"/>
    <n v="0"/>
    <n v="2"/>
    <n v="0"/>
    <n v="0"/>
    <n v="6.3431652394544877E-4"/>
    <n v="6.3431652394544877E-4"/>
    <n v="2"/>
  </r>
  <r>
    <x v="5"/>
    <x v="16"/>
    <s v="system"/>
    <x v="4"/>
    <s v="Neither"/>
    <n v="4"/>
    <n v="0"/>
    <n v="0"/>
    <n v="1.2686330478908975E-3"/>
    <n v="0"/>
    <n v="0"/>
    <n v="1.2686330478908975E-3"/>
    <n v="4"/>
  </r>
  <r>
    <x v="5"/>
    <x v="16"/>
    <s v="system"/>
    <x v="5"/>
    <s v="Neither"/>
    <n v="19"/>
    <n v="0"/>
    <n v="0"/>
    <n v="1.4462416745956231E-2"/>
    <n v="0"/>
    <n v="0"/>
    <n v="1.4462416745956231E-2"/>
    <n v="19"/>
  </r>
  <r>
    <x v="5"/>
    <x v="22"/>
    <s v="accessory"/>
    <x v="3"/>
    <s v="Neither"/>
    <n v="3"/>
    <n v="0"/>
    <n v="0"/>
    <n v="1.1181513231457323E-3"/>
    <n v="0"/>
    <n v="0"/>
    <n v="1.1181513231457323E-3"/>
    <n v="3"/>
  </r>
  <r>
    <x v="5"/>
    <x v="22"/>
    <s v="accessory"/>
    <x v="4"/>
    <s v="Neither"/>
    <n v="6"/>
    <n v="0"/>
    <n v="0"/>
    <n v="1.9029495718363464E-3"/>
    <n v="0"/>
    <n v="0"/>
    <n v="1.9029495718363464E-3"/>
    <n v="6"/>
  </r>
  <r>
    <x v="5"/>
    <x v="30"/>
    <s v="system"/>
    <x v="3"/>
    <s v="Neither"/>
    <n v="1"/>
    <n v="0"/>
    <n v="0"/>
    <n v="3.7271710771524412E-4"/>
    <n v="0"/>
    <n v="0"/>
    <n v="3.7271710771524412E-4"/>
    <n v="1"/>
  </r>
  <r>
    <x v="5"/>
    <x v="30"/>
    <s v="system"/>
    <x v="5"/>
    <s v="Neither"/>
    <n v="7"/>
    <n v="0"/>
    <n v="0"/>
    <n v="5.3282588011417699E-3"/>
    <n v="0"/>
    <n v="0"/>
    <n v="5.3282588011417699E-3"/>
    <n v="7"/>
  </r>
  <r>
    <x v="5"/>
    <x v="24"/>
    <s v="energy"/>
    <x v="2"/>
    <s v="Neither"/>
    <n v="2"/>
    <n v="0"/>
    <n v="0"/>
    <n v="8.7489063867016625E-4"/>
    <n v="0"/>
    <n v="0"/>
    <n v="8.7489063867016625E-4"/>
    <n v="2"/>
  </r>
  <r>
    <x v="5"/>
    <x v="24"/>
    <s v="energy"/>
    <x v="4"/>
    <s v="Neither"/>
    <n v="3"/>
    <n v="0"/>
    <n v="0"/>
    <n v="9.5147478591817321E-4"/>
    <n v="0"/>
    <n v="0"/>
    <n v="9.5147478591817321E-4"/>
    <n v="3"/>
  </r>
  <r>
    <x v="5"/>
    <x v="24"/>
    <s v="energy"/>
    <x v="5"/>
    <s v="Neither"/>
    <n v="2"/>
    <n v="0"/>
    <n v="0"/>
    <n v="1.522359657469077E-3"/>
    <n v="0"/>
    <n v="0"/>
    <n v="1.522359657469077E-3"/>
    <n v="2"/>
  </r>
  <r>
    <x v="5"/>
    <x v="23"/>
    <s v="system"/>
    <x v="2"/>
    <s v="Neither"/>
    <n v="1"/>
    <n v="0"/>
    <n v="0"/>
    <n v="4.3744531933508313E-4"/>
    <n v="0"/>
    <n v="0"/>
    <n v="4.3744531933508313E-4"/>
    <n v="1"/>
  </r>
  <r>
    <x v="5"/>
    <x v="23"/>
    <s v="system"/>
    <x v="4"/>
    <s v="Neither"/>
    <n v="4"/>
    <n v="0"/>
    <n v="0"/>
    <n v="1.2686330478908975E-3"/>
    <n v="0"/>
    <n v="0"/>
    <n v="1.2686330478908975E-3"/>
    <n v="4"/>
  </r>
  <r>
    <x v="5"/>
    <x v="23"/>
    <s v="system"/>
    <x v="5"/>
    <s v="Neither"/>
    <n v="2"/>
    <n v="0"/>
    <n v="0"/>
    <n v="1.522359657469077E-3"/>
    <n v="0"/>
    <n v="0"/>
    <n v="1.522359657469077E-3"/>
    <n v="2"/>
  </r>
  <r>
    <x v="5"/>
    <x v="27"/>
    <s v="mechanical"/>
    <x v="4"/>
    <s v="Neither"/>
    <n v="2"/>
    <n v="0"/>
    <n v="0"/>
    <n v="6.3431652394544877E-4"/>
    <n v="0"/>
    <n v="0"/>
    <n v="6.3431652394544877E-4"/>
    <n v="2"/>
  </r>
  <r>
    <x v="5"/>
    <x v="27"/>
    <s v="mechanical"/>
    <x v="5"/>
    <s v="Neither"/>
    <n v="5"/>
    <n v="0"/>
    <n v="0"/>
    <n v="3.8058991436726928E-3"/>
    <n v="0"/>
    <n v="0"/>
    <n v="3.8058991436726928E-3"/>
    <n v="5"/>
  </r>
  <r>
    <x v="5"/>
    <x v="0"/>
    <s v="energy"/>
    <x v="2"/>
    <s v="Neither"/>
    <n v="1"/>
    <n v="0"/>
    <n v="0"/>
    <n v="4.3744531933508313E-4"/>
    <n v="0"/>
    <n v="0"/>
    <n v="4.3744531933508313E-4"/>
    <n v="1"/>
  </r>
  <r>
    <x v="5"/>
    <x v="0"/>
    <s v="energy"/>
    <x v="3"/>
    <s v="Neither"/>
    <n v="1"/>
    <n v="0"/>
    <n v="0"/>
    <n v="3.7271710771524412E-4"/>
    <n v="0"/>
    <n v="0"/>
    <n v="3.7271710771524412E-4"/>
    <n v="1"/>
  </r>
  <r>
    <x v="5"/>
    <x v="0"/>
    <s v="energy"/>
    <x v="4"/>
    <s v="Neither"/>
    <n v="3"/>
    <n v="0"/>
    <n v="0"/>
    <n v="9.5147478591817321E-4"/>
    <n v="0"/>
    <n v="0"/>
    <n v="9.5147478591817321E-4"/>
    <n v="3"/>
  </r>
  <r>
    <x v="5"/>
    <x v="0"/>
    <s v="energy"/>
    <x v="5"/>
    <s v="Neither"/>
    <n v="1"/>
    <n v="0"/>
    <n v="0"/>
    <n v="7.6117982873453852E-4"/>
    <n v="0"/>
    <n v="0"/>
    <n v="7.6117982873453852E-4"/>
    <n v="1"/>
  </r>
  <r>
    <x v="5"/>
    <x v="28"/>
    <s v="energy"/>
    <x v="0"/>
    <s v="Neither"/>
    <n v="1"/>
    <n v="0"/>
    <n v="0"/>
    <n v="6.2735257214554575E-4"/>
    <n v="0"/>
    <n v="0"/>
    <n v="6.2735257214554575E-4"/>
    <n v="1"/>
  </r>
  <r>
    <x v="5"/>
    <x v="28"/>
    <s v="energy"/>
    <x v="1"/>
    <s v="Neither"/>
    <n v="1"/>
    <n v="0"/>
    <n v="0"/>
    <n v="5.3333333333333336E-4"/>
    <n v="0"/>
    <n v="0"/>
    <n v="5.3333333333333336E-4"/>
    <n v="1"/>
  </r>
  <r>
    <x v="5"/>
    <x v="28"/>
    <s v="energy"/>
    <x v="2"/>
    <s v="Neither"/>
    <n v="3"/>
    <n v="0"/>
    <n v="0"/>
    <n v="1.3123359580052493E-3"/>
    <n v="0"/>
    <n v="0"/>
    <n v="1.3123359580052493E-3"/>
    <n v="3"/>
  </r>
  <r>
    <x v="5"/>
    <x v="29"/>
    <s v="system"/>
    <x v="2"/>
    <s v="Neither"/>
    <n v="1"/>
    <n v="0"/>
    <n v="0"/>
    <n v="4.3744531933508313E-4"/>
    <n v="0"/>
    <n v="0"/>
    <n v="4.3744531933508313E-4"/>
    <n v="1"/>
  </r>
  <r>
    <x v="5"/>
    <x v="29"/>
    <s v="system"/>
    <x v="5"/>
    <s v="Neither"/>
    <n v="3"/>
    <n v="0"/>
    <n v="0"/>
    <n v="2.2835394862036158E-3"/>
    <n v="0"/>
    <n v="0"/>
    <n v="2.2835394862036158E-3"/>
    <n v="3"/>
  </r>
  <r>
    <x v="5"/>
    <x v="18"/>
    <s v="accessory"/>
    <x v="3"/>
    <s v="Neither"/>
    <n v="1"/>
    <n v="0"/>
    <n v="0"/>
    <n v="3.7271710771524412E-4"/>
    <n v="0"/>
    <n v="0"/>
    <n v="3.7271710771524412E-4"/>
    <n v="1"/>
  </r>
  <r>
    <x v="5"/>
    <x v="18"/>
    <s v="accessory"/>
    <x v="4"/>
    <s v="Neither"/>
    <n v="1"/>
    <n v="0"/>
    <n v="0"/>
    <n v="3.1715826197272439E-4"/>
    <n v="0"/>
    <n v="0"/>
    <n v="3.1715826197272439E-4"/>
    <n v="1"/>
  </r>
  <r>
    <x v="5"/>
    <x v="18"/>
    <s v="accessory"/>
    <x v="5"/>
    <s v="Neither"/>
    <n v="1"/>
    <n v="0"/>
    <n v="0"/>
    <n v="7.6117982873453852E-4"/>
    <n v="0"/>
    <n v="0"/>
    <n v="7.6117982873453852E-4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8D5611-679D-452A-8643-05124E601FFA}" name="PivotTable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81" firstHeaderRow="1" firstDataRow="3" firstDataCol="1"/>
  <pivotFields count="13">
    <pivotField axis="axisRow" showAll="0">
      <items count="7">
        <item sd="0" x="0"/>
        <item sd="0" x="1"/>
        <item sd="0" x="3"/>
        <item sd="0" x="2"/>
        <item sd="0" x="5"/>
        <item sd="0" x="4"/>
        <item t="default"/>
      </items>
    </pivotField>
    <pivotField axis="axisRow" multipleItemSelectionAllowed="1" showAll="0">
      <items count="33">
        <item h="1" x="19"/>
        <item x="11"/>
        <item h="1" x="22"/>
        <item x="8"/>
        <item h="1" x="27"/>
        <item h="1" x="26"/>
        <item h="1" x="23"/>
        <item x="1"/>
        <item h="1" x="3"/>
        <item h="1" x="21"/>
        <item x="25"/>
        <item x="10"/>
        <item h="1" x="0"/>
        <item x="9"/>
        <item h="1" x="24"/>
        <item x="5"/>
        <item x="4"/>
        <item h="1" x="16"/>
        <item x="6"/>
        <item h="1" x="13"/>
        <item h="1" x="28"/>
        <item x="2"/>
        <item h="1" x="20"/>
        <item h="1" x="18"/>
        <item h="1" x="29"/>
        <item h="1" x="17"/>
        <item h="1" x="7"/>
        <item x="14"/>
        <item h="1" x="12"/>
        <item h="1" x="31"/>
        <item h="1" x="15"/>
        <item h="1" x="30"/>
        <item t="default"/>
      </items>
    </pivotField>
    <pivotField showAll="0"/>
    <pivotField axis="axisCol" numFmtId="1"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  <pivotField showAll="0"/>
    <pivotField dataField="1" showAll="0"/>
    <pivotField numFmtId="165" showAll="0"/>
    <pivotField numFmtId="165" showAll="0"/>
    <pivotField numFmtId="165" showAll="0"/>
    <pivotField numFmtId="165" showAll="0"/>
    <pivotField numFmtId="3" showAll="0"/>
  </pivotFields>
  <rowFields count="2">
    <field x="1"/>
    <field x="0"/>
  </rowFields>
  <rowItems count="76"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>
      <x v="10"/>
    </i>
    <i r="1">
      <x/>
    </i>
    <i r="1">
      <x v="1"/>
    </i>
    <i r="1">
      <x v="3"/>
    </i>
    <i r="1">
      <x v="4"/>
    </i>
    <i r="1">
      <x v="5"/>
    </i>
    <i>
      <x v="11"/>
    </i>
    <i r="1">
      <x/>
    </i>
    <i r="1">
      <x v="1"/>
    </i>
    <i r="1">
      <x v="2"/>
    </i>
    <i r="1">
      <x v="3"/>
    </i>
    <i r="1">
      <x v="4"/>
    </i>
    <i r="1">
      <x v="5"/>
    </i>
    <i>
      <x v="13"/>
    </i>
    <i r="1">
      <x/>
    </i>
    <i r="1">
      <x v="1"/>
    </i>
    <i r="1">
      <x v="2"/>
    </i>
    <i r="1">
      <x v="3"/>
    </i>
    <i r="1">
      <x v="4"/>
    </i>
    <i r="1">
      <x v="5"/>
    </i>
    <i>
      <x v="15"/>
    </i>
    <i r="1">
      <x/>
    </i>
    <i r="1">
      <x v="1"/>
    </i>
    <i r="1">
      <x v="2"/>
    </i>
    <i r="1">
      <x v="3"/>
    </i>
    <i r="1">
      <x v="4"/>
    </i>
    <i r="1">
      <x v="5"/>
    </i>
    <i>
      <x v="16"/>
    </i>
    <i r="1">
      <x/>
    </i>
    <i r="1">
      <x v="1"/>
    </i>
    <i r="1">
      <x v="2"/>
    </i>
    <i r="1">
      <x v="3"/>
    </i>
    <i r="1">
      <x v="4"/>
    </i>
    <i r="1">
      <x v="5"/>
    </i>
    <i>
      <x v="18"/>
    </i>
    <i r="1">
      <x/>
    </i>
    <i r="1">
      <x v="1"/>
    </i>
    <i r="1">
      <x v="2"/>
    </i>
    <i r="1">
      <x v="3"/>
    </i>
    <i r="1">
      <x v="4"/>
    </i>
    <i r="1">
      <x v="5"/>
    </i>
    <i>
      <x v="21"/>
    </i>
    <i r="1">
      <x/>
    </i>
    <i r="1">
      <x v="1"/>
    </i>
    <i r="1">
      <x v="2"/>
    </i>
    <i r="1">
      <x v="3"/>
    </i>
    <i r="1">
      <x v="4"/>
    </i>
    <i r="1">
      <x v="5"/>
    </i>
    <i>
      <x v="27"/>
    </i>
    <i r="1">
      <x/>
    </i>
    <i r="1">
      <x v="1"/>
    </i>
    <i r="1">
      <x v="2"/>
    </i>
    <i r="1">
      <x v="3"/>
    </i>
    <i r="1">
      <x v="4"/>
    </i>
    <i t="grand">
      <x/>
    </i>
  </rowItems>
  <colFields count="2">
    <field x="3"/>
    <field x="-2"/>
  </colFields>
  <colItems count="14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 t="grand">
      <x/>
    </i>
    <i t="grand" i="1">
      <x/>
    </i>
  </colItems>
  <dataFields count="2">
    <dataField name="Neither_" fld="5" baseField="0" baseItem="0"/>
    <dataField name="Injury_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zoomScaleNormal="100" workbookViewId="0"/>
  </sheetViews>
  <sheetFormatPr defaultColWidth="8.7109375" defaultRowHeight="15" x14ac:dyDescent="0.25"/>
  <cols>
    <col min="1" max="1" width="34" customWidth="1"/>
    <col min="2" max="2" width="95" customWidth="1"/>
  </cols>
  <sheetData>
    <row r="1" spans="1:2" ht="18" customHeight="1" x14ac:dyDescent="0.25">
      <c r="A1" s="2" t="s">
        <v>0</v>
      </c>
    </row>
    <row r="2" spans="1:2" x14ac:dyDescent="0.25">
      <c r="A2" s="3" t="s">
        <v>1</v>
      </c>
    </row>
    <row r="3" spans="1:2" x14ac:dyDescent="0.25">
      <c r="A3" s="3" t="s">
        <v>2</v>
      </c>
    </row>
    <row r="4" spans="1:2" x14ac:dyDescent="0.25">
      <c r="A4" s="4"/>
      <c r="B4" s="5"/>
    </row>
    <row r="5" spans="1:2" x14ac:dyDescent="0.25">
      <c r="A5" s="6" t="s">
        <v>3</v>
      </c>
      <c r="B5" s="5"/>
    </row>
    <row r="6" spans="1:2" ht="25.5" customHeight="1" x14ac:dyDescent="0.25">
      <c r="A6" s="4" t="s">
        <v>4</v>
      </c>
      <c r="B6" s="5" t="s">
        <v>5</v>
      </c>
    </row>
    <row r="7" spans="1:2" ht="25.5" customHeight="1" x14ac:dyDescent="0.25">
      <c r="A7" s="4" t="s">
        <v>6</v>
      </c>
      <c r="B7" s="5" t="s">
        <v>7</v>
      </c>
    </row>
    <row r="8" spans="1:2" ht="25.5" customHeight="1" x14ac:dyDescent="0.25">
      <c r="A8" s="4" t="s">
        <v>8</v>
      </c>
      <c r="B8" s="5" t="s">
        <v>9</v>
      </c>
    </row>
    <row r="9" spans="1:2" ht="25.5" customHeight="1" x14ac:dyDescent="0.25">
      <c r="A9" s="4" t="s">
        <v>10</v>
      </c>
      <c r="B9" s="5" t="s">
        <v>11</v>
      </c>
    </row>
    <row r="10" spans="1:2" x14ac:dyDescent="0.25">
      <c r="A10" s="4" t="s">
        <v>12</v>
      </c>
      <c r="B10" s="5" t="s">
        <v>13</v>
      </c>
    </row>
    <row r="11" spans="1:2" ht="25.5" customHeight="1" x14ac:dyDescent="0.25">
      <c r="A11" s="4" t="s">
        <v>14</v>
      </c>
      <c r="B11" s="5" t="s">
        <v>15</v>
      </c>
    </row>
    <row r="12" spans="1:2" x14ac:dyDescent="0.25">
      <c r="A12" s="4"/>
      <c r="B12" s="5"/>
    </row>
    <row r="13" spans="1:2" x14ac:dyDescent="0.25">
      <c r="A13" s="6" t="s">
        <v>16</v>
      </c>
      <c r="B13" s="5"/>
    </row>
    <row r="14" spans="1:2" ht="25.5" customHeight="1" x14ac:dyDescent="0.25">
      <c r="A14" s="4" t="s">
        <v>17</v>
      </c>
      <c r="B14" s="5" t="s">
        <v>18</v>
      </c>
    </row>
    <row r="15" spans="1:2" ht="25.5" customHeight="1" x14ac:dyDescent="0.25">
      <c r="A15" s="4" t="s">
        <v>19</v>
      </c>
      <c r="B15" s="5" t="s">
        <v>20</v>
      </c>
    </row>
    <row r="16" spans="1:2" ht="25.5" customHeight="1" x14ac:dyDescent="0.25">
      <c r="A16" s="4" t="s">
        <v>21</v>
      </c>
      <c r="B16" s="5" t="s">
        <v>22</v>
      </c>
    </row>
    <row r="17" spans="1:2" ht="25.5" customHeight="1" x14ac:dyDescent="0.25">
      <c r="A17" s="4" t="s">
        <v>23</v>
      </c>
      <c r="B17" s="5" t="s">
        <v>24</v>
      </c>
    </row>
    <row r="18" spans="1:2" x14ac:dyDescent="0.25">
      <c r="A18" s="4" t="s">
        <v>25</v>
      </c>
      <c r="B18" s="5" t="s">
        <v>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"/>
  <sheetViews>
    <sheetView zoomScaleNormal="100" workbookViewId="0">
      <selection activeCell="B12" sqref="B12"/>
    </sheetView>
  </sheetViews>
  <sheetFormatPr defaultColWidth="8.7109375" defaultRowHeight="15" x14ac:dyDescent="0.25"/>
  <cols>
    <col min="1" max="1" width="8" customWidth="1"/>
    <col min="2" max="2" width="16" customWidth="1"/>
    <col min="3" max="3" width="12" customWidth="1"/>
    <col min="4" max="4" width="9" customWidth="1"/>
    <col min="5" max="5" width="8" customWidth="1"/>
    <col min="6" max="6" width="13" customWidth="1"/>
    <col min="7" max="8" width="10" customWidth="1"/>
    <col min="9" max="9" width="11" customWidth="1"/>
    <col min="10" max="10" width="13" customWidth="1"/>
    <col min="11" max="12" width="12" customWidth="1"/>
    <col min="13" max="13" width="16" customWidth="1"/>
  </cols>
  <sheetData>
    <row r="1" spans="1:13" ht="18" customHeight="1" x14ac:dyDescent="0.25">
      <c r="A1" s="2" t="s">
        <v>27</v>
      </c>
    </row>
    <row r="2" spans="1:13" x14ac:dyDescent="0.25">
      <c r="A2" s="3" t="s">
        <v>28</v>
      </c>
    </row>
    <row r="4" spans="1:13" x14ac:dyDescent="0.25">
      <c r="A4" s="6" t="s">
        <v>29</v>
      </c>
      <c r="E4" s="7">
        <v>0.7</v>
      </c>
      <c r="F4" s="3" t="s">
        <v>30</v>
      </c>
    </row>
    <row r="6" spans="1:13" ht="26.25" customHeight="1" x14ac:dyDescent="0.25">
      <c r="A6" s="8" t="s">
        <v>31</v>
      </c>
      <c r="B6" s="8" t="s">
        <v>32</v>
      </c>
      <c r="C6" s="8" t="s">
        <v>33</v>
      </c>
      <c r="D6" s="8" t="s">
        <v>34</v>
      </c>
      <c r="E6" s="8" t="s">
        <v>35</v>
      </c>
      <c r="F6" s="8" t="s">
        <v>36</v>
      </c>
      <c r="G6" s="8" t="s">
        <v>37</v>
      </c>
      <c r="H6" s="8" t="s">
        <v>38</v>
      </c>
      <c r="I6" s="8" t="s">
        <v>39</v>
      </c>
      <c r="J6" s="8" t="s">
        <v>40</v>
      </c>
      <c r="K6" s="8" t="s">
        <v>41</v>
      </c>
      <c r="L6" s="8" t="s">
        <v>42</v>
      </c>
      <c r="M6" s="8" t="s">
        <v>43</v>
      </c>
    </row>
    <row r="7" spans="1:13" x14ac:dyDescent="0.25">
      <c r="A7" s="9">
        <v>2021</v>
      </c>
      <c r="B7" s="10">
        <v>1594000</v>
      </c>
      <c r="C7" s="10">
        <v>1997</v>
      </c>
      <c r="D7" s="10">
        <v>532</v>
      </c>
      <c r="E7" s="10">
        <v>43</v>
      </c>
      <c r="F7" s="11">
        <f>D7+E7</f>
        <v>575</v>
      </c>
      <c r="G7" s="12">
        <f>C7/B7*100000</f>
        <v>125.28230865746549</v>
      </c>
      <c r="H7" s="12">
        <f>F7/B7*100000</f>
        <v>36.072772898368882</v>
      </c>
      <c r="I7" s="13">
        <f>E7/B7*100000</f>
        <v>2.697616060225847</v>
      </c>
      <c r="J7" s="11">
        <f>B7*$E$4</f>
        <v>1115800</v>
      </c>
      <c r="K7" s="12">
        <f>C7/J7*100000</f>
        <v>178.97472665352214</v>
      </c>
      <c r="L7" s="12">
        <f>F7/J7*100000</f>
        <v>51.532532711955547</v>
      </c>
      <c r="M7" s="3" t="s">
        <v>45</v>
      </c>
    </row>
    <row r="8" spans="1:13" x14ac:dyDescent="0.25">
      <c r="A8" s="9">
        <v>2022</v>
      </c>
      <c r="B8" s="10">
        <v>1875000</v>
      </c>
      <c r="C8" s="10">
        <v>5727</v>
      </c>
      <c r="D8" s="10">
        <v>1275</v>
      </c>
      <c r="E8" s="10">
        <v>100</v>
      </c>
      <c r="F8" s="11">
        <f>D8+E8</f>
        <v>1375</v>
      </c>
      <c r="G8" s="12">
        <f>C8/B8*100000</f>
        <v>305.44</v>
      </c>
      <c r="H8" s="12">
        <f>F8/B8*100000</f>
        <v>73.333333333333329</v>
      </c>
      <c r="I8" s="13">
        <f>E8/B8*100000</f>
        <v>5.333333333333333</v>
      </c>
      <c r="J8" s="11">
        <f>B8*$E$4</f>
        <v>1312500</v>
      </c>
      <c r="K8" s="12">
        <f>C8/J8*100000</f>
        <v>436.3428571428571</v>
      </c>
      <c r="L8" s="12">
        <f>F8/J8*100000</f>
        <v>104.76190476190476</v>
      </c>
      <c r="M8" s="3" t="s">
        <v>47</v>
      </c>
    </row>
    <row r="9" spans="1:13" x14ac:dyDescent="0.25">
      <c r="A9" s="9">
        <v>2023</v>
      </c>
      <c r="B9" s="10">
        <v>2286000</v>
      </c>
      <c r="C9" s="10">
        <v>10898</v>
      </c>
      <c r="D9" s="10">
        <v>1694</v>
      </c>
      <c r="E9" s="10">
        <v>63</v>
      </c>
      <c r="F9" s="11">
        <f>D9+E9</f>
        <v>1757</v>
      </c>
      <c r="G9" s="12">
        <f>C9/B9*100000</f>
        <v>476.72790901137358</v>
      </c>
      <c r="H9" s="12">
        <f>F9/B9*100000</f>
        <v>76.859142607174107</v>
      </c>
      <c r="I9" s="13">
        <f>E9/B9*100000</f>
        <v>2.7559055118110236</v>
      </c>
      <c r="J9" s="11">
        <f>B9*$E$4</f>
        <v>1600200</v>
      </c>
      <c r="K9" s="12">
        <f>C9/J9*100000</f>
        <v>681.03987001624796</v>
      </c>
      <c r="L9" s="12">
        <f>F9/J9*100000</f>
        <v>109.79877515310586</v>
      </c>
      <c r="M9" s="3" t="s">
        <v>49</v>
      </c>
    </row>
    <row r="10" spans="1:13" x14ac:dyDescent="0.25">
      <c r="A10" s="9">
        <v>2024</v>
      </c>
      <c r="B10" s="10">
        <v>2683000</v>
      </c>
      <c r="C10" s="10">
        <v>12872</v>
      </c>
      <c r="D10" s="10">
        <v>1777</v>
      </c>
      <c r="E10" s="10">
        <v>69</v>
      </c>
      <c r="F10" s="11">
        <f>D10+E10</f>
        <v>1846</v>
      </c>
      <c r="G10" s="12">
        <f>C10/B10*100000</f>
        <v>479.76146105106227</v>
      </c>
      <c r="H10" s="12">
        <f>F10/B10*100000</f>
        <v>68.803578084234076</v>
      </c>
      <c r="I10" s="13">
        <f>E10/B10*100000</f>
        <v>2.5717480432351847</v>
      </c>
      <c r="J10" s="11">
        <f>B10*$E$4</f>
        <v>1878099.9999999998</v>
      </c>
      <c r="K10" s="12">
        <f>C10/J10*100000</f>
        <v>685.37351578723178</v>
      </c>
      <c r="L10" s="12">
        <f>F10/J10*100000</f>
        <v>98.290825834620094</v>
      </c>
      <c r="M10" s="3" t="s">
        <v>51</v>
      </c>
    </row>
    <row r="11" spans="1:13" x14ac:dyDescent="0.25">
      <c r="A11" s="9">
        <v>2025</v>
      </c>
      <c r="B11" s="10">
        <v>3153000</v>
      </c>
      <c r="C11" s="10">
        <v>49306</v>
      </c>
      <c r="D11" s="10">
        <v>1833</v>
      </c>
      <c r="E11" s="10">
        <v>98</v>
      </c>
      <c r="F11" s="11">
        <f>D11+E11</f>
        <v>1931</v>
      </c>
      <c r="G11" s="12">
        <f>C11/B11*100000</f>
        <v>1563.7805264827148</v>
      </c>
      <c r="H11" s="12">
        <f>F11/B11*100000</f>
        <v>61.24326038693308</v>
      </c>
      <c r="I11" s="13">
        <f>E11/B11*100000</f>
        <v>3.108150967332699</v>
      </c>
      <c r="J11" s="11">
        <f>B11*$E$4</f>
        <v>2207100</v>
      </c>
      <c r="K11" s="12">
        <f>C11/J11*100000</f>
        <v>2233.9721806895927</v>
      </c>
      <c r="L11" s="12">
        <f>F11/J11*100000</f>
        <v>87.49037198133297</v>
      </c>
      <c r="M11" s="3" t="s">
        <v>53</v>
      </c>
    </row>
    <row r="12" spans="1:13" x14ac:dyDescent="0.25">
      <c r="A12" s="9">
        <v>2026</v>
      </c>
      <c r="B12" s="10">
        <f>B11*5/12</f>
        <v>1313750</v>
      </c>
      <c r="C12" s="10"/>
      <c r="D12" s="10"/>
      <c r="E12" s="10"/>
      <c r="F12" s="11"/>
      <c r="G12" s="12"/>
      <c r="H12" s="12"/>
      <c r="I12" s="13"/>
      <c r="J12" s="11"/>
      <c r="K12" s="12"/>
      <c r="L12" s="12"/>
      <c r="M12" s="3"/>
    </row>
  </sheetData>
  <autoFilter ref="A6:M11" xr:uid="{00000000-0009-0000-0000-000001000000}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A37"/>
  <sheetViews>
    <sheetView zoomScaleNormal="100" workbookViewId="0">
      <pane xSplit="3" ySplit="5" topLeftCell="D7" activePane="bottomRight" state="frozen"/>
      <selection pane="topRight" activeCell="D1" sqref="D1"/>
      <selection pane="bottomLeft" activeCell="A6" sqref="A6"/>
      <selection pane="bottomRight" activeCell="V7" sqref="V7"/>
    </sheetView>
  </sheetViews>
  <sheetFormatPr defaultColWidth="8.7109375" defaultRowHeight="15" x14ac:dyDescent="0.25"/>
  <cols>
    <col min="1" max="1" width="30" customWidth="1"/>
    <col min="2" max="3" width="11" customWidth="1"/>
    <col min="4" max="9" width="9.28515625" customWidth="1"/>
    <col min="10" max="15" width="7" customWidth="1"/>
    <col min="16" max="21" width="7.42578125" customWidth="1"/>
    <col min="22" max="26" width="10" customWidth="1"/>
    <col min="27" max="27" width="79.7109375" customWidth="1"/>
  </cols>
  <sheetData>
    <row r="1" spans="1:27" ht="18" customHeight="1" x14ac:dyDescent="0.25">
      <c r="A1" s="2" t="s">
        <v>54</v>
      </c>
    </row>
    <row r="2" spans="1:27" ht="96" x14ac:dyDescent="0.25">
      <c r="A2" s="14" t="s">
        <v>55</v>
      </c>
    </row>
    <row r="4" spans="1:27" ht="45.75" customHeight="1" x14ac:dyDescent="0.25">
      <c r="A4" s="42" t="s">
        <v>56</v>
      </c>
      <c r="B4" s="42" t="s">
        <v>57</v>
      </c>
      <c r="C4" s="42" t="s">
        <v>58</v>
      </c>
      <c r="D4" s="41" t="s">
        <v>59</v>
      </c>
      <c r="E4" s="41"/>
      <c r="F4" s="41"/>
      <c r="G4" s="41"/>
      <c r="H4" s="41"/>
      <c r="I4" s="41"/>
      <c r="J4" s="41" t="s">
        <v>60</v>
      </c>
      <c r="K4" s="41"/>
      <c r="L4" s="41"/>
      <c r="M4" s="41"/>
      <c r="N4" s="41"/>
      <c r="O4" s="41"/>
      <c r="P4" s="41" t="s">
        <v>61</v>
      </c>
      <c r="Q4" s="41"/>
      <c r="R4" s="41"/>
      <c r="S4" s="41"/>
      <c r="T4" s="41"/>
      <c r="U4" s="41"/>
      <c r="V4" s="41" t="s">
        <v>161</v>
      </c>
      <c r="W4" s="41"/>
      <c r="X4" s="41"/>
      <c r="Y4" s="41"/>
      <c r="Z4" s="41"/>
      <c r="AA4" s="42" t="s">
        <v>62</v>
      </c>
    </row>
    <row r="5" spans="1:27" ht="15" customHeight="1" x14ac:dyDescent="0.25">
      <c r="A5" s="43"/>
      <c r="B5" s="43"/>
      <c r="C5" s="43"/>
      <c r="D5" s="1" t="s">
        <v>44</v>
      </c>
      <c r="E5" s="1" t="s">
        <v>46</v>
      </c>
      <c r="F5" s="1" t="s">
        <v>48</v>
      </c>
      <c r="G5" s="1" t="s">
        <v>50</v>
      </c>
      <c r="H5" s="1" t="s">
        <v>52</v>
      </c>
      <c r="I5" s="1" t="s">
        <v>25</v>
      </c>
      <c r="J5" s="1" t="s">
        <v>44</v>
      </c>
      <c r="K5" s="1" t="s">
        <v>46</v>
      </c>
      <c r="L5" s="1" t="s">
        <v>48</v>
      </c>
      <c r="M5" s="1" t="s">
        <v>50</v>
      </c>
      <c r="N5" s="1" t="s">
        <v>52</v>
      </c>
      <c r="O5" s="1" t="s">
        <v>25</v>
      </c>
      <c r="P5" s="1" t="s">
        <v>44</v>
      </c>
      <c r="Q5" s="1" t="s">
        <v>46</v>
      </c>
      <c r="R5" s="1" t="s">
        <v>48</v>
      </c>
      <c r="S5" s="1" t="s">
        <v>50</v>
      </c>
      <c r="T5" s="1" t="s">
        <v>52</v>
      </c>
      <c r="U5" s="1" t="s">
        <v>25</v>
      </c>
      <c r="V5" s="1" t="s">
        <v>44</v>
      </c>
      <c r="W5" s="1" t="s">
        <v>46</v>
      </c>
      <c r="X5" s="1" t="s">
        <v>48</v>
      </c>
      <c r="Y5" s="1" t="s">
        <v>50</v>
      </c>
      <c r="Z5" s="1" t="s">
        <v>52</v>
      </c>
      <c r="AA5" s="43"/>
    </row>
    <row r="6" spans="1:27" ht="25.5" hidden="1" customHeight="1" x14ac:dyDescent="0.25">
      <c r="A6" s="15" t="s">
        <v>63</v>
      </c>
      <c r="B6" s="16" t="s">
        <v>64</v>
      </c>
      <c r="C6" s="11">
        <f t="shared" ref="C6" si="0">SUM(D6:I6)</f>
        <v>9741</v>
      </c>
      <c r="D6" s="11">
        <v>181</v>
      </c>
      <c r="E6" s="11">
        <v>1251</v>
      </c>
      <c r="F6" s="11">
        <v>1736</v>
      </c>
      <c r="G6" s="11">
        <v>1517</v>
      </c>
      <c r="H6" s="17">
        <v>2103</v>
      </c>
      <c r="I6" s="11">
        <v>2953</v>
      </c>
      <c r="J6" s="11">
        <v>137</v>
      </c>
      <c r="K6" s="11">
        <v>479</v>
      </c>
      <c r="L6" s="11">
        <v>386</v>
      </c>
      <c r="M6" s="11">
        <v>475</v>
      </c>
      <c r="N6" s="11">
        <v>508</v>
      </c>
      <c r="O6" s="11">
        <v>281</v>
      </c>
      <c r="P6" s="18">
        <f t="shared" ref="P6" si="1">IFERROR(J6/D6,"")</f>
        <v>0.75690607734806625</v>
      </c>
      <c r="Q6" s="18">
        <f t="shared" ref="Q6" si="2">IFERROR(K6/E6,"")</f>
        <v>0.38289368505195842</v>
      </c>
      <c r="R6" s="18">
        <f t="shared" ref="R6" si="3">IFERROR(L6/F6,"")</f>
        <v>0.22235023041474655</v>
      </c>
      <c r="S6" s="18">
        <f t="shared" ref="S6" si="4">IFERROR(M6/G6,"")</f>
        <v>0.31311799604482532</v>
      </c>
      <c r="T6" s="18">
        <f t="shared" ref="T6" si="5">IFERROR(N6/H6,"")</f>
        <v>0.24155967665240133</v>
      </c>
      <c r="U6" s="18">
        <f t="shared" ref="U6" si="6">IFERROR(O6/I6,"")</f>
        <v>9.5157466982729422E-2</v>
      </c>
      <c r="V6" s="29">
        <f>IFERROR(1000*D6/'Normalised Rates'!$B$7,"")</f>
        <v>0.11355081555834379</v>
      </c>
      <c r="W6" s="29">
        <f>IFERROR(1000*E6/'Normalised Rates'!$B$8,"")</f>
        <v>0.66720000000000002</v>
      </c>
      <c r="X6" s="29">
        <f>IFERROR(1000*F6/'Normalised Rates'!$B$9,"")</f>
        <v>0.75940507436570426</v>
      </c>
      <c r="Y6" s="29">
        <f>IFERROR(1000*G6/'Normalised Rates'!$B$10,"")</f>
        <v>0.56541185240402536</v>
      </c>
      <c r="Z6" s="29">
        <f>IFERROR(1000*H6/'Normalised Rates'!$B$11,"")</f>
        <v>0.66698382492863939</v>
      </c>
      <c r="AA6" s="19" t="s">
        <v>65</v>
      </c>
    </row>
    <row r="7" spans="1:27" ht="25.5" customHeight="1" x14ac:dyDescent="0.25">
      <c r="A7" s="20" t="s">
        <v>73</v>
      </c>
      <c r="B7" s="21" t="s">
        <v>67</v>
      </c>
      <c r="C7" s="22">
        <f t="shared" ref="C7:C37" si="7">SUM(D7:I7)</f>
        <v>18497</v>
      </c>
      <c r="D7" s="22">
        <v>201</v>
      </c>
      <c r="E7" s="22">
        <v>415</v>
      </c>
      <c r="F7" s="22">
        <v>993</v>
      </c>
      <c r="G7" s="22">
        <v>1421</v>
      </c>
      <c r="H7" s="23">
        <v>10756</v>
      </c>
      <c r="I7" s="22">
        <v>4711</v>
      </c>
      <c r="J7" s="22">
        <v>16</v>
      </c>
      <c r="K7" s="22">
        <v>51</v>
      </c>
      <c r="L7" s="22">
        <v>79</v>
      </c>
      <c r="M7" s="22">
        <v>145</v>
      </c>
      <c r="N7" s="22">
        <v>111</v>
      </c>
      <c r="O7" s="22">
        <v>43</v>
      </c>
      <c r="P7" s="24">
        <f t="shared" ref="P7:P37" si="8">IFERROR(J7/D7,"")</f>
        <v>7.9601990049751242E-2</v>
      </c>
      <c r="Q7" s="24">
        <f t="shared" ref="Q7:Q37" si="9">IFERROR(K7/E7,"")</f>
        <v>0.12289156626506025</v>
      </c>
      <c r="R7" s="24">
        <f t="shared" ref="R7:R37" si="10">IFERROR(L7/F7,"")</f>
        <v>7.9556898288016112E-2</v>
      </c>
      <c r="S7" s="24">
        <f t="shared" ref="S7:S37" si="11">IFERROR(M7/G7,"")</f>
        <v>0.10204081632653061</v>
      </c>
      <c r="T7" s="24">
        <f t="shared" ref="T7:T37" si="12">IFERROR(N7/H7,"")</f>
        <v>1.0319821494979547E-2</v>
      </c>
      <c r="U7" s="24">
        <f t="shared" ref="U7:U37" si="13">IFERROR(O7/I7,"")</f>
        <v>9.1275737635321593E-3</v>
      </c>
      <c r="V7" s="29">
        <f>IFERROR(1000*D7/'Normalised Rates'!$B$7,"")</f>
        <v>0.12609786700125469</v>
      </c>
      <c r="W7" s="29">
        <f>IFERROR(1000*E7/'Normalised Rates'!$B$8,"")</f>
        <v>0.22133333333333333</v>
      </c>
      <c r="X7" s="29">
        <f>IFERROR(1000*F7/'Normalised Rates'!$B$9,"")</f>
        <v>0.43438320209973752</v>
      </c>
      <c r="Y7" s="29">
        <f>IFERROR(1000*G7/'Normalised Rates'!$B$10,"")</f>
        <v>0.52963101006336188</v>
      </c>
      <c r="Z7" s="29">
        <f>IFERROR(1000*H7/'Normalised Rates'!$B$11,"")</f>
        <v>3.4113542657786233</v>
      </c>
      <c r="AA7" s="19" t="s">
        <v>74</v>
      </c>
    </row>
    <row r="8" spans="1:27" ht="25.5" customHeight="1" x14ac:dyDescent="0.25">
      <c r="A8" s="20" t="s">
        <v>81</v>
      </c>
      <c r="B8" s="21" t="s">
        <v>67</v>
      </c>
      <c r="C8" s="22">
        <f t="shared" si="7"/>
        <v>12812</v>
      </c>
      <c r="D8" s="22">
        <v>31</v>
      </c>
      <c r="E8" s="22">
        <v>165</v>
      </c>
      <c r="F8" s="22">
        <v>295</v>
      </c>
      <c r="G8" s="22">
        <v>495</v>
      </c>
      <c r="H8" s="23">
        <v>7914</v>
      </c>
      <c r="I8" s="22">
        <v>3912</v>
      </c>
      <c r="J8" s="22">
        <v>18</v>
      </c>
      <c r="K8" s="22">
        <v>39</v>
      </c>
      <c r="L8" s="22">
        <v>50</v>
      </c>
      <c r="M8" s="22">
        <v>76</v>
      </c>
      <c r="N8" s="22">
        <v>70</v>
      </c>
      <c r="O8" s="22">
        <v>30</v>
      </c>
      <c r="P8" s="24">
        <f t="shared" si="8"/>
        <v>0.58064516129032262</v>
      </c>
      <c r="Q8" s="24">
        <f t="shared" si="9"/>
        <v>0.23636363636363636</v>
      </c>
      <c r="R8" s="24">
        <f t="shared" si="10"/>
        <v>0.16949152542372881</v>
      </c>
      <c r="S8" s="24">
        <f t="shared" si="11"/>
        <v>0.15353535353535352</v>
      </c>
      <c r="T8" s="24">
        <f t="shared" si="12"/>
        <v>8.845084660096033E-3</v>
      </c>
      <c r="U8" s="24">
        <f t="shared" si="13"/>
        <v>7.6687116564417178E-3</v>
      </c>
      <c r="V8" s="29">
        <f>IFERROR(1000*D8/'Normalised Rates'!$B$7,"")</f>
        <v>1.944792973651192E-2</v>
      </c>
      <c r="W8" s="29">
        <f>IFERROR(1000*E8/'Normalised Rates'!$B$8,"")</f>
        <v>8.7999999999999995E-2</v>
      </c>
      <c r="X8" s="29">
        <f>IFERROR(1000*F8/'Normalised Rates'!$B$9,"")</f>
        <v>0.12904636920384951</v>
      </c>
      <c r="Y8" s="29">
        <f>IFERROR(1000*G8/'Normalised Rates'!$B$10,"")</f>
        <v>0.18449496831904585</v>
      </c>
      <c r="Z8" s="29">
        <f>IFERROR(1000*H8/'Normalised Rates'!$B$11,"")</f>
        <v>2.5099904852521409</v>
      </c>
      <c r="AA8" s="19" t="s">
        <v>82</v>
      </c>
    </row>
    <row r="9" spans="1:27" ht="25.5" hidden="1" customHeight="1" x14ac:dyDescent="0.25">
      <c r="A9" s="15" t="s">
        <v>71</v>
      </c>
      <c r="B9" s="16" t="s">
        <v>64</v>
      </c>
      <c r="C9" s="11">
        <f t="shared" si="7"/>
        <v>6164</v>
      </c>
      <c r="D9" s="11">
        <v>33</v>
      </c>
      <c r="E9" s="11">
        <v>614</v>
      </c>
      <c r="F9" s="11">
        <v>1043</v>
      </c>
      <c r="G9" s="11">
        <v>1227</v>
      </c>
      <c r="H9" s="17">
        <v>1597</v>
      </c>
      <c r="I9" s="11">
        <v>1650</v>
      </c>
      <c r="J9" s="11">
        <v>7</v>
      </c>
      <c r="K9" s="11">
        <v>53</v>
      </c>
      <c r="L9" s="11">
        <v>92</v>
      </c>
      <c r="M9" s="11">
        <v>96</v>
      </c>
      <c r="N9" s="11">
        <v>146</v>
      </c>
      <c r="O9" s="11">
        <v>57</v>
      </c>
      <c r="P9" s="18">
        <f t="shared" si="8"/>
        <v>0.21212121212121213</v>
      </c>
      <c r="Q9" s="18">
        <f t="shared" si="9"/>
        <v>8.6319218241042342E-2</v>
      </c>
      <c r="R9" s="18">
        <f t="shared" si="10"/>
        <v>8.8207094918504314E-2</v>
      </c>
      <c r="S9" s="18">
        <f t="shared" si="11"/>
        <v>7.823960880195599E-2</v>
      </c>
      <c r="T9" s="18">
        <f t="shared" si="12"/>
        <v>9.142141515341265E-2</v>
      </c>
      <c r="U9" s="18">
        <f t="shared" si="13"/>
        <v>3.4545454545454546E-2</v>
      </c>
      <c r="V9" s="29">
        <f>IFERROR(1000*D9/'Normalised Rates'!$B$7,"")</f>
        <v>2.0702634880803011E-2</v>
      </c>
      <c r="W9" s="29">
        <f>IFERROR(1000*E9/'Normalised Rates'!$B$8,"")</f>
        <v>0.32746666666666668</v>
      </c>
      <c r="X9" s="29">
        <f>IFERROR(1000*F9/'Normalised Rates'!$B$9,"")</f>
        <v>0.4562554680664917</v>
      </c>
      <c r="Y9" s="29">
        <f>IFERROR(1000*G9/'Normalised Rates'!$B$10,"")</f>
        <v>0.45732389116660455</v>
      </c>
      <c r="Z9" s="29">
        <f>IFERROR(1000*H9/'Normalised Rates'!$B$11,"")</f>
        <v>0.50650174437044082</v>
      </c>
      <c r="AA9" s="19" t="s">
        <v>72</v>
      </c>
    </row>
    <row r="10" spans="1:27" ht="25.5" customHeight="1" x14ac:dyDescent="0.25">
      <c r="A10" s="15" t="s">
        <v>88</v>
      </c>
      <c r="B10" s="16" t="s">
        <v>84</v>
      </c>
      <c r="C10" s="11">
        <f t="shared" si="7"/>
        <v>9876</v>
      </c>
      <c r="D10" s="11">
        <v>36</v>
      </c>
      <c r="E10" s="11">
        <v>113</v>
      </c>
      <c r="F10" s="11">
        <v>241</v>
      </c>
      <c r="G10" s="11">
        <v>296</v>
      </c>
      <c r="H10" s="17">
        <v>6189</v>
      </c>
      <c r="I10" s="11">
        <v>3001</v>
      </c>
      <c r="J10" s="11">
        <v>11</v>
      </c>
      <c r="K10" s="11">
        <v>23</v>
      </c>
      <c r="L10" s="11">
        <v>46</v>
      </c>
      <c r="M10" s="11">
        <v>74</v>
      </c>
      <c r="N10" s="11">
        <v>49</v>
      </c>
      <c r="O10" s="11">
        <v>19</v>
      </c>
      <c r="P10" s="18">
        <f t="shared" si="8"/>
        <v>0.30555555555555558</v>
      </c>
      <c r="Q10" s="18">
        <f t="shared" si="9"/>
        <v>0.20353982300884957</v>
      </c>
      <c r="R10" s="18">
        <f t="shared" si="10"/>
        <v>0.1908713692946058</v>
      </c>
      <c r="S10" s="18">
        <f t="shared" si="11"/>
        <v>0.25</v>
      </c>
      <c r="T10" s="18">
        <f t="shared" si="12"/>
        <v>7.9172725803845524E-3</v>
      </c>
      <c r="U10" s="18">
        <f t="shared" si="13"/>
        <v>6.3312229256914359E-3</v>
      </c>
      <c r="V10" s="29">
        <f>IFERROR(1000*D10/'Normalised Rates'!$B$7,"")</f>
        <v>2.258469259723965E-2</v>
      </c>
      <c r="W10" s="29">
        <f>IFERROR(1000*E10/'Normalised Rates'!$B$8,"")</f>
        <v>6.026666666666667E-2</v>
      </c>
      <c r="X10" s="29">
        <f>IFERROR(1000*F10/'Normalised Rates'!$B$9,"")</f>
        <v>0.10542432195975503</v>
      </c>
      <c r="Y10" s="29">
        <f>IFERROR(1000*G10/'Normalised Rates'!$B$10,"")</f>
        <v>0.11032426388371226</v>
      </c>
      <c r="Z10" s="29">
        <f>IFERROR(1000*H10/'Normalised Rates'!$B$11,"")</f>
        <v>1.9628924833491912</v>
      </c>
      <c r="AA10" s="19" t="s">
        <v>89</v>
      </c>
    </row>
    <row r="11" spans="1:27" ht="25.5" customHeight="1" x14ac:dyDescent="0.25">
      <c r="A11" s="20" t="s">
        <v>100</v>
      </c>
      <c r="B11" s="21" t="s">
        <v>67</v>
      </c>
      <c r="C11" s="22">
        <f t="shared" si="7"/>
        <v>8108</v>
      </c>
      <c r="D11" s="22">
        <v>109</v>
      </c>
      <c r="E11" s="22">
        <v>257</v>
      </c>
      <c r="F11" s="22">
        <v>691</v>
      </c>
      <c r="G11" s="22">
        <v>664</v>
      </c>
      <c r="H11" s="23">
        <v>4636</v>
      </c>
      <c r="I11" s="22">
        <v>1751</v>
      </c>
      <c r="J11" s="22">
        <v>8</v>
      </c>
      <c r="K11" s="22">
        <v>26</v>
      </c>
      <c r="L11" s="22">
        <v>30</v>
      </c>
      <c r="M11" s="22">
        <v>29</v>
      </c>
      <c r="N11" s="22">
        <v>34</v>
      </c>
      <c r="O11" s="22">
        <v>14</v>
      </c>
      <c r="P11" s="24">
        <f t="shared" si="8"/>
        <v>7.3394495412844041E-2</v>
      </c>
      <c r="Q11" s="24">
        <f t="shared" si="9"/>
        <v>0.10116731517509728</v>
      </c>
      <c r="R11" s="24">
        <f t="shared" si="10"/>
        <v>4.3415340086830678E-2</v>
      </c>
      <c r="S11" s="24">
        <f t="shared" si="11"/>
        <v>4.3674698795180725E-2</v>
      </c>
      <c r="T11" s="24">
        <f t="shared" si="12"/>
        <v>7.3339085418464194E-3</v>
      </c>
      <c r="U11" s="24">
        <f t="shared" si="13"/>
        <v>7.9954311821816108E-3</v>
      </c>
      <c r="V11" s="29">
        <f>IFERROR(1000*D11/'Normalised Rates'!$B$7,"")</f>
        <v>6.8381430363864487E-2</v>
      </c>
      <c r="W11" s="29">
        <f>IFERROR(1000*E11/'Normalised Rates'!$B$8,"")</f>
        <v>0.13706666666666667</v>
      </c>
      <c r="X11" s="29">
        <f>IFERROR(1000*F11/'Normalised Rates'!$B$9,"")</f>
        <v>0.30227471566054243</v>
      </c>
      <c r="Y11" s="29">
        <f>IFERROR(1000*G11/'Normalised Rates'!$B$10,"")</f>
        <v>0.2474841595229221</v>
      </c>
      <c r="Z11" s="29">
        <f>IFERROR(1000*H11/'Normalised Rates'!$B$11,"")</f>
        <v>1.4703457025055502</v>
      </c>
      <c r="AA11" s="19" t="s">
        <v>101</v>
      </c>
    </row>
    <row r="12" spans="1:27" ht="25.5" hidden="1" customHeight="1" x14ac:dyDescent="0.25">
      <c r="A12" s="15" t="s">
        <v>77</v>
      </c>
      <c r="B12" s="16" t="s">
        <v>64</v>
      </c>
      <c r="C12" s="11">
        <f t="shared" si="7"/>
        <v>2605</v>
      </c>
      <c r="D12" s="11">
        <v>315</v>
      </c>
      <c r="E12" s="11">
        <v>280</v>
      </c>
      <c r="F12" s="11">
        <v>351</v>
      </c>
      <c r="G12" s="11">
        <v>823</v>
      </c>
      <c r="H12" s="17">
        <v>564</v>
      </c>
      <c r="I12" s="11">
        <v>272</v>
      </c>
      <c r="J12" s="11">
        <v>50</v>
      </c>
      <c r="K12" s="11">
        <v>48</v>
      </c>
      <c r="L12" s="11">
        <v>47</v>
      </c>
      <c r="M12" s="11">
        <v>95</v>
      </c>
      <c r="N12" s="11">
        <v>75</v>
      </c>
      <c r="O12" s="11">
        <v>29</v>
      </c>
      <c r="P12" s="18">
        <f t="shared" si="8"/>
        <v>0.15873015873015872</v>
      </c>
      <c r="Q12" s="18">
        <f t="shared" si="9"/>
        <v>0.17142857142857143</v>
      </c>
      <c r="R12" s="18">
        <f t="shared" si="10"/>
        <v>0.13390313390313391</v>
      </c>
      <c r="S12" s="18">
        <f t="shared" si="11"/>
        <v>0.11543134872417983</v>
      </c>
      <c r="T12" s="18">
        <f t="shared" si="12"/>
        <v>0.13297872340425532</v>
      </c>
      <c r="U12" s="18">
        <f t="shared" si="13"/>
        <v>0.10661764705882353</v>
      </c>
      <c r="V12" s="29">
        <f>IFERROR(1000*D12/'Normalised Rates'!$B$7,"")</f>
        <v>0.19761606022584693</v>
      </c>
      <c r="W12" s="29">
        <f>IFERROR(1000*E12/'Normalised Rates'!$B$8,"")</f>
        <v>0.14933333333333335</v>
      </c>
      <c r="X12" s="29">
        <f>IFERROR(1000*F12/'Normalised Rates'!$B$9,"")</f>
        <v>0.15354330708661418</v>
      </c>
      <c r="Y12" s="29">
        <f>IFERROR(1000*G12/'Normalised Rates'!$B$10,"")</f>
        <v>0.3067461796496459</v>
      </c>
      <c r="Z12" s="29">
        <f>IFERROR(1000*H12/'Normalised Rates'!$B$11,"")</f>
        <v>0.17887725975261656</v>
      </c>
      <c r="AA12" s="19" t="s">
        <v>78</v>
      </c>
    </row>
    <row r="13" spans="1:27" ht="25.5" customHeight="1" x14ac:dyDescent="0.25">
      <c r="A13" s="15" t="s">
        <v>86</v>
      </c>
      <c r="B13" s="16" t="s">
        <v>84</v>
      </c>
      <c r="C13" s="11">
        <f t="shared" si="7"/>
        <v>7374</v>
      </c>
      <c r="D13" s="11">
        <v>33</v>
      </c>
      <c r="E13" s="11">
        <v>124</v>
      </c>
      <c r="F13" s="11">
        <v>337</v>
      </c>
      <c r="G13" s="11">
        <v>1403</v>
      </c>
      <c r="H13" s="17">
        <v>3587</v>
      </c>
      <c r="I13" s="11">
        <v>1890</v>
      </c>
      <c r="J13" s="11">
        <v>23</v>
      </c>
      <c r="K13" s="11">
        <v>49</v>
      </c>
      <c r="L13" s="11">
        <v>51</v>
      </c>
      <c r="M13" s="11">
        <v>59</v>
      </c>
      <c r="N13" s="11">
        <v>54</v>
      </c>
      <c r="O13" s="11">
        <v>24</v>
      </c>
      <c r="P13" s="18">
        <f t="shared" si="8"/>
        <v>0.69696969696969702</v>
      </c>
      <c r="Q13" s="18">
        <f t="shared" si="9"/>
        <v>0.39516129032258063</v>
      </c>
      <c r="R13" s="18">
        <f t="shared" si="10"/>
        <v>0.1513353115727003</v>
      </c>
      <c r="S13" s="18">
        <f t="shared" si="11"/>
        <v>4.2052744119743406E-2</v>
      </c>
      <c r="T13" s="18">
        <f t="shared" si="12"/>
        <v>1.5054362977418455E-2</v>
      </c>
      <c r="U13" s="18">
        <f t="shared" si="13"/>
        <v>1.2698412698412698E-2</v>
      </c>
      <c r="V13" s="29">
        <f>IFERROR(1000*D13/'Normalised Rates'!$B$7,"")</f>
        <v>2.0702634880803011E-2</v>
      </c>
      <c r="W13" s="29">
        <f>IFERROR(1000*E13/'Normalised Rates'!$B$8,"")</f>
        <v>6.6133333333333336E-2</v>
      </c>
      <c r="X13" s="29">
        <f>IFERROR(1000*F13/'Normalised Rates'!$B$9,"")</f>
        <v>0.14741907261592302</v>
      </c>
      <c r="Y13" s="29">
        <f>IFERROR(1000*G13/'Normalised Rates'!$B$10,"")</f>
        <v>0.52292210212448753</v>
      </c>
      <c r="Z13" s="29">
        <f>IFERROR(1000*H13/'Normalised Rates'!$B$11,"")</f>
        <v>1.1376466856961625</v>
      </c>
      <c r="AA13" s="19" t="s">
        <v>87</v>
      </c>
    </row>
    <row r="14" spans="1:27" ht="25.5" customHeight="1" x14ac:dyDescent="0.25">
      <c r="A14" s="20" t="s">
        <v>75</v>
      </c>
      <c r="B14" s="21" t="s">
        <v>67</v>
      </c>
      <c r="C14" s="22">
        <f t="shared" si="7"/>
        <v>4310</v>
      </c>
      <c r="D14" s="22">
        <v>61</v>
      </c>
      <c r="E14" s="22">
        <v>177</v>
      </c>
      <c r="F14" s="22">
        <v>537</v>
      </c>
      <c r="G14" s="22">
        <v>617</v>
      </c>
      <c r="H14" s="23">
        <v>1860</v>
      </c>
      <c r="I14" s="22">
        <v>1058</v>
      </c>
      <c r="J14" s="22">
        <v>18</v>
      </c>
      <c r="K14" s="22">
        <v>53</v>
      </c>
      <c r="L14" s="22">
        <v>96</v>
      </c>
      <c r="M14" s="22">
        <v>105</v>
      </c>
      <c r="N14" s="22">
        <v>117</v>
      </c>
      <c r="O14" s="22">
        <v>35</v>
      </c>
      <c r="P14" s="24">
        <f t="shared" si="8"/>
        <v>0.29508196721311475</v>
      </c>
      <c r="Q14" s="24">
        <f t="shared" si="9"/>
        <v>0.29943502824858759</v>
      </c>
      <c r="R14" s="24">
        <f t="shared" si="10"/>
        <v>0.1787709497206704</v>
      </c>
      <c r="S14" s="24">
        <f t="shared" si="11"/>
        <v>0.17017828200972449</v>
      </c>
      <c r="T14" s="24">
        <f t="shared" si="12"/>
        <v>6.2903225806451607E-2</v>
      </c>
      <c r="U14" s="24">
        <f t="shared" si="13"/>
        <v>3.3081285444234401E-2</v>
      </c>
      <c r="V14" s="29">
        <f>IFERROR(1000*D14/'Normalised Rates'!$B$7,"")</f>
        <v>3.8268506900878296E-2</v>
      </c>
      <c r="W14" s="29">
        <f>IFERROR(1000*E14/'Normalised Rates'!$B$8,"")</f>
        <v>9.4399999999999998E-2</v>
      </c>
      <c r="X14" s="29">
        <f>IFERROR(1000*F14/'Normalised Rates'!$B$9,"")</f>
        <v>0.23490813648293962</v>
      </c>
      <c r="Y14" s="29">
        <f>IFERROR(1000*G14/'Normalised Rates'!$B$10,"")</f>
        <v>0.22996645546030564</v>
      </c>
      <c r="Z14" s="29">
        <f>IFERROR(1000*H14/'Normalised Rates'!$B$11,"")</f>
        <v>0.58991436726926738</v>
      </c>
      <c r="AA14" s="19" t="s">
        <v>76</v>
      </c>
    </row>
    <row r="15" spans="1:27" ht="25.5" customHeight="1" x14ac:dyDescent="0.25">
      <c r="A15" s="15" t="s">
        <v>83</v>
      </c>
      <c r="B15" s="16" t="s">
        <v>84</v>
      </c>
      <c r="C15" s="11">
        <f t="shared" si="7"/>
        <v>4744</v>
      </c>
      <c r="D15" s="11">
        <v>59</v>
      </c>
      <c r="E15" s="11">
        <v>328</v>
      </c>
      <c r="F15" s="11">
        <v>868</v>
      </c>
      <c r="G15" s="11">
        <v>1008</v>
      </c>
      <c r="H15" s="17">
        <v>1720</v>
      </c>
      <c r="I15" s="11">
        <v>761</v>
      </c>
      <c r="J15" s="11">
        <v>7</v>
      </c>
      <c r="K15" s="11">
        <v>44</v>
      </c>
      <c r="L15" s="11">
        <v>74</v>
      </c>
      <c r="M15" s="11">
        <v>78</v>
      </c>
      <c r="N15" s="11">
        <v>57</v>
      </c>
      <c r="O15" s="11">
        <v>19</v>
      </c>
      <c r="P15" s="18">
        <f t="shared" si="8"/>
        <v>0.11864406779661017</v>
      </c>
      <c r="Q15" s="18">
        <f t="shared" si="9"/>
        <v>0.13414634146341464</v>
      </c>
      <c r="R15" s="18">
        <f t="shared" si="10"/>
        <v>8.5253456221198162E-2</v>
      </c>
      <c r="S15" s="18">
        <f t="shared" si="11"/>
        <v>7.7380952380952384E-2</v>
      </c>
      <c r="T15" s="18">
        <f t="shared" si="12"/>
        <v>3.3139534883720928E-2</v>
      </c>
      <c r="U15" s="18">
        <f t="shared" si="13"/>
        <v>2.4967148488830485E-2</v>
      </c>
      <c r="V15" s="29">
        <f>IFERROR(1000*D15/'Normalised Rates'!$B$7,"")</f>
        <v>3.7013801756587202E-2</v>
      </c>
      <c r="W15" s="29">
        <f>IFERROR(1000*E15/'Normalised Rates'!$B$8,"")</f>
        <v>0.17493333333333333</v>
      </c>
      <c r="X15" s="29">
        <f>IFERROR(1000*F15/'Normalised Rates'!$B$9,"")</f>
        <v>0.37970253718285213</v>
      </c>
      <c r="Y15" s="29">
        <f>IFERROR(1000*G15/'Normalised Rates'!$B$10,"")</f>
        <v>0.37569884457696606</v>
      </c>
      <c r="Z15" s="29">
        <f>IFERROR(1000*H15/'Normalised Rates'!$B$11,"")</f>
        <v>0.54551221059308597</v>
      </c>
      <c r="AA15" s="19" t="s">
        <v>85</v>
      </c>
    </row>
    <row r="16" spans="1:27" ht="25.5" customHeight="1" x14ac:dyDescent="0.25">
      <c r="A16" s="15" t="s">
        <v>98</v>
      </c>
      <c r="B16" s="16" t="s">
        <v>84</v>
      </c>
      <c r="C16" s="11">
        <f t="shared" si="7"/>
        <v>2822</v>
      </c>
      <c r="D16" s="11">
        <v>37</v>
      </c>
      <c r="E16" s="11">
        <v>62</v>
      </c>
      <c r="F16" s="11">
        <v>183</v>
      </c>
      <c r="G16" s="11">
        <v>81</v>
      </c>
      <c r="H16" s="17">
        <v>1589</v>
      </c>
      <c r="I16" s="11">
        <v>870</v>
      </c>
      <c r="J16" s="11">
        <v>22</v>
      </c>
      <c r="K16" s="11">
        <v>27</v>
      </c>
      <c r="L16" s="11">
        <v>60</v>
      </c>
      <c r="M16" s="11">
        <v>15</v>
      </c>
      <c r="N16" s="11">
        <v>22</v>
      </c>
      <c r="O16" s="11">
        <v>13</v>
      </c>
      <c r="P16" s="18">
        <f t="shared" si="8"/>
        <v>0.59459459459459463</v>
      </c>
      <c r="Q16" s="18">
        <f t="shared" si="9"/>
        <v>0.43548387096774194</v>
      </c>
      <c r="R16" s="18">
        <f t="shared" si="10"/>
        <v>0.32786885245901637</v>
      </c>
      <c r="S16" s="18">
        <f t="shared" si="11"/>
        <v>0.18518518518518517</v>
      </c>
      <c r="T16" s="18">
        <f t="shared" si="12"/>
        <v>1.3845185651353053E-2</v>
      </c>
      <c r="U16" s="18">
        <f t="shared" si="13"/>
        <v>1.4942528735632184E-2</v>
      </c>
      <c r="V16" s="29">
        <f>IFERROR(1000*D16/'Normalised Rates'!$B$7,"")</f>
        <v>2.3212045169385194E-2</v>
      </c>
      <c r="W16" s="29">
        <f>IFERROR(1000*E16/'Normalised Rates'!$B$8,"")</f>
        <v>3.3066666666666668E-2</v>
      </c>
      <c r="X16" s="29">
        <f>IFERROR(1000*F16/'Normalised Rates'!$B$9,"")</f>
        <v>8.0052493438320216E-2</v>
      </c>
      <c r="Y16" s="29">
        <f>IFERROR(1000*G16/'Normalised Rates'!$B$10,"")</f>
        <v>3.0190085724934774E-2</v>
      </c>
      <c r="Z16" s="29">
        <f>IFERROR(1000*H16/'Normalised Rates'!$B$11,"")</f>
        <v>0.50396447827465907</v>
      </c>
      <c r="AA16" s="19" t="s">
        <v>99</v>
      </c>
    </row>
    <row r="17" spans="1:27" ht="25.5" customHeight="1" x14ac:dyDescent="0.25">
      <c r="A17" s="15" t="s">
        <v>102</v>
      </c>
      <c r="B17" s="16" t="s">
        <v>84</v>
      </c>
      <c r="C17" s="11">
        <f t="shared" si="7"/>
        <v>2303</v>
      </c>
      <c r="D17" s="11">
        <v>11</v>
      </c>
      <c r="E17" s="11">
        <v>79</v>
      </c>
      <c r="F17" s="11">
        <v>131</v>
      </c>
      <c r="G17" s="11">
        <v>77</v>
      </c>
      <c r="H17" s="17">
        <v>1179</v>
      </c>
      <c r="I17" s="11">
        <v>826</v>
      </c>
      <c r="J17" s="11">
        <v>8</v>
      </c>
      <c r="K17" s="11">
        <v>11</v>
      </c>
      <c r="L17" s="11">
        <v>19</v>
      </c>
      <c r="M17" s="11">
        <v>20</v>
      </c>
      <c r="N17" s="11">
        <v>24</v>
      </c>
      <c r="O17" s="11">
        <v>9</v>
      </c>
      <c r="P17" s="18">
        <f t="shared" si="8"/>
        <v>0.72727272727272729</v>
      </c>
      <c r="Q17" s="18">
        <f t="shared" si="9"/>
        <v>0.13924050632911392</v>
      </c>
      <c r="R17" s="18">
        <f t="shared" si="10"/>
        <v>0.14503816793893129</v>
      </c>
      <c r="S17" s="18">
        <f t="shared" si="11"/>
        <v>0.25974025974025972</v>
      </c>
      <c r="T17" s="18">
        <f t="shared" si="12"/>
        <v>2.0356234096692113E-2</v>
      </c>
      <c r="U17" s="18">
        <f t="shared" si="13"/>
        <v>1.0895883777239709E-2</v>
      </c>
      <c r="V17" s="29">
        <f>IFERROR(1000*D17/'Normalised Rates'!$B$7,"")</f>
        <v>6.9008782936010038E-3</v>
      </c>
      <c r="W17" s="29">
        <f>IFERROR(1000*E17/'Normalised Rates'!$B$8,"")</f>
        <v>4.2133333333333335E-2</v>
      </c>
      <c r="X17" s="29">
        <f>IFERROR(1000*F17/'Normalised Rates'!$B$9,"")</f>
        <v>5.730533683289589E-2</v>
      </c>
      <c r="Y17" s="29">
        <f>IFERROR(1000*G17/'Normalised Rates'!$B$10,"")</f>
        <v>2.8699217294073799E-2</v>
      </c>
      <c r="Z17" s="29">
        <f>IFERROR(1000*H17/'Normalised Rates'!$B$11,"")</f>
        <v>0.37392959086584204</v>
      </c>
      <c r="AA17" s="19" t="s">
        <v>103</v>
      </c>
    </row>
    <row r="18" spans="1:27" ht="25.5" customHeight="1" x14ac:dyDescent="0.25">
      <c r="A18" s="20" t="s">
        <v>107</v>
      </c>
      <c r="B18" s="21" t="s">
        <v>67</v>
      </c>
      <c r="C18" s="22">
        <f t="shared" si="7"/>
        <v>1255</v>
      </c>
      <c r="D18" s="22">
        <v>16</v>
      </c>
      <c r="E18" s="22">
        <v>37</v>
      </c>
      <c r="F18" s="22">
        <v>120</v>
      </c>
      <c r="G18" s="22">
        <v>91</v>
      </c>
      <c r="H18" s="23">
        <v>678</v>
      </c>
      <c r="I18" s="22">
        <v>313</v>
      </c>
      <c r="J18" s="22">
        <v>6</v>
      </c>
      <c r="K18" s="22">
        <v>7</v>
      </c>
      <c r="L18" s="22">
        <v>18</v>
      </c>
      <c r="M18" s="22">
        <v>10</v>
      </c>
      <c r="N18" s="22">
        <v>16</v>
      </c>
      <c r="O18" s="22">
        <v>4</v>
      </c>
      <c r="P18" s="24">
        <f t="shared" si="8"/>
        <v>0.375</v>
      </c>
      <c r="Q18" s="24">
        <f t="shared" si="9"/>
        <v>0.1891891891891892</v>
      </c>
      <c r="R18" s="24">
        <f t="shared" si="10"/>
        <v>0.15</v>
      </c>
      <c r="S18" s="24">
        <f t="shared" si="11"/>
        <v>0.10989010989010989</v>
      </c>
      <c r="T18" s="24">
        <f t="shared" si="12"/>
        <v>2.359882005899705E-2</v>
      </c>
      <c r="U18" s="24">
        <f t="shared" si="13"/>
        <v>1.2779552715654952E-2</v>
      </c>
      <c r="V18" s="29">
        <f>IFERROR(1000*D18/'Normalised Rates'!$B$7,"")</f>
        <v>1.0037641154328732E-2</v>
      </c>
      <c r="W18" s="29">
        <f>IFERROR(1000*E18/'Normalised Rates'!$B$8,"")</f>
        <v>1.9733333333333332E-2</v>
      </c>
      <c r="X18" s="29">
        <f>IFERROR(1000*F18/'Normalised Rates'!$B$9,"")</f>
        <v>5.2493438320209973E-2</v>
      </c>
      <c r="Y18" s="29">
        <f>IFERROR(1000*G18/'Normalised Rates'!$B$10,"")</f>
        <v>3.3917256802087216E-2</v>
      </c>
      <c r="Z18" s="29">
        <f>IFERROR(1000*H18/'Normalised Rates'!$B$11,"")</f>
        <v>0.21503330161750714</v>
      </c>
      <c r="AA18" s="19" t="s">
        <v>108</v>
      </c>
    </row>
    <row r="19" spans="1:27" ht="25.5" customHeight="1" x14ac:dyDescent="0.25">
      <c r="A19" s="20" t="s">
        <v>66</v>
      </c>
      <c r="B19" s="21" t="s">
        <v>67</v>
      </c>
      <c r="C19" s="22">
        <f t="shared" si="7"/>
        <v>2687</v>
      </c>
      <c r="D19" s="22">
        <v>68</v>
      </c>
      <c r="E19" s="22">
        <v>258</v>
      </c>
      <c r="F19" s="22">
        <v>758</v>
      </c>
      <c r="G19" s="22">
        <v>487</v>
      </c>
      <c r="H19" s="23">
        <v>661</v>
      </c>
      <c r="I19" s="22">
        <v>455</v>
      </c>
      <c r="J19" s="22">
        <v>66</v>
      </c>
      <c r="K19" s="22">
        <v>147</v>
      </c>
      <c r="L19" s="22">
        <v>311</v>
      </c>
      <c r="M19" s="22">
        <v>210</v>
      </c>
      <c r="N19" s="22">
        <v>229</v>
      </c>
      <c r="O19" s="22">
        <v>68</v>
      </c>
      <c r="P19" s="24">
        <f t="shared" si="8"/>
        <v>0.97058823529411764</v>
      </c>
      <c r="Q19" s="24">
        <f t="shared" si="9"/>
        <v>0.56976744186046513</v>
      </c>
      <c r="R19" s="24">
        <f t="shared" si="10"/>
        <v>0.41029023746701848</v>
      </c>
      <c r="S19" s="24">
        <f t="shared" si="11"/>
        <v>0.43121149897330596</v>
      </c>
      <c r="T19" s="24">
        <f t="shared" si="12"/>
        <v>0.34644478063540091</v>
      </c>
      <c r="U19" s="24">
        <f t="shared" si="13"/>
        <v>0.14945054945054945</v>
      </c>
      <c r="V19" s="29">
        <f>IFERROR(1000*D19/'Normalised Rates'!$B$7,"")</f>
        <v>4.2659974905897118E-2</v>
      </c>
      <c r="W19" s="29">
        <f>IFERROR(1000*E19/'Normalised Rates'!$B$8,"")</f>
        <v>0.1376</v>
      </c>
      <c r="X19" s="29">
        <f>IFERROR(1000*F19/'Normalised Rates'!$B$9,"")</f>
        <v>0.33158355205599299</v>
      </c>
      <c r="Y19" s="29">
        <f>IFERROR(1000*G19/'Normalised Rates'!$B$10,"")</f>
        <v>0.1815132314573239</v>
      </c>
      <c r="Z19" s="29">
        <f>IFERROR(1000*H19/'Normalised Rates'!$B$11,"")</f>
        <v>0.20964161116397081</v>
      </c>
      <c r="AA19" s="19" t="s">
        <v>68</v>
      </c>
    </row>
    <row r="20" spans="1:27" ht="25.5" hidden="1" customHeight="1" x14ac:dyDescent="0.25">
      <c r="A20" s="15" t="s">
        <v>94</v>
      </c>
      <c r="B20" s="16" t="s">
        <v>64</v>
      </c>
      <c r="C20" s="11">
        <f t="shared" si="7"/>
        <v>2548</v>
      </c>
      <c r="D20" s="11">
        <v>93</v>
      </c>
      <c r="E20" s="11">
        <v>383</v>
      </c>
      <c r="F20" s="11">
        <v>570</v>
      </c>
      <c r="G20" s="11">
        <v>456</v>
      </c>
      <c r="H20" s="17">
        <v>579</v>
      </c>
      <c r="I20" s="11">
        <v>467</v>
      </c>
      <c r="J20" s="11">
        <v>2</v>
      </c>
      <c r="K20" s="11">
        <v>25</v>
      </c>
      <c r="L20" s="11">
        <v>45</v>
      </c>
      <c r="M20" s="11">
        <v>47</v>
      </c>
      <c r="N20" s="11">
        <v>38</v>
      </c>
      <c r="O20" s="11">
        <v>20</v>
      </c>
      <c r="P20" s="18">
        <f t="shared" si="8"/>
        <v>2.1505376344086023E-2</v>
      </c>
      <c r="Q20" s="18">
        <f t="shared" si="9"/>
        <v>6.5274151436031339E-2</v>
      </c>
      <c r="R20" s="18">
        <f t="shared" si="10"/>
        <v>7.8947368421052627E-2</v>
      </c>
      <c r="S20" s="18">
        <f t="shared" si="11"/>
        <v>0.10307017543859649</v>
      </c>
      <c r="T20" s="18">
        <f t="shared" si="12"/>
        <v>6.563039723661486E-2</v>
      </c>
      <c r="U20" s="18">
        <f t="shared" si="13"/>
        <v>4.2826552462526764E-2</v>
      </c>
      <c r="V20" s="29">
        <f>IFERROR(1000*D20/'Normalised Rates'!$B$7,"")</f>
        <v>5.8343789209535757E-2</v>
      </c>
      <c r="W20" s="29">
        <f>IFERROR(1000*E20/'Normalised Rates'!$B$8,"")</f>
        <v>0.20426666666666668</v>
      </c>
      <c r="X20" s="29">
        <f>IFERROR(1000*F20/'Normalised Rates'!$B$9,"")</f>
        <v>0.24934383202099739</v>
      </c>
      <c r="Y20" s="29">
        <f>IFERROR(1000*G20/'Normalised Rates'!$B$10,"")</f>
        <v>0.16995900111815132</v>
      </c>
      <c r="Z20" s="29">
        <f>IFERROR(1000*H20/'Normalised Rates'!$B$11,"")</f>
        <v>0.18363463368220742</v>
      </c>
      <c r="AA20" s="19" t="s">
        <v>95</v>
      </c>
    </row>
    <row r="21" spans="1:27" ht="25.5" customHeight="1" x14ac:dyDescent="0.25">
      <c r="A21" s="20" t="s">
        <v>69</v>
      </c>
      <c r="B21" s="21" t="s">
        <v>67</v>
      </c>
      <c r="C21" s="22">
        <f t="shared" si="7"/>
        <v>2077</v>
      </c>
      <c r="D21" s="22">
        <v>104</v>
      </c>
      <c r="E21" s="22">
        <v>234</v>
      </c>
      <c r="F21" s="22">
        <v>417</v>
      </c>
      <c r="G21" s="22">
        <v>370</v>
      </c>
      <c r="H21" s="23">
        <v>652</v>
      </c>
      <c r="I21" s="22">
        <v>300</v>
      </c>
      <c r="J21" s="22">
        <v>40</v>
      </c>
      <c r="K21" s="22">
        <v>85</v>
      </c>
      <c r="L21" s="22">
        <v>91</v>
      </c>
      <c r="M21" s="22">
        <v>103</v>
      </c>
      <c r="N21" s="22">
        <v>113</v>
      </c>
      <c r="O21" s="22">
        <v>46</v>
      </c>
      <c r="P21" s="24">
        <f t="shared" si="8"/>
        <v>0.38461538461538464</v>
      </c>
      <c r="Q21" s="24">
        <f t="shared" si="9"/>
        <v>0.36324786324786323</v>
      </c>
      <c r="R21" s="24">
        <f t="shared" si="10"/>
        <v>0.21822541966426859</v>
      </c>
      <c r="S21" s="24">
        <f t="shared" si="11"/>
        <v>0.27837837837837837</v>
      </c>
      <c r="T21" s="24">
        <f t="shared" si="12"/>
        <v>0.17331288343558282</v>
      </c>
      <c r="U21" s="24">
        <f t="shared" si="13"/>
        <v>0.15333333333333332</v>
      </c>
      <c r="V21" s="29">
        <f>IFERROR(1000*D21/'Normalised Rates'!$B$7,"")</f>
        <v>6.5244667503136761E-2</v>
      </c>
      <c r="W21" s="29">
        <f>IFERROR(1000*E21/'Normalised Rates'!$B$8,"")</f>
        <v>0.12479999999999999</v>
      </c>
      <c r="X21" s="29">
        <f>IFERROR(1000*F21/'Normalised Rates'!$B$9,"")</f>
        <v>0.18241469816272965</v>
      </c>
      <c r="Y21" s="29">
        <f>IFERROR(1000*G21/'Normalised Rates'!$B$10,"")</f>
        <v>0.13790532985464032</v>
      </c>
      <c r="Z21" s="29">
        <f>IFERROR(1000*H21/'Normalised Rates'!$B$11,"")</f>
        <v>0.2067871868062163</v>
      </c>
      <c r="AA21" s="19" t="s">
        <v>70</v>
      </c>
    </row>
    <row r="22" spans="1:27" ht="25.5" customHeight="1" x14ac:dyDescent="0.25">
      <c r="A22" s="20" t="s">
        <v>90</v>
      </c>
      <c r="B22" s="21" t="s">
        <v>67</v>
      </c>
      <c r="C22" s="22">
        <f t="shared" si="7"/>
        <v>1777</v>
      </c>
      <c r="D22" s="22">
        <v>108</v>
      </c>
      <c r="E22" s="22">
        <v>150</v>
      </c>
      <c r="F22" s="22">
        <v>282</v>
      </c>
      <c r="G22" s="22">
        <v>304</v>
      </c>
      <c r="H22" s="23">
        <v>645</v>
      </c>
      <c r="I22" s="22">
        <v>288</v>
      </c>
      <c r="J22" s="22">
        <v>14</v>
      </c>
      <c r="K22" s="22">
        <v>19</v>
      </c>
      <c r="L22" s="22">
        <v>44</v>
      </c>
      <c r="M22" s="22">
        <v>39</v>
      </c>
      <c r="N22" s="22">
        <v>64</v>
      </c>
      <c r="O22" s="22">
        <v>25</v>
      </c>
      <c r="P22" s="24">
        <f t="shared" si="8"/>
        <v>0.12962962962962962</v>
      </c>
      <c r="Q22" s="24">
        <f t="shared" si="9"/>
        <v>0.12666666666666668</v>
      </c>
      <c r="R22" s="24">
        <f t="shared" si="10"/>
        <v>0.15602836879432624</v>
      </c>
      <c r="S22" s="24">
        <f t="shared" si="11"/>
        <v>0.12828947368421054</v>
      </c>
      <c r="T22" s="24">
        <f t="shared" si="12"/>
        <v>9.9224806201550386E-2</v>
      </c>
      <c r="U22" s="24">
        <f t="shared" si="13"/>
        <v>8.6805555555555552E-2</v>
      </c>
      <c r="V22" s="29">
        <f>IFERROR(1000*D22/'Normalised Rates'!$B$7,"")</f>
        <v>6.775407779171895E-2</v>
      </c>
      <c r="W22" s="29">
        <f>IFERROR(1000*E22/'Normalised Rates'!$B$8,"")</f>
        <v>0.08</v>
      </c>
      <c r="X22" s="29">
        <f>IFERROR(1000*F22/'Normalised Rates'!$B$9,"")</f>
        <v>0.12335958005249344</v>
      </c>
      <c r="Y22" s="29">
        <f>IFERROR(1000*G22/'Normalised Rates'!$B$10,"")</f>
        <v>0.11330600074543422</v>
      </c>
      <c r="Z22" s="29">
        <f>IFERROR(1000*H22/'Normalised Rates'!$B$11,"")</f>
        <v>0.20456707897240722</v>
      </c>
      <c r="AA22" s="19" t="s">
        <v>91</v>
      </c>
    </row>
    <row r="23" spans="1:27" ht="25.5" customHeight="1" x14ac:dyDescent="0.25">
      <c r="A23" s="15" t="s">
        <v>113</v>
      </c>
      <c r="B23" s="16" t="s">
        <v>84</v>
      </c>
      <c r="C23" s="11">
        <f t="shared" si="7"/>
        <v>1421</v>
      </c>
      <c r="D23" s="11">
        <v>114</v>
      </c>
      <c r="E23" s="11">
        <v>133</v>
      </c>
      <c r="F23" s="11">
        <v>212</v>
      </c>
      <c r="G23" s="11">
        <v>364</v>
      </c>
      <c r="H23" s="17">
        <v>464</v>
      </c>
      <c r="I23" s="11">
        <v>134</v>
      </c>
      <c r="J23" s="11">
        <v>1</v>
      </c>
      <c r="K23" s="11">
        <v>10</v>
      </c>
      <c r="L23" s="11">
        <v>7</v>
      </c>
      <c r="M23" s="11">
        <v>9</v>
      </c>
      <c r="N23" s="11">
        <v>10</v>
      </c>
      <c r="O23" s="11">
        <v>0</v>
      </c>
      <c r="P23" s="18">
        <f t="shared" si="8"/>
        <v>8.771929824561403E-3</v>
      </c>
      <c r="Q23" s="18">
        <f t="shared" si="9"/>
        <v>7.5187969924812026E-2</v>
      </c>
      <c r="R23" s="18">
        <f t="shared" si="10"/>
        <v>3.3018867924528301E-2</v>
      </c>
      <c r="S23" s="18">
        <f t="shared" si="11"/>
        <v>2.4725274725274724E-2</v>
      </c>
      <c r="T23" s="18">
        <f t="shared" si="12"/>
        <v>2.1551724137931036E-2</v>
      </c>
      <c r="U23" s="18">
        <f t="shared" si="13"/>
        <v>0</v>
      </c>
      <c r="V23" s="29">
        <f>IFERROR(1000*D23/'Normalised Rates'!$B$7,"")</f>
        <v>7.1518193224592227E-2</v>
      </c>
      <c r="W23" s="29">
        <f>IFERROR(1000*E23/'Normalised Rates'!$B$8,"")</f>
        <v>7.0933333333333334E-2</v>
      </c>
      <c r="X23" s="29">
        <f>IFERROR(1000*F23/'Normalised Rates'!$B$9,"")</f>
        <v>9.2738407699037614E-2</v>
      </c>
      <c r="Y23" s="29">
        <f>IFERROR(1000*G23/'Normalised Rates'!$B$10,"")</f>
        <v>0.13566902720834886</v>
      </c>
      <c r="Z23" s="29">
        <f>IFERROR(1000*H23/'Normalised Rates'!$B$11,"")</f>
        <v>0.14716143355534411</v>
      </c>
      <c r="AA23" s="19" t="s">
        <v>114</v>
      </c>
    </row>
    <row r="24" spans="1:27" ht="25.5" customHeight="1" x14ac:dyDescent="0.25">
      <c r="A24" s="15" t="s">
        <v>115</v>
      </c>
      <c r="B24" s="16" t="s">
        <v>84</v>
      </c>
      <c r="C24" s="11">
        <f t="shared" si="7"/>
        <v>1106</v>
      </c>
      <c r="D24" s="11">
        <v>116</v>
      </c>
      <c r="E24" s="11">
        <v>79</v>
      </c>
      <c r="F24" s="11">
        <v>136</v>
      </c>
      <c r="G24" s="11">
        <v>301</v>
      </c>
      <c r="H24" s="17">
        <v>376</v>
      </c>
      <c r="I24" s="11">
        <v>98</v>
      </c>
      <c r="J24" s="11">
        <v>6</v>
      </c>
      <c r="K24" s="11">
        <v>3</v>
      </c>
      <c r="L24" s="11">
        <v>4</v>
      </c>
      <c r="M24" s="11">
        <v>13</v>
      </c>
      <c r="N24" s="11">
        <v>5</v>
      </c>
      <c r="O24" s="11">
        <v>1</v>
      </c>
      <c r="P24" s="18">
        <f t="shared" si="8"/>
        <v>5.1724137931034482E-2</v>
      </c>
      <c r="Q24" s="18">
        <f t="shared" si="9"/>
        <v>3.7974683544303799E-2</v>
      </c>
      <c r="R24" s="18">
        <f t="shared" si="10"/>
        <v>2.9411764705882353E-2</v>
      </c>
      <c r="S24" s="18">
        <f t="shared" si="11"/>
        <v>4.3189368770764118E-2</v>
      </c>
      <c r="T24" s="18">
        <f t="shared" si="12"/>
        <v>1.3297872340425532E-2</v>
      </c>
      <c r="U24" s="18">
        <f t="shared" si="13"/>
        <v>1.020408163265306E-2</v>
      </c>
      <c r="V24" s="29">
        <f>IFERROR(1000*D24/'Normalised Rates'!$B$7,"")</f>
        <v>7.2772898368883315E-2</v>
      </c>
      <c r="W24" s="29">
        <f>IFERROR(1000*E24/'Normalised Rates'!$B$8,"")</f>
        <v>4.2133333333333335E-2</v>
      </c>
      <c r="X24" s="29">
        <f>IFERROR(1000*F24/'Normalised Rates'!$B$9,"")</f>
        <v>5.94925634295713E-2</v>
      </c>
      <c r="Y24" s="29">
        <f>IFERROR(1000*G24/'Normalised Rates'!$B$10,"")</f>
        <v>0.11218784942228849</v>
      </c>
      <c r="Z24" s="29">
        <f>IFERROR(1000*H24/'Normalised Rates'!$B$11,"")</f>
        <v>0.11925150650174438</v>
      </c>
      <c r="AA24" s="19" t="s">
        <v>116</v>
      </c>
    </row>
    <row r="25" spans="1:27" ht="25.5" customHeight="1" x14ac:dyDescent="0.25">
      <c r="A25" s="15" t="s">
        <v>117</v>
      </c>
      <c r="B25" s="16" t="s">
        <v>64</v>
      </c>
      <c r="C25" s="11">
        <f t="shared" si="7"/>
        <v>955</v>
      </c>
      <c r="D25" s="11">
        <v>11</v>
      </c>
      <c r="E25" s="11">
        <v>91</v>
      </c>
      <c r="F25" s="11">
        <v>220</v>
      </c>
      <c r="G25" s="11">
        <v>166</v>
      </c>
      <c r="H25" s="17">
        <v>314</v>
      </c>
      <c r="I25" s="11">
        <v>153</v>
      </c>
      <c r="J25" s="11">
        <v>0</v>
      </c>
      <c r="K25" s="11">
        <v>8</v>
      </c>
      <c r="L25" s="11">
        <v>9</v>
      </c>
      <c r="M25" s="11">
        <v>8</v>
      </c>
      <c r="N25" s="11">
        <v>4</v>
      </c>
      <c r="O25" s="11">
        <v>3</v>
      </c>
      <c r="P25" s="18">
        <f t="shared" si="8"/>
        <v>0</v>
      </c>
      <c r="Q25" s="18">
        <f t="shared" si="9"/>
        <v>8.7912087912087919E-2</v>
      </c>
      <c r="R25" s="18">
        <f t="shared" si="10"/>
        <v>4.0909090909090909E-2</v>
      </c>
      <c r="S25" s="18">
        <f t="shared" si="11"/>
        <v>4.8192771084337352E-2</v>
      </c>
      <c r="T25" s="18">
        <f t="shared" si="12"/>
        <v>1.2738853503184714E-2</v>
      </c>
      <c r="U25" s="18">
        <f t="shared" si="13"/>
        <v>1.9607843137254902E-2</v>
      </c>
      <c r="V25" s="29">
        <f>IFERROR(1000*D25/'Normalised Rates'!$B$7,"")</f>
        <v>6.9008782936010038E-3</v>
      </c>
      <c r="W25" s="29">
        <f>IFERROR(1000*E25/'Normalised Rates'!$B$8,"")</f>
        <v>4.8533333333333331E-2</v>
      </c>
      <c r="X25" s="29">
        <f>IFERROR(1000*F25/'Normalised Rates'!$B$9,"")</f>
        <v>9.6237970253718289E-2</v>
      </c>
      <c r="Y25" s="29">
        <f>IFERROR(1000*G25/'Normalised Rates'!$B$10,"")</f>
        <v>6.1871039880730526E-2</v>
      </c>
      <c r="Z25" s="29">
        <f>IFERROR(1000*H25/'Normalised Rates'!$B$11,"")</f>
        <v>9.9587694259435464E-2</v>
      </c>
      <c r="AA25" s="19" t="s">
        <v>118</v>
      </c>
    </row>
    <row r="26" spans="1:27" ht="25.5" customHeight="1" x14ac:dyDescent="0.25">
      <c r="A26" s="20" t="s">
        <v>109</v>
      </c>
      <c r="B26" s="21" t="s">
        <v>67</v>
      </c>
      <c r="C26" s="22">
        <f t="shared" si="7"/>
        <v>774</v>
      </c>
      <c r="D26" s="22">
        <v>66</v>
      </c>
      <c r="E26" s="22">
        <v>79</v>
      </c>
      <c r="F26" s="22">
        <v>108</v>
      </c>
      <c r="G26" s="22">
        <v>111</v>
      </c>
      <c r="H26" s="23">
        <v>285</v>
      </c>
      <c r="I26" s="22">
        <v>125</v>
      </c>
      <c r="J26" s="22">
        <v>5</v>
      </c>
      <c r="K26" s="22">
        <v>11</v>
      </c>
      <c r="L26" s="22">
        <v>10</v>
      </c>
      <c r="M26" s="22">
        <v>15</v>
      </c>
      <c r="N26" s="22">
        <v>12</v>
      </c>
      <c r="O26" s="22">
        <v>6</v>
      </c>
      <c r="P26" s="24">
        <f t="shared" si="8"/>
        <v>7.575757575757576E-2</v>
      </c>
      <c r="Q26" s="24">
        <f t="shared" si="9"/>
        <v>0.13924050632911392</v>
      </c>
      <c r="R26" s="24">
        <f t="shared" si="10"/>
        <v>9.2592592592592587E-2</v>
      </c>
      <c r="S26" s="24">
        <f t="shared" si="11"/>
        <v>0.13513513513513514</v>
      </c>
      <c r="T26" s="24">
        <f t="shared" si="12"/>
        <v>4.2105263157894736E-2</v>
      </c>
      <c r="U26" s="24">
        <f t="shared" si="13"/>
        <v>4.8000000000000001E-2</v>
      </c>
      <c r="V26" s="29">
        <f>IFERROR(1000*D26/'Normalised Rates'!$B$7,"")</f>
        <v>4.1405269761606023E-2</v>
      </c>
      <c r="W26" s="29">
        <f>IFERROR(1000*E26/'Normalised Rates'!$B$8,"")</f>
        <v>4.2133333333333335E-2</v>
      </c>
      <c r="X26" s="29">
        <f>IFERROR(1000*F26/'Normalised Rates'!$B$9,"")</f>
        <v>4.7244094488188976E-2</v>
      </c>
      <c r="Y26" s="29">
        <f>IFERROR(1000*G26/'Normalised Rates'!$B$10,"")</f>
        <v>4.13715989563921E-2</v>
      </c>
      <c r="Z26" s="29">
        <f>IFERROR(1000*H26/'Normalised Rates'!$B$11,"")</f>
        <v>9.0390104662226453E-2</v>
      </c>
      <c r="AA26" s="19" t="s">
        <v>110</v>
      </c>
    </row>
    <row r="27" spans="1:27" ht="25.5" customHeight="1" x14ac:dyDescent="0.25">
      <c r="A27" s="20" t="s">
        <v>79</v>
      </c>
      <c r="B27" s="21" t="s">
        <v>67</v>
      </c>
      <c r="C27" s="22">
        <f t="shared" si="7"/>
        <v>821</v>
      </c>
      <c r="D27" s="22">
        <v>59</v>
      </c>
      <c r="E27" s="22">
        <v>93</v>
      </c>
      <c r="F27" s="22">
        <v>151</v>
      </c>
      <c r="G27" s="22">
        <v>181</v>
      </c>
      <c r="H27" s="23">
        <v>216</v>
      </c>
      <c r="I27" s="22">
        <v>121</v>
      </c>
      <c r="J27" s="22">
        <v>39</v>
      </c>
      <c r="K27" s="22">
        <v>45</v>
      </c>
      <c r="L27" s="22">
        <v>63</v>
      </c>
      <c r="M27" s="22">
        <v>35</v>
      </c>
      <c r="N27" s="22">
        <v>90</v>
      </c>
      <c r="O27" s="22">
        <v>39</v>
      </c>
      <c r="P27" s="24">
        <f t="shared" si="8"/>
        <v>0.66101694915254239</v>
      </c>
      <c r="Q27" s="24">
        <f t="shared" si="9"/>
        <v>0.4838709677419355</v>
      </c>
      <c r="R27" s="24">
        <f t="shared" si="10"/>
        <v>0.41721854304635764</v>
      </c>
      <c r="S27" s="24">
        <f t="shared" si="11"/>
        <v>0.19337016574585636</v>
      </c>
      <c r="T27" s="24">
        <f t="shared" si="12"/>
        <v>0.41666666666666669</v>
      </c>
      <c r="U27" s="24">
        <f t="shared" si="13"/>
        <v>0.32231404958677684</v>
      </c>
      <c r="V27" s="29">
        <f>IFERROR(1000*D27/'Normalised Rates'!$B$7,"")</f>
        <v>3.7013801756587202E-2</v>
      </c>
      <c r="W27" s="29">
        <f>IFERROR(1000*E27/'Normalised Rates'!$B$8,"")</f>
        <v>4.9599999999999998E-2</v>
      </c>
      <c r="X27" s="29">
        <f>IFERROR(1000*F27/'Normalised Rates'!$B$9,"")</f>
        <v>6.6054243219597547E-2</v>
      </c>
      <c r="Y27" s="29">
        <f>IFERROR(1000*G27/'Normalised Rates'!$B$10,"")</f>
        <v>6.7461796496459184E-2</v>
      </c>
      <c r="Z27" s="29">
        <f>IFERROR(1000*H27/'Normalised Rates'!$B$11,"")</f>
        <v>6.8506184586108465E-2</v>
      </c>
      <c r="AA27" s="19" t="s">
        <v>80</v>
      </c>
    </row>
    <row r="28" spans="1:27" ht="25.5" customHeight="1" x14ac:dyDescent="0.25">
      <c r="A28" s="15" t="s">
        <v>92</v>
      </c>
      <c r="B28" s="16" t="s">
        <v>84</v>
      </c>
      <c r="C28" s="11">
        <f t="shared" si="7"/>
        <v>937</v>
      </c>
      <c r="D28" s="11">
        <v>60</v>
      </c>
      <c r="E28" s="11">
        <v>206</v>
      </c>
      <c r="F28" s="11">
        <v>230</v>
      </c>
      <c r="G28" s="11">
        <v>139</v>
      </c>
      <c r="H28" s="17">
        <v>197</v>
      </c>
      <c r="I28" s="11">
        <v>105</v>
      </c>
      <c r="J28" s="11">
        <v>24</v>
      </c>
      <c r="K28" s="11">
        <v>56</v>
      </c>
      <c r="L28" s="11">
        <v>50</v>
      </c>
      <c r="M28" s="11">
        <v>32</v>
      </c>
      <c r="N28" s="11">
        <v>28</v>
      </c>
      <c r="O28" s="11">
        <v>13</v>
      </c>
      <c r="P28" s="18">
        <f t="shared" si="8"/>
        <v>0.4</v>
      </c>
      <c r="Q28" s="18">
        <f t="shared" si="9"/>
        <v>0.27184466019417475</v>
      </c>
      <c r="R28" s="18">
        <f t="shared" si="10"/>
        <v>0.21739130434782608</v>
      </c>
      <c r="S28" s="18">
        <f t="shared" si="11"/>
        <v>0.23021582733812951</v>
      </c>
      <c r="T28" s="18">
        <f t="shared" si="12"/>
        <v>0.14213197969543148</v>
      </c>
      <c r="U28" s="18">
        <f t="shared" si="13"/>
        <v>0.12380952380952381</v>
      </c>
      <c r="V28" s="29">
        <f>IFERROR(1000*D28/'Normalised Rates'!$B$7,"")</f>
        <v>3.7641154328732745E-2</v>
      </c>
      <c r="W28" s="29">
        <f>IFERROR(1000*E28/'Normalised Rates'!$B$8,"")</f>
        <v>0.10986666666666667</v>
      </c>
      <c r="X28" s="29">
        <f>IFERROR(1000*F28/'Normalised Rates'!$B$9,"")</f>
        <v>0.10061242344706911</v>
      </c>
      <c r="Y28" s="29">
        <f>IFERROR(1000*G28/'Normalised Rates'!$B$10,"")</f>
        <v>5.1807677972418933E-2</v>
      </c>
      <c r="Z28" s="29">
        <f>IFERROR(1000*H28/'Normalised Rates'!$B$11,"")</f>
        <v>6.2480177608626702E-2</v>
      </c>
      <c r="AA28" s="19" t="s">
        <v>93</v>
      </c>
    </row>
    <row r="29" spans="1:27" ht="25.5" customHeight="1" x14ac:dyDescent="0.25">
      <c r="A29" s="20" t="s">
        <v>121</v>
      </c>
      <c r="B29" s="21" t="s">
        <v>67</v>
      </c>
      <c r="C29" s="22">
        <f t="shared" si="7"/>
        <v>303</v>
      </c>
      <c r="D29" s="22">
        <v>5</v>
      </c>
      <c r="E29" s="22">
        <v>8</v>
      </c>
      <c r="F29" s="22">
        <v>31</v>
      </c>
      <c r="G29" s="22">
        <v>12</v>
      </c>
      <c r="H29" s="23">
        <v>173</v>
      </c>
      <c r="I29" s="22">
        <v>74</v>
      </c>
      <c r="J29" s="22">
        <v>1</v>
      </c>
      <c r="K29" s="22">
        <v>1</v>
      </c>
      <c r="L29" s="22">
        <v>2</v>
      </c>
      <c r="M29" s="22">
        <v>0</v>
      </c>
      <c r="N29" s="22">
        <v>2</v>
      </c>
      <c r="O29" s="22">
        <v>2</v>
      </c>
      <c r="P29" s="24">
        <f t="shared" si="8"/>
        <v>0.2</v>
      </c>
      <c r="Q29" s="24">
        <f t="shared" si="9"/>
        <v>0.125</v>
      </c>
      <c r="R29" s="24">
        <f t="shared" si="10"/>
        <v>6.4516129032258063E-2</v>
      </c>
      <c r="S29" s="24">
        <f t="shared" si="11"/>
        <v>0</v>
      </c>
      <c r="T29" s="24">
        <f t="shared" si="12"/>
        <v>1.1560693641618497E-2</v>
      </c>
      <c r="U29" s="24">
        <f t="shared" si="13"/>
        <v>2.7027027027027029E-2</v>
      </c>
      <c r="V29" s="29">
        <f>IFERROR(1000*D29/'Normalised Rates'!$B$7,"")</f>
        <v>3.1367628607277291E-3</v>
      </c>
      <c r="W29" s="29">
        <f>IFERROR(1000*E29/'Normalised Rates'!$B$8,"")</f>
        <v>4.2666666666666669E-3</v>
      </c>
      <c r="X29" s="29">
        <f>IFERROR(1000*F29/'Normalised Rates'!$B$9,"")</f>
        <v>1.3560804899387576E-2</v>
      </c>
      <c r="Y29" s="29">
        <f>IFERROR(1000*G29/'Normalised Rates'!$B$10,"")</f>
        <v>4.4726052925829294E-3</v>
      </c>
      <c r="Z29" s="29">
        <f>IFERROR(1000*H29/'Normalised Rates'!$B$11,"")</f>
        <v>5.4868379321281323E-2</v>
      </c>
      <c r="AA29" s="19" t="s">
        <v>122</v>
      </c>
    </row>
    <row r="30" spans="1:27" ht="25.5" customHeight="1" x14ac:dyDescent="0.25">
      <c r="A30" s="20" t="s">
        <v>96</v>
      </c>
      <c r="B30" s="21" t="s">
        <v>67</v>
      </c>
      <c r="C30" s="22">
        <f t="shared" si="7"/>
        <v>614</v>
      </c>
      <c r="D30" s="22">
        <v>49</v>
      </c>
      <c r="E30" s="22">
        <v>57</v>
      </c>
      <c r="F30" s="22">
        <v>131</v>
      </c>
      <c r="G30" s="22">
        <v>123</v>
      </c>
      <c r="H30" s="23">
        <v>167</v>
      </c>
      <c r="I30" s="22">
        <v>87</v>
      </c>
      <c r="J30" s="22">
        <v>32</v>
      </c>
      <c r="K30" s="22">
        <v>32</v>
      </c>
      <c r="L30" s="22">
        <v>36</v>
      </c>
      <c r="M30" s="22">
        <v>27</v>
      </c>
      <c r="N30" s="22">
        <v>28</v>
      </c>
      <c r="O30" s="22">
        <v>17</v>
      </c>
      <c r="P30" s="24">
        <f t="shared" si="8"/>
        <v>0.65306122448979587</v>
      </c>
      <c r="Q30" s="24">
        <f t="shared" si="9"/>
        <v>0.56140350877192979</v>
      </c>
      <c r="R30" s="24">
        <f t="shared" si="10"/>
        <v>0.27480916030534353</v>
      </c>
      <c r="S30" s="24">
        <f t="shared" si="11"/>
        <v>0.21951219512195122</v>
      </c>
      <c r="T30" s="24">
        <f t="shared" si="12"/>
        <v>0.16766467065868262</v>
      </c>
      <c r="U30" s="24">
        <f t="shared" si="13"/>
        <v>0.19540229885057472</v>
      </c>
      <c r="V30" s="29">
        <f>IFERROR(1000*D30/'Normalised Rates'!$B$7,"")</f>
        <v>3.0740276035131745E-2</v>
      </c>
      <c r="W30" s="29">
        <f>IFERROR(1000*E30/'Normalised Rates'!$B$8,"")</f>
        <v>3.04E-2</v>
      </c>
      <c r="X30" s="29">
        <f>IFERROR(1000*F30/'Normalised Rates'!$B$9,"")</f>
        <v>5.730533683289589E-2</v>
      </c>
      <c r="Y30" s="29">
        <f>IFERROR(1000*G30/'Normalised Rates'!$B$10,"")</f>
        <v>4.5844204248975028E-2</v>
      </c>
      <c r="Z30" s="29">
        <f>IFERROR(1000*H30/'Normalised Rates'!$B$11,"")</f>
        <v>5.2965429749444973E-2</v>
      </c>
      <c r="AA30" s="19" t="s">
        <v>97</v>
      </c>
    </row>
    <row r="31" spans="1:27" ht="25.5" customHeight="1" x14ac:dyDescent="0.25">
      <c r="A31" s="20" t="s">
        <v>125</v>
      </c>
      <c r="B31" s="21" t="s">
        <v>67</v>
      </c>
      <c r="C31" s="22">
        <f t="shared" si="7"/>
        <v>193</v>
      </c>
      <c r="D31" s="22">
        <v>2</v>
      </c>
      <c r="E31" s="22">
        <v>16</v>
      </c>
      <c r="F31" s="22">
        <v>26</v>
      </c>
      <c r="G31" s="22">
        <v>46</v>
      </c>
      <c r="H31" s="23">
        <v>77</v>
      </c>
      <c r="I31" s="22">
        <v>26</v>
      </c>
      <c r="J31" s="22">
        <v>0</v>
      </c>
      <c r="K31" s="22">
        <v>0</v>
      </c>
      <c r="L31" s="22">
        <v>1</v>
      </c>
      <c r="M31" s="22">
        <v>1</v>
      </c>
      <c r="N31" s="22">
        <v>1</v>
      </c>
      <c r="O31" s="22">
        <v>1</v>
      </c>
      <c r="P31" s="24">
        <f t="shared" si="8"/>
        <v>0</v>
      </c>
      <c r="Q31" s="24">
        <f t="shared" si="9"/>
        <v>0</v>
      </c>
      <c r="R31" s="24">
        <f t="shared" si="10"/>
        <v>3.8461538461538464E-2</v>
      </c>
      <c r="S31" s="24">
        <f t="shared" si="11"/>
        <v>2.1739130434782608E-2</v>
      </c>
      <c r="T31" s="24">
        <f t="shared" si="12"/>
        <v>1.2987012987012988E-2</v>
      </c>
      <c r="U31" s="24">
        <f t="shared" si="13"/>
        <v>3.8461538461538464E-2</v>
      </c>
      <c r="V31" s="29">
        <f>IFERROR(1000*D31/'Normalised Rates'!$B$7,"")</f>
        <v>1.2547051442910915E-3</v>
      </c>
      <c r="W31" s="29">
        <f>IFERROR(1000*E31/'Normalised Rates'!$B$8,"")</f>
        <v>8.5333333333333337E-3</v>
      </c>
      <c r="X31" s="29">
        <f>IFERROR(1000*F31/'Normalised Rates'!$B$9,"")</f>
        <v>1.1373578302712161E-2</v>
      </c>
      <c r="Y31" s="29">
        <f>IFERROR(1000*G31/'Normalised Rates'!$B$10,"")</f>
        <v>1.7144986954901228E-2</v>
      </c>
      <c r="Z31" s="29">
        <f>IFERROR(1000*H31/'Normalised Rates'!$B$11,"")</f>
        <v>2.4421186171899777E-2</v>
      </c>
      <c r="AA31" s="19" t="s">
        <v>126</v>
      </c>
    </row>
    <row r="32" spans="1:27" ht="25.5" customHeight="1" x14ac:dyDescent="0.25">
      <c r="A32" s="15" t="s">
        <v>104</v>
      </c>
      <c r="B32" s="16" t="s">
        <v>105</v>
      </c>
      <c r="C32" s="11">
        <f t="shared" si="7"/>
        <v>176</v>
      </c>
      <c r="D32" s="11">
        <v>1</v>
      </c>
      <c r="E32" s="11">
        <v>13</v>
      </c>
      <c r="F32" s="11">
        <v>48</v>
      </c>
      <c r="G32" s="11">
        <v>43</v>
      </c>
      <c r="H32" s="17">
        <v>48</v>
      </c>
      <c r="I32" s="11">
        <v>23</v>
      </c>
      <c r="J32" s="11">
        <v>1</v>
      </c>
      <c r="K32" s="11">
        <v>9</v>
      </c>
      <c r="L32" s="11">
        <v>20</v>
      </c>
      <c r="M32" s="11">
        <v>15</v>
      </c>
      <c r="N32" s="11">
        <v>12</v>
      </c>
      <c r="O32" s="11">
        <v>6</v>
      </c>
      <c r="P32" s="18">
        <f t="shared" si="8"/>
        <v>1</v>
      </c>
      <c r="Q32" s="18">
        <f t="shared" si="9"/>
        <v>0.69230769230769229</v>
      </c>
      <c r="R32" s="18">
        <f t="shared" si="10"/>
        <v>0.41666666666666669</v>
      </c>
      <c r="S32" s="18">
        <f t="shared" si="11"/>
        <v>0.34883720930232559</v>
      </c>
      <c r="T32" s="18">
        <f t="shared" si="12"/>
        <v>0.25</v>
      </c>
      <c r="U32" s="18">
        <f t="shared" si="13"/>
        <v>0.2608695652173913</v>
      </c>
      <c r="V32" s="29">
        <f>IFERROR(1000*D32/'Normalised Rates'!$B$7,"")</f>
        <v>6.2735257214554575E-4</v>
      </c>
      <c r="W32" s="29">
        <f>IFERROR(1000*E32/'Normalised Rates'!$B$8,"")</f>
        <v>6.933333333333333E-3</v>
      </c>
      <c r="X32" s="29">
        <f>IFERROR(1000*F32/'Normalised Rates'!$B$9,"")</f>
        <v>2.0997375328083989E-2</v>
      </c>
      <c r="Y32" s="29">
        <f>IFERROR(1000*G32/'Normalised Rates'!$B$10,"")</f>
        <v>1.6026835631755498E-2</v>
      </c>
      <c r="Z32" s="29">
        <f>IFERROR(1000*H32/'Normalised Rates'!$B$11,"")</f>
        <v>1.5223596574690771E-2</v>
      </c>
      <c r="AA32" s="19" t="s">
        <v>106</v>
      </c>
    </row>
    <row r="33" spans="1:27" ht="25.5" customHeight="1" x14ac:dyDescent="0.25">
      <c r="A33" s="15" t="s">
        <v>119</v>
      </c>
      <c r="B33" s="16" t="s">
        <v>84</v>
      </c>
      <c r="C33" s="11">
        <f t="shared" si="7"/>
        <v>104</v>
      </c>
      <c r="D33" s="11">
        <v>4</v>
      </c>
      <c r="E33" s="11">
        <v>5</v>
      </c>
      <c r="F33" s="11">
        <v>14</v>
      </c>
      <c r="G33" s="11">
        <v>15</v>
      </c>
      <c r="H33" s="17">
        <v>45</v>
      </c>
      <c r="I33" s="11">
        <v>21</v>
      </c>
      <c r="J33" s="11">
        <v>2</v>
      </c>
      <c r="K33" s="11">
        <v>3</v>
      </c>
      <c r="L33" s="11">
        <v>3</v>
      </c>
      <c r="M33" s="11">
        <v>0</v>
      </c>
      <c r="N33" s="11">
        <v>3</v>
      </c>
      <c r="O33" s="11">
        <v>0</v>
      </c>
      <c r="P33" s="18">
        <f t="shared" si="8"/>
        <v>0.5</v>
      </c>
      <c r="Q33" s="18">
        <f t="shared" si="9"/>
        <v>0.6</v>
      </c>
      <c r="R33" s="18">
        <f t="shared" si="10"/>
        <v>0.21428571428571427</v>
      </c>
      <c r="S33" s="18">
        <f t="shared" si="11"/>
        <v>0</v>
      </c>
      <c r="T33" s="18">
        <f t="shared" si="12"/>
        <v>6.6666666666666666E-2</v>
      </c>
      <c r="U33" s="18">
        <f t="shared" si="13"/>
        <v>0</v>
      </c>
      <c r="V33" s="29">
        <f>IFERROR(1000*D33/'Normalised Rates'!$B$7,"")</f>
        <v>2.509410288582183E-3</v>
      </c>
      <c r="W33" s="29">
        <f>IFERROR(1000*E33/'Normalised Rates'!$B$8,"")</f>
        <v>2.6666666666666666E-3</v>
      </c>
      <c r="X33" s="29">
        <f>IFERROR(1000*F33/'Normalised Rates'!$B$9,"")</f>
        <v>6.1242344706911632E-3</v>
      </c>
      <c r="Y33" s="29">
        <f>IFERROR(1000*G33/'Normalised Rates'!$B$10,"")</f>
        <v>5.5907566157286622E-3</v>
      </c>
      <c r="Z33" s="29">
        <f>IFERROR(1000*H33/'Normalised Rates'!$B$11,"")</f>
        <v>1.4272121788772598E-2</v>
      </c>
      <c r="AA33" s="19" t="s">
        <v>120</v>
      </c>
    </row>
    <row r="34" spans="1:27" ht="25.5" x14ac:dyDescent="0.25">
      <c r="A34" s="15" t="s">
        <v>111</v>
      </c>
      <c r="B34" s="16" t="s">
        <v>105</v>
      </c>
      <c r="C34" s="11">
        <f t="shared" si="7"/>
        <v>100</v>
      </c>
      <c r="D34" s="11">
        <v>11</v>
      </c>
      <c r="E34" s="11">
        <v>13</v>
      </c>
      <c r="F34" s="11">
        <v>12</v>
      </c>
      <c r="G34" s="11">
        <v>31</v>
      </c>
      <c r="H34" s="17">
        <v>22</v>
      </c>
      <c r="I34" s="11">
        <v>11</v>
      </c>
      <c r="J34" s="11">
        <v>11</v>
      </c>
      <c r="K34" s="11">
        <v>9</v>
      </c>
      <c r="L34" s="11">
        <v>11</v>
      </c>
      <c r="M34" s="11">
        <v>14</v>
      </c>
      <c r="N34" s="11">
        <v>6</v>
      </c>
      <c r="O34" s="11">
        <v>8</v>
      </c>
      <c r="P34" s="18">
        <f t="shared" si="8"/>
        <v>1</v>
      </c>
      <c r="Q34" s="18">
        <f t="shared" si="9"/>
        <v>0.69230769230769229</v>
      </c>
      <c r="R34" s="18">
        <f t="shared" si="10"/>
        <v>0.91666666666666663</v>
      </c>
      <c r="S34" s="18">
        <f t="shared" si="11"/>
        <v>0.45161290322580644</v>
      </c>
      <c r="T34" s="18">
        <f t="shared" si="12"/>
        <v>0.27272727272727271</v>
      </c>
      <c r="U34" s="18">
        <f t="shared" si="13"/>
        <v>0.72727272727272729</v>
      </c>
      <c r="V34" s="29">
        <f>IFERROR(1000*D34/'Normalised Rates'!$B$7,"")</f>
        <v>6.9008782936010038E-3</v>
      </c>
      <c r="W34" s="29">
        <f>IFERROR(1000*E34/'Normalised Rates'!$B$8,"")</f>
        <v>6.933333333333333E-3</v>
      </c>
      <c r="X34" s="29">
        <f>IFERROR(1000*F34/'Normalised Rates'!$B$9,"")</f>
        <v>5.2493438320209973E-3</v>
      </c>
      <c r="Y34" s="29">
        <f>IFERROR(1000*G34/'Normalised Rates'!$B$10,"")</f>
        <v>1.1554230339172567E-2</v>
      </c>
      <c r="Z34" s="29">
        <f>IFERROR(1000*H34/'Normalised Rates'!$B$11,"")</f>
        <v>6.9774817633999368E-3</v>
      </c>
      <c r="AA34" s="19" t="s">
        <v>112</v>
      </c>
    </row>
    <row r="35" spans="1:27" ht="25.5" customHeight="1" x14ac:dyDescent="0.25">
      <c r="A35" s="15" t="s">
        <v>123</v>
      </c>
      <c r="B35" s="16" t="s">
        <v>84</v>
      </c>
      <c r="C35" s="11">
        <f t="shared" si="7"/>
        <v>35</v>
      </c>
      <c r="D35" s="11">
        <v>2</v>
      </c>
      <c r="E35" s="11">
        <v>5</v>
      </c>
      <c r="F35" s="11">
        <v>6</v>
      </c>
      <c r="G35" s="11">
        <v>3</v>
      </c>
      <c r="H35" s="17">
        <v>11</v>
      </c>
      <c r="I35" s="11">
        <v>8</v>
      </c>
      <c r="J35" s="11">
        <v>0</v>
      </c>
      <c r="K35" s="11">
        <v>1</v>
      </c>
      <c r="L35" s="11">
        <v>0</v>
      </c>
      <c r="M35" s="11">
        <v>1</v>
      </c>
      <c r="N35" s="11">
        <v>2</v>
      </c>
      <c r="O35" s="11">
        <v>0</v>
      </c>
      <c r="P35" s="18">
        <f t="shared" si="8"/>
        <v>0</v>
      </c>
      <c r="Q35" s="18">
        <f t="shared" si="9"/>
        <v>0.2</v>
      </c>
      <c r="R35" s="18">
        <f t="shared" si="10"/>
        <v>0</v>
      </c>
      <c r="S35" s="18">
        <f t="shared" si="11"/>
        <v>0.33333333333333331</v>
      </c>
      <c r="T35" s="18">
        <f t="shared" si="12"/>
        <v>0.18181818181818182</v>
      </c>
      <c r="U35" s="18">
        <f t="shared" si="13"/>
        <v>0</v>
      </c>
      <c r="V35" s="29">
        <f>IFERROR(1000*D35/'Normalised Rates'!$B$7,"")</f>
        <v>1.2547051442910915E-3</v>
      </c>
      <c r="W35" s="29">
        <f>IFERROR(1000*E35/'Normalised Rates'!$B$8,"")</f>
        <v>2.6666666666666666E-3</v>
      </c>
      <c r="X35" s="29">
        <f>IFERROR(1000*F35/'Normalised Rates'!$B$9,"")</f>
        <v>2.6246719160104987E-3</v>
      </c>
      <c r="Y35" s="29">
        <f>IFERROR(1000*G35/'Normalised Rates'!$B$10,"")</f>
        <v>1.1181513231457323E-3</v>
      </c>
      <c r="Z35" s="29">
        <f>IFERROR(1000*H35/'Normalised Rates'!$B$11,"")</f>
        <v>3.4887408816999684E-3</v>
      </c>
      <c r="AA35" s="19" t="s">
        <v>124</v>
      </c>
    </row>
    <row r="36" spans="1:27" x14ac:dyDescent="0.25">
      <c r="A36" s="15" t="s">
        <v>129</v>
      </c>
      <c r="B36" s="16" t="s">
        <v>130</v>
      </c>
      <c r="C36" s="11">
        <f t="shared" si="7"/>
        <v>17</v>
      </c>
      <c r="D36" s="11">
        <v>0</v>
      </c>
      <c r="E36" s="11">
        <v>0</v>
      </c>
      <c r="F36" s="11">
        <v>0</v>
      </c>
      <c r="G36" s="11">
        <v>0</v>
      </c>
      <c r="H36" s="11">
        <v>2</v>
      </c>
      <c r="I36" s="11">
        <v>15</v>
      </c>
      <c r="J36" s="11">
        <v>0</v>
      </c>
      <c r="K36" s="11">
        <v>0</v>
      </c>
      <c r="L36" s="11">
        <v>0</v>
      </c>
      <c r="M36" s="11">
        <v>0</v>
      </c>
      <c r="N36" s="11">
        <v>1</v>
      </c>
      <c r="O36" s="11">
        <v>0</v>
      </c>
      <c r="P36" s="18" t="str">
        <f t="shared" si="8"/>
        <v/>
      </c>
      <c r="Q36" s="18" t="str">
        <f t="shared" si="9"/>
        <v/>
      </c>
      <c r="R36" s="18" t="str">
        <f t="shared" si="10"/>
        <v/>
      </c>
      <c r="S36" s="18" t="str">
        <f t="shared" si="11"/>
        <v/>
      </c>
      <c r="T36" s="18">
        <f t="shared" si="12"/>
        <v>0.5</v>
      </c>
      <c r="U36" s="18">
        <f t="shared" si="13"/>
        <v>0</v>
      </c>
      <c r="V36" s="29">
        <f>IFERROR(1000*D36/'Normalised Rates'!$B$7,"")</f>
        <v>0</v>
      </c>
      <c r="W36" s="29">
        <f>IFERROR(1000*E36/'Normalised Rates'!$B$8,"")</f>
        <v>0</v>
      </c>
      <c r="X36" s="29">
        <f>IFERROR(1000*F36/'Normalised Rates'!$B$9,"")</f>
        <v>0</v>
      </c>
      <c r="Y36" s="29">
        <f>IFERROR(1000*G36/'Normalised Rates'!$B$10,"")</f>
        <v>0</v>
      </c>
      <c r="Z36" s="29">
        <f>IFERROR(1000*H36/'Normalised Rates'!$B$11,"")</f>
        <v>6.3431652394544877E-4</v>
      </c>
      <c r="AA36" s="19" t="s">
        <v>131</v>
      </c>
    </row>
    <row r="37" spans="1:27" ht="25.5" x14ac:dyDescent="0.25">
      <c r="A37" s="20" t="s">
        <v>127</v>
      </c>
      <c r="B37" s="21" t="s">
        <v>67</v>
      </c>
      <c r="C37" s="22">
        <f t="shared" si="7"/>
        <v>23</v>
      </c>
      <c r="D37" s="22">
        <v>1</v>
      </c>
      <c r="E37" s="22">
        <v>2</v>
      </c>
      <c r="F37" s="22">
        <v>20</v>
      </c>
      <c r="G37" s="22">
        <v>0</v>
      </c>
      <c r="H37" s="23">
        <v>0</v>
      </c>
      <c r="I37" s="22">
        <v>0</v>
      </c>
      <c r="J37" s="22">
        <v>0</v>
      </c>
      <c r="K37" s="22">
        <v>1</v>
      </c>
      <c r="L37" s="22">
        <v>2</v>
      </c>
      <c r="M37" s="22">
        <v>0</v>
      </c>
      <c r="N37" s="22">
        <v>0</v>
      </c>
      <c r="O37" s="22">
        <v>0</v>
      </c>
      <c r="P37" s="24">
        <f t="shared" si="8"/>
        <v>0</v>
      </c>
      <c r="Q37" s="24">
        <f t="shared" si="9"/>
        <v>0.5</v>
      </c>
      <c r="R37" s="24">
        <f t="shared" si="10"/>
        <v>0.1</v>
      </c>
      <c r="S37" s="24" t="str">
        <f t="shared" si="11"/>
        <v/>
      </c>
      <c r="T37" s="24" t="str">
        <f t="shared" si="12"/>
        <v/>
      </c>
      <c r="U37" s="24" t="str">
        <f t="shared" si="13"/>
        <v/>
      </c>
      <c r="V37" s="29">
        <f>IFERROR(1000*D37/'Normalised Rates'!$B$7,"")</f>
        <v>6.2735257214554575E-4</v>
      </c>
      <c r="W37" s="29">
        <f>IFERROR(1000*E37/'Normalised Rates'!$B$8,"")</f>
        <v>1.0666666666666667E-3</v>
      </c>
      <c r="X37" s="29">
        <f>IFERROR(1000*F37/'Normalised Rates'!$B$9,"")</f>
        <v>8.7489063867016627E-3</v>
      </c>
      <c r="Y37" s="29">
        <f>IFERROR(1000*G37/'Normalised Rates'!$B$10,"")</f>
        <v>0</v>
      </c>
      <c r="Z37" s="29">
        <f>IFERROR(1000*H37/'Normalised Rates'!$B$11,"")</f>
        <v>0</v>
      </c>
      <c r="AA37" s="19" t="s">
        <v>128</v>
      </c>
    </row>
  </sheetData>
  <autoFilter ref="A5:AA37" xr:uid="{00000000-0001-0000-0200-000000000000}">
    <filterColumn colId="0">
      <filters>
        <filter val="Bipolar (other)"/>
        <filter val="Cadiere Forceps"/>
        <filter val="Cannula/Trocar/Reducer/Sheath"/>
        <filter val="Clip Applier"/>
        <filter val="Cobra Grasper"/>
        <filter val="Curved Bipolar Dissector"/>
        <filter val="Endoscope/Camera"/>
        <filter val="Fenestrated Bipolar"/>
        <filter val="Force Bipolar"/>
        <filter val="Grasper/Forceps (other)"/>
        <filter val="Grasping Retractor"/>
        <filter val="Harmonic (ultrasonic)"/>
        <filter val="Maryland Bipolar"/>
        <filter val="Monopolar Cautery (other)"/>
        <filter val="Monopolar Curved Scissors"/>
        <filter val="Needle Driver / SutureCut"/>
        <filter val="Permanent Cautery Hook"/>
        <filter val="Permanent Cautery Spatula"/>
        <filter val="PK Dissecting Forceps"/>
        <filter val="ProGrasp Forceps"/>
        <filter val="Stapler (SureForm/EndoWrist)"/>
        <filter val="Suction Irrigator"/>
        <filter val="SynchroSeal"/>
        <filter val="Tenaculum Forceps"/>
        <filter val="Tip Cover Accessory"/>
        <filter val="Tip-Up Fenestrated Grasper"/>
        <filter val="Unknown/Unspecified"/>
        <filter val="Vessel Sealer"/>
      </filters>
    </filterColumn>
    <sortState xmlns:xlrd2="http://schemas.microsoft.com/office/spreadsheetml/2017/richdata2" ref="A7:AA37">
      <sortCondition descending="1" ref="Z5:Z37"/>
    </sortState>
  </autoFilter>
  <mergeCells count="8">
    <mergeCell ref="P4:U4"/>
    <mergeCell ref="V4:Z4"/>
    <mergeCell ref="AA4:AA5"/>
    <mergeCell ref="A4:A5"/>
    <mergeCell ref="B4:B5"/>
    <mergeCell ref="C4:C5"/>
    <mergeCell ref="D4:I4"/>
    <mergeCell ref="J4:O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6"/>
  <sheetViews>
    <sheetView zoomScaleNormal="100" workbookViewId="0">
      <selection activeCell="J25" sqref="J25"/>
    </sheetView>
  </sheetViews>
  <sheetFormatPr defaultColWidth="8.7109375" defaultRowHeight="15" x14ac:dyDescent="0.25"/>
  <cols>
    <col min="1" max="1" width="30" customWidth="1"/>
    <col min="2" max="6" width="9" customWidth="1"/>
  </cols>
  <sheetData>
    <row r="1" spans="1:6" ht="18" customHeight="1" x14ac:dyDescent="0.25">
      <c r="A1" s="2" t="s">
        <v>132</v>
      </c>
    </row>
    <row r="2" spans="1:6" x14ac:dyDescent="0.25">
      <c r="A2" s="3" t="s">
        <v>133</v>
      </c>
    </row>
    <row r="4" spans="1:6" x14ac:dyDescent="0.25">
      <c r="A4" s="25" t="s">
        <v>134</v>
      </c>
      <c r="B4" s="25" t="s">
        <v>44</v>
      </c>
      <c r="C4" s="25" t="s">
        <v>46</v>
      </c>
      <c r="D4" s="25" t="s">
        <v>48</v>
      </c>
      <c r="E4" s="25" t="s">
        <v>50</v>
      </c>
      <c r="F4" s="25" t="s">
        <v>52</v>
      </c>
    </row>
    <row r="5" spans="1:6" x14ac:dyDescent="0.25">
      <c r="A5" s="9" t="s">
        <v>73</v>
      </c>
      <c r="B5" s="11">
        <v>16</v>
      </c>
      <c r="C5" s="11">
        <v>51</v>
      </c>
      <c r="D5" s="11">
        <v>79</v>
      </c>
      <c r="E5" s="11">
        <v>145</v>
      </c>
      <c r="F5" s="11">
        <v>111</v>
      </c>
    </row>
    <row r="6" spans="1:6" x14ac:dyDescent="0.25">
      <c r="A6" s="9" t="s">
        <v>81</v>
      </c>
      <c r="B6" s="11">
        <v>18</v>
      </c>
      <c r="C6" s="11">
        <v>39</v>
      </c>
      <c r="D6" s="11">
        <v>50</v>
      </c>
      <c r="E6" s="11">
        <v>76</v>
      </c>
      <c r="F6" s="11">
        <v>70</v>
      </c>
    </row>
    <row r="7" spans="1:6" x14ac:dyDescent="0.25">
      <c r="A7" s="9" t="s">
        <v>88</v>
      </c>
      <c r="B7" s="11">
        <v>11</v>
      </c>
      <c r="C7" s="11">
        <v>23</v>
      </c>
      <c r="D7" s="11">
        <v>46</v>
      </c>
      <c r="E7" s="11">
        <v>74</v>
      </c>
      <c r="F7" s="11">
        <v>49</v>
      </c>
    </row>
    <row r="8" spans="1:6" x14ac:dyDescent="0.25">
      <c r="A8" s="9" t="s">
        <v>63</v>
      </c>
      <c r="B8" s="11">
        <v>137</v>
      </c>
      <c r="C8" s="11">
        <v>479</v>
      </c>
      <c r="D8" s="11">
        <v>386</v>
      </c>
      <c r="E8" s="11">
        <v>475</v>
      </c>
      <c r="F8" s="11">
        <v>508</v>
      </c>
    </row>
    <row r="9" spans="1:6" x14ac:dyDescent="0.25">
      <c r="A9" s="9" t="s">
        <v>100</v>
      </c>
      <c r="B9" s="11">
        <v>8</v>
      </c>
      <c r="C9" s="11">
        <v>26</v>
      </c>
      <c r="D9" s="11">
        <v>30</v>
      </c>
      <c r="E9" s="11">
        <v>29</v>
      </c>
      <c r="F9" s="11">
        <v>34</v>
      </c>
    </row>
    <row r="10" spans="1:6" x14ac:dyDescent="0.25">
      <c r="A10" s="9" t="s">
        <v>86</v>
      </c>
      <c r="B10" s="11">
        <v>23</v>
      </c>
      <c r="C10" s="11">
        <v>49</v>
      </c>
      <c r="D10" s="11">
        <v>51</v>
      </c>
      <c r="E10" s="11">
        <v>59</v>
      </c>
      <c r="F10" s="11">
        <v>54</v>
      </c>
    </row>
    <row r="11" spans="1:6" x14ac:dyDescent="0.25">
      <c r="A11" s="9" t="s">
        <v>71</v>
      </c>
      <c r="B11" s="11">
        <v>7</v>
      </c>
      <c r="C11" s="11">
        <v>53</v>
      </c>
      <c r="D11" s="11">
        <v>92</v>
      </c>
      <c r="E11" s="11">
        <v>96</v>
      </c>
      <c r="F11" s="11">
        <v>146</v>
      </c>
    </row>
    <row r="12" spans="1:6" x14ac:dyDescent="0.25">
      <c r="A12" s="9" t="s">
        <v>83</v>
      </c>
      <c r="B12" s="11">
        <v>7</v>
      </c>
      <c r="C12" s="11">
        <v>44</v>
      </c>
      <c r="D12" s="11">
        <v>74</v>
      </c>
      <c r="E12" s="11">
        <v>78</v>
      </c>
      <c r="F12" s="11">
        <v>57</v>
      </c>
    </row>
    <row r="13" spans="1:6" x14ac:dyDescent="0.25">
      <c r="A13" s="9" t="s">
        <v>75</v>
      </c>
      <c r="B13" s="11">
        <v>18</v>
      </c>
      <c r="C13" s="11">
        <v>53</v>
      </c>
      <c r="D13" s="11">
        <v>96</v>
      </c>
      <c r="E13" s="11">
        <v>105</v>
      </c>
      <c r="F13" s="11">
        <v>117</v>
      </c>
    </row>
    <row r="14" spans="1:6" x14ac:dyDescent="0.25">
      <c r="A14" s="9" t="s">
        <v>98</v>
      </c>
      <c r="B14" s="11">
        <v>22</v>
      </c>
      <c r="C14" s="11">
        <v>27</v>
      </c>
      <c r="D14" s="11">
        <v>60</v>
      </c>
      <c r="E14" s="11">
        <v>15</v>
      </c>
      <c r="F14" s="11">
        <v>22</v>
      </c>
    </row>
    <row r="15" spans="1:6" x14ac:dyDescent="0.25">
      <c r="A15" s="9" t="s">
        <v>66</v>
      </c>
      <c r="B15" s="11">
        <v>66</v>
      </c>
      <c r="C15" s="11">
        <v>147</v>
      </c>
      <c r="D15" s="11">
        <v>311</v>
      </c>
      <c r="E15" s="11">
        <v>210</v>
      </c>
      <c r="F15" s="11">
        <v>229</v>
      </c>
    </row>
    <row r="16" spans="1:6" x14ac:dyDescent="0.25">
      <c r="A16" s="9" t="s">
        <v>77</v>
      </c>
      <c r="B16" s="11">
        <v>50</v>
      </c>
      <c r="C16" s="11">
        <v>48</v>
      </c>
      <c r="D16" s="11">
        <v>47</v>
      </c>
      <c r="E16" s="11">
        <v>95</v>
      </c>
      <c r="F16" s="11">
        <v>75</v>
      </c>
    </row>
    <row r="17" spans="1:6" x14ac:dyDescent="0.25">
      <c r="A17" s="9" t="s">
        <v>94</v>
      </c>
      <c r="B17" s="11">
        <v>2</v>
      </c>
      <c r="C17" s="11">
        <v>25</v>
      </c>
      <c r="D17" s="11">
        <v>45</v>
      </c>
      <c r="E17" s="11">
        <v>47</v>
      </c>
      <c r="F17" s="11">
        <v>38</v>
      </c>
    </row>
    <row r="18" spans="1:6" x14ac:dyDescent="0.25">
      <c r="A18" s="9" t="s">
        <v>102</v>
      </c>
      <c r="B18" s="11">
        <v>8</v>
      </c>
      <c r="C18" s="11">
        <v>11</v>
      </c>
      <c r="D18" s="11">
        <v>19</v>
      </c>
      <c r="E18" s="11">
        <v>20</v>
      </c>
      <c r="F18" s="11">
        <v>24</v>
      </c>
    </row>
    <row r="19" spans="1:6" x14ac:dyDescent="0.25">
      <c r="A19" s="9" t="s">
        <v>69</v>
      </c>
      <c r="B19" s="11">
        <v>40</v>
      </c>
      <c r="C19" s="11">
        <v>85</v>
      </c>
      <c r="D19" s="11">
        <v>91</v>
      </c>
      <c r="E19" s="11">
        <v>103</v>
      </c>
      <c r="F19" s="11">
        <v>113</v>
      </c>
    </row>
    <row r="20" spans="1:6" x14ac:dyDescent="0.25">
      <c r="A20" s="9" t="s">
        <v>90</v>
      </c>
      <c r="B20" s="11">
        <v>14</v>
      </c>
      <c r="C20" s="11">
        <v>19</v>
      </c>
      <c r="D20" s="11">
        <v>44</v>
      </c>
      <c r="E20" s="11">
        <v>39</v>
      </c>
      <c r="F20" s="11">
        <v>64</v>
      </c>
    </row>
    <row r="21" spans="1:6" x14ac:dyDescent="0.25">
      <c r="A21" s="9" t="s">
        <v>113</v>
      </c>
      <c r="B21" s="11">
        <v>1</v>
      </c>
      <c r="C21" s="11">
        <v>10</v>
      </c>
      <c r="D21" s="11">
        <v>7</v>
      </c>
      <c r="E21" s="11">
        <v>9</v>
      </c>
      <c r="F21" s="11">
        <v>10</v>
      </c>
    </row>
    <row r="22" spans="1:6" x14ac:dyDescent="0.25">
      <c r="A22" s="9" t="s">
        <v>107</v>
      </c>
      <c r="B22" s="11">
        <v>6</v>
      </c>
      <c r="C22" s="11">
        <v>7</v>
      </c>
      <c r="D22" s="11">
        <v>18</v>
      </c>
      <c r="E22" s="11">
        <v>10</v>
      </c>
      <c r="F22" s="11">
        <v>16</v>
      </c>
    </row>
    <row r="23" spans="1:6" x14ac:dyDescent="0.25">
      <c r="A23" s="9" t="s">
        <v>115</v>
      </c>
      <c r="B23" s="11">
        <v>6</v>
      </c>
      <c r="C23" s="11">
        <v>3</v>
      </c>
      <c r="D23" s="11">
        <v>4</v>
      </c>
      <c r="E23" s="11">
        <v>13</v>
      </c>
      <c r="F23" s="11">
        <v>5</v>
      </c>
    </row>
    <row r="24" spans="1:6" x14ac:dyDescent="0.25">
      <c r="A24" s="9" t="s">
        <v>117</v>
      </c>
      <c r="B24" s="11">
        <v>0</v>
      </c>
      <c r="C24" s="11">
        <v>8</v>
      </c>
      <c r="D24" s="11">
        <v>9</v>
      </c>
      <c r="E24" s="11">
        <v>8</v>
      </c>
      <c r="F24" s="11">
        <v>4</v>
      </c>
    </row>
    <row r="25" spans="1:6" x14ac:dyDescent="0.25">
      <c r="A25" s="9" t="s">
        <v>92</v>
      </c>
      <c r="B25" s="11">
        <v>24</v>
      </c>
      <c r="C25" s="11">
        <v>56</v>
      </c>
      <c r="D25" s="11">
        <v>50</v>
      </c>
      <c r="E25" s="11">
        <v>32</v>
      </c>
      <c r="F25" s="11">
        <v>28</v>
      </c>
    </row>
    <row r="26" spans="1:6" x14ac:dyDescent="0.25">
      <c r="A26" s="9" t="s">
        <v>79</v>
      </c>
      <c r="B26" s="11">
        <v>39</v>
      </c>
      <c r="C26" s="11">
        <v>45</v>
      </c>
      <c r="D26" s="11">
        <v>63</v>
      </c>
      <c r="E26" s="11">
        <v>35</v>
      </c>
      <c r="F26" s="11">
        <v>90</v>
      </c>
    </row>
    <row r="27" spans="1:6" x14ac:dyDescent="0.25">
      <c r="A27" s="9" t="s">
        <v>109</v>
      </c>
      <c r="B27" s="11">
        <v>5</v>
      </c>
      <c r="C27" s="11">
        <v>11</v>
      </c>
      <c r="D27" s="11">
        <v>10</v>
      </c>
      <c r="E27" s="11">
        <v>15</v>
      </c>
      <c r="F27" s="11">
        <v>12</v>
      </c>
    </row>
    <row r="28" spans="1:6" x14ac:dyDescent="0.25">
      <c r="A28" s="9" t="s">
        <v>96</v>
      </c>
      <c r="B28" s="11">
        <v>32</v>
      </c>
      <c r="C28" s="11">
        <v>32</v>
      </c>
      <c r="D28" s="11">
        <v>36</v>
      </c>
      <c r="E28" s="11">
        <v>27</v>
      </c>
      <c r="F28" s="11">
        <v>28</v>
      </c>
    </row>
    <row r="29" spans="1:6" x14ac:dyDescent="0.25">
      <c r="A29" s="9" t="s">
        <v>121</v>
      </c>
      <c r="B29" s="11">
        <v>1</v>
      </c>
      <c r="C29" s="11">
        <v>1</v>
      </c>
      <c r="D29" s="11">
        <v>2</v>
      </c>
      <c r="E29" s="11">
        <v>0</v>
      </c>
      <c r="F29" s="11">
        <v>2</v>
      </c>
    </row>
    <row r="30" spans="1:6" x14ac:dyDescent="0.25">
      <c r="A30" s="9" t="s">
        <v>125</v>
      </c>
      <c r="B30" s="11">
        <v>0</v>
      </c>
      <c r="C30" s="11">
        <v>0</v>
      </c>
      <c r="D30" s="11">
        <v>1</v>
      </c>
      <c r="E30" s="11">
        <v>1</v>
      </c>
      <c r="F30" s="11">
        <v>1</v>
      </c>
    </row>
    <row r="31" spans="1:6" x14ac:dyDescent="0.25">
      <c r="A31" s="9" t="s">
        <v>104</v>
      </c>
      <c r="B31" s="11">
        <v>1</v>
      </c>
      <c r="C31" s="11">
        <v>9</v>
      </c>
      <c r="D31" s="11">
        <v>20</v>
      </c>
      <c r="E31" s="11">
        <v>15</v>
      </c>
      <c r="F31" s="11">
        <v>12</v>
      </c>
    </row>
    <row r="32" spans="1:6" x14ac:dyDescent="0.25">
      <c r="A32" s="9" t="s">
        <v>119</v>
      </c>
      <c r="B32" s="11">
        <v>2</v>
      </c>
      <c r="C32" s="11">
        <v>3</v>
      </c>
      <c r="D32" s="11">
        <v>3</v>
      </c>
      <c r="E32" s="11">
        <v>0</v>
      </c>
      <c r="F32" s="11">
        <v>3</v>
      </c>
    </row>
    <row r="33" spans="1:6" x14ac:dyDescent="0.25">
      <c r="A33" s="9" t="s">
        <v>111</v>
      </c>
      <c r="B33" s="11">
        <v>11</v>
      </c>
      <c r="C33" s="11">
        <v>9</v>
      </c>
      <c r="D33" s="11">
        <v>11</v>
      </c>
      <c r="E33" s="11">
        <v>14</v>
      </c>
      <c r="F33" s="11">
        <v>6</v>
      </c>
    </row>
    <row r="34" spans="1:6" x14ac:dyDescent="0.25">
      <c r="A34" s="9" t="s">
        <v>123</v>
      </c>
      <c r="B34" s="11">
        <v>0</v>
      </c>
      <c r="C34" s="11">
        <v>1</v>
      </c>
      <c r="D34" s="11">
        <v>0</v>
      </c>
      <c r="E34" s="11">
        <v>1</v>
      </c>
      <c r="F34" s="11">
        <v>2</v>
      </c>
    </row>
    <row r="35" spans="1:6" x14ac:dyDescent="0.25">
      <c r="A35" s="9" t="s">
        <v>127</v>
      </c>
      <c r="B35" s="11">
        <v>0</v>
      </c>
      <c r="C35" s="11">
        <v>1</v>
      </c>
      <c r="D35" s="11">
        <v>2</v>
      </c>
      <c r="E35" s="11">
        <v>0</v>
      </c>
      <c r="F35" s="11">
        <v>0</v>
      </c>
    </row>
    <row r="36" spans="1:6" x14ac:dyDescent="0.25">
      <c r="A36" s="9" t="s">
        <v>129</v>
      </c>
      <c r="B36" s="11">
        <v>0</v>
      </c>
      <c r="C36" s="11">
        <v>0</v>
      </c>
      <c r="D36" s="11">
        <v>0</v>
      </c>
      <c r="E36" s="11">
        <v>0</v>
      </c>
      <c r="F36" s="11">
        <v>1</v>
      </c>
    </row>
  </sheetData>
  <autoFilter ref="A4:F36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35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13" sqref="C13"/>
    </sheetView>
  </sheetViews>
  <sheetFormatPr defaultColWidth="8.7109375" defaultRowHeight="15" x14ac:dyDescent="0.25"/>
  <cols>
    <col min="1" max="1" width="30" customWidth="1"/>
    <col min="2" max="26" width="12.5703125" customWidth="1"/>
  </cols>
  <sheetData>
    <row r="1" spans="1:26" ht="18" customHeight="1" x14ac:dyDescent="0.25">
      <c r="A1" s="2" t="s">
        <v>135</v>
      </c>
    </row>
    <row r="3" spans="1:26" ht="96.75" customHeight="1" x14ac:dyDescent="0.25">
      <c r="A3" s="26" t="s">
        <v>134</v>
      </c>
      <c r="B3" s="1" t="s">
        <v>136</v>
      </c>
      <c r="C3" s="1" t="s">
        <v>137</v>
      </c>
      <c r="D3" s="1" t="s">
        <v>138</v>
      </c>
      <c r="E3" s="1" t="s">
        <v>139</v>
      </c>
      <c r="F3" s="1" t="s">
        <v>140</v>
      </c>
      <c r="G3" s="1" t="s">
        <v>141</v>
      </c>
      <c r="H3" s="1" t="s">
        <v>142</v>
      </c>
      <c r="I3" s="1" t="s">
        <v>143</v>
      </c>
      <c r="J3" s="1" t="s">
        <v>144</v>
      </c>
      <c r="K3" s="1" t="s">
        <v>145</v>
      </c>
      <c r="L3" s="1" t="s">
        <v>146</v>
      </c>
      <c r="M3" s="1" t="s">
        <v>147</v>
      </c>
      <c r="N3" s="1" t="s">
        <v>148</v>
      </c>
      <c r="O3" s="1" t="s">
        <v>149</v>
      </c>
      <c r="P3" s="1" t="s">
        <v>150</v>
      </c>
      <c r="Q3" s="1" t="s">
        <v>151</v>
      </c>
      <c r="R3" s="1" t="s">
        <v>152</v>
      </c>
      <c r="S3" s="1" t="s">
        <v>153</v>
      </c>
      <c r="T3" s="27" t="s">
        <v>154</v>
      </c>
      <c r="U3" s="1" t="s">
        <v>155</v>
      </c>
      <c r="V3" s="1" t="s">
        <v>156</v>
      </c>
      <c r="W3" s="27" t="s">
        <v>157</v>
      </c>
      <c r="X3" s="1" t="s">
        <v>158</v>
      </c>
      <c r="Y3" s="1" t="s">
        <v>159</v>
      </c>
      <c r="Z3" s="1" t="s">
        <v>160</v>
      </c>
    </row>
    <row r="4" spans="1:26" x14ac:dyDescent="0.25">
      <c r="A4" s="9" t="s">
        <v>73</v>
      </c>
      <c r="B4" s="28">
        <v>154</v>
      </c>
      <c r="C4" s="28">
        <v>13</v>
      </c>
      <c r="D4" s="28">
        <v>145</v>
      </c>
      <c r="E4" s="28">
        <v>8</v>
      </c>
      <c r="F4" s="28">
        <v>0</v>
      </c>
      <c r="G4" s="28">
        <v>39</v>
      </c>
      <c r="H4" s="28">
        <v>9</v>
      </c>
      <c r="I4" s="28">
        <v>11</v>
      </c>
      <c r="J4" s="28">
        <v>8</v>
      </c>
      <c r="K4" s="28">
        <v>11</v>
      </c>
      <c r="L4" s="28">
        <v>18</v>
      </c>
      <c r="M4" s="28">
        <v>1</v>
      </c>
      <c r="N4" s="28">
        <v>13</v>
      </c>
      <c r="O4" s="28">
        <v>10</v>
      </c>
      <c r="P4" s="28">
        <v>3</v>
      </c>
      <c r="Q4" s="28">
        <v>2</v>
      </c>
      <c r="R4" s="28">
        <v>9</v>
      </c>
      <c r="S4" s="28">
        <v>0</v>
      </c>
      <c r="T4" s="28">
        <v>3</v>
      </c>
      <c r="U4" s="28">
        <v>1</v>
      </c>
      <c r="V4" s="28">
        <v>2</v>
      </c>
      <c r="W4" s="28">
        <v>0</v>
      </c>
      <c r="X4" s="28">
        <v>0</v>
      </c>
      <c r="Y4" s="28">
        <v>0</v>
      </c>
      <c r="Z4" s="28">
        <v>1</v>
      </c>
    </row>
    <row r="5" spans="1:26" x14ac:dyDescent="0.25">
      <c r="A5" s="9" t="s">
        <v>81</v>
      </c>
      <c r="B5" s="28">
        <v>82</v>
      </c>
      <c r="C5" s="28">
        <v>39</v>
      </c>
      <c r="D5" s="28">
        <v>38</v>
      </c>
      <c r="E5" s="28">
        <v>10</v>
      </c>
      <c r="F5" s="28">
        <v>0</v>
      </c>
      <c r="G5" s="28">
        <v>17</v>
      </c>
      <c r="H5" s="28">
        <v>22</v>
      </c>
      <c r="I5" s="28">
        <v>3</v>
      </c>
      <c r="J5" s="28">
        <v>0</v>
      </c>
      <c r="K5" s="28">
        <v>3</v>
      </c>
      <c r="L5" s="28">
        <v>11</v>
      </c>
      <c r="M5" s="28">
        <v>0</v>
      </c>
      <c r="N5" s="28">
        <v>3</v>
      </c>
      <c r="O5" s="28">
        <v>7</v>
      </c>
      <c r="P5" s="28">
        <v>2</v>
      </c>
      <c r="Q5" s="28">
        <v>0</v>
      </c>
      <c r="R5" s="28">
        <v>20</v>
      </c>
      <c r="S5" s="28">
        <v>0</v>
      </c>
      <c r="T5" s="28">
        <v>2</v>
      </c>
      <c r="U5" s="28">
        <v>6</v>
      </c>
      <c r="V5" s="28">
        <v>4</v>
      </c>
      <c r="W5" s="28">
        <v>0</v>
      </c>
      <c r="X5" s="28">
        <v>4</v>
      </c>
      <c r="Y5" s="28">
        <v>1</v>
      </c>
      <c r="Z5" s="28">
        <v>5</v>
      </c>
    </row>
    <row r="6" spans="1:26" x14ac:dyDescent="0.25">
      <c r="A6" s="9" t="s">
        <v>88</v>
      </c>
      <c r="B6" s="28">
        <v>78</v>
      </c>
      <c r="C6" s="28">
        <v>2</v>
      </c>
      <c r="D6" s="28">
        <v>67</v>
      </c>
      <c r="E6" s="28">
        <v>4</v>
      </c>
      <c r="F6" s="28">
        <v>0</v>
      </c>
      <c r="G6" s="28">
        <v>7</v>
      </c>
      <c r="H6" s="28">
        <v>6</v>
      </c>
      <c r="I6" s="28">
        <v>7</v>
      </c>
      <c r="J6" s="28">
        <v>0</v>
      </c>
      <c r="K6" s="28">
        <v>14</v>
      </c>
      <c r="L6" s="28">
        <v>20</v>
      </c>
      <c r="M6" s="28">
        <v>1</v>
      </c>
      <c r="N6" s="28">
        <v>0</v>
      </c>
      <c r="O6" s="28">
        <v>12</v>
      </c>
      <c r="P6" s="28">
        <v>0</v>
      </c>
      <c r="Q6" s="28">
        <v>0</v>
      </c>
      <c r="R6" s="28">
        <v>0</v>
      </c>
      <c r="S6" s="28">
        <v>0</v>
      </c>
      <c r="T6" s="28">
        <v>0</v>
      </c>
      <c r="U6" s="28">
        <v>0</v>
      </c>
      <c r="V6" s="28">
        <v>1</v>
      </c>
      <c r="W6" s="28">
        <v>0</v>
      </c>
      <c r="X6" s="28">
        <v>0</v>
      </c>
      <c r="Y6" s="28">
        <v>0</v>
      </c>
      <c r="Z6" s="28">
        <v>0</v>
      </c>
    </row>
    <row r="7" spans="1:26" x14ac:dyDescent="0.25">
      <c r="A7" s="9" t="s">
        <v>63</v>
      </c>
      <c r="B7" s="28">
        <v>12</v>
      </c>
      <c r="C7" s="28">
        <v>1554</v>
      </c>
      <c r="D7" s="28">
        <v>6</v>
      </c>
      <c r="E7" s="28">
        <v>191</v>
      </c>
      <c r="F7" s="28">
        <v>195</v>
      </c>
      <c r="G7" s="28">
        <v>4</v>
      </c>
      <c r="H7" s="28">
        <v>2</v>
      </c>
      <c r="I7" s="28">
        <v>8</v>
      </c>
      <c r="J7" s="28">
        <v>1</v>
      </c>
      <c r="K7" s="28">
        <v>3</v>
      </c>
      <c r="L7" s="28">
        <v>2</v>
      </c>
      <c r="M7" s="28">
        <v>36</v>
      </c>
      <c r="N7" s="28">
        <v>4</v>
      </c>
      <c r="O7" s="28">
        <v>5</v>
      </c>
      <c r="P7" s="28">
        <v>47</v>
      </c>
      <c r="Q7" s="28">
        <v>47</v>
      </c>
      <c r="R7" s="28">
        <v>6</v>
      </c>
      <c r="S7" s="28">
        <v>2</v>
      </c>
      <c r="T7" s="28">
        <v>29</v>
      </c>
      <c r="U7" s="28">
        <v>0</v>
      </c>
      <c r="V7" s="28">
        <v>3</v>
      </c>
      <c r="W7" s="28">
        <v>5</v>
      </c>
      <c r="X7" s="28">
        <v>15</v>
      </c>
      <c r="Y7" s="28">
        <v>22</v>
      </c>
      <c r="Z7" s="28">
        <v>8</v>
      </c>
    </row>
    <row r="8" spans="1:26" x14ac:dyDescent="0.25">
      <c r="A8" s="9" t="s">
        <v>100</v>
      </c>
      <c r="B8" s="28">
        <v>37</v>
      </c>
      <c r="C8" s="28">
        <v>14</v>
      </c>
      <c r="D8" s="28">
        <v>29</v>
      </c>
      <c r="E8" s="28">
        <v>5</v>
      </c>
      <c r="F8" s="28">
        <v>0</v>
      </c>
      <c r="G8" s="28">
        <v>9</v>
      </c>
      <c r="H8" s="28">
        <v>0</v>
      </c>
      <c r="I8" s="28">
        <v>4</v>
      </c>
      <c r="J8" s="28">
        <v>4</v>
      </c>
      <c r="K8" s="28">
        <v>4</v>
      </c>
      <c r="L8" s="28">
        <v>4</v>
      </c>
      <c r="M8" s="28">
        <v>0</v>
      </c>
      <c r="N8" s="28">
        <v>5</v>
      </c>
      <c r="O8" s="28">
        <v>6</v>
      </c>
      <c r="P8" s="28">
        <v>1</v>
      </c>
      <c r="Q8" s="28">
        <v>3</v>
      </c>
      <c r="R8" s="28">
        <v>5</v>
      </c>
      <c r="S8" s="28">
        <v>0</v>
      </c>
      <c r="T8" s="28">
        <v>1</v>
      </c>
      <c r="U8" s="28">
        <v>7</v>
      </c>
      <c r="V8" s="28">
        <v>1</v>
      </c>
      <c r="W8" s="28">
        <v>0</v>
      </c>
      <c r="X8" s="28">
        <v>0</v>
      </c>
      <c r="Y8" s="28">
        <v>2</v>
      </c>
      <c r="Z8" s="28">
        <v>2</v>
      </c>
    </row>
    <row r="9" spans="1:26" x14ac:dyDescent="0.25">
      <c r="A9" s="9" t="s">
        <v>86</v>
      </c>
      <c r="B9" s="28">
        <v>148</v>
      </c>
      <c r="C9" s="28">
        <v>2</v>
      </c>
      <c r="D9" s="28">
        <v>61</v>
      </c>
      <c r="E9" s="28">
        <v>1</v>
      </c>
      <c r="F9" s="28">
        <v>0</v>
      </c>
      <c r="G9" s="28">
        <v>20</v>
      </c>
      <c r="H9" s="28">
        <v>9</v>
      </c>
      <c r="I9" s="28">
        <v>12</v>
      </c>
      <c r="J9" s="28">
        <v>0</v>
      </c>
      <c r="K9" s="28">
        <v>0</v>
      </c>
      <c r="L9" s="28">
        <v>8</v>
      </c>
      <c r="M9" s="28">
        <v>0</v>
      </c>
      <c r="N9" s="28">
        <v>0</v>
      </c>
      <c r="O9" s="28">
        <v>2</v>
      </c>
      <c r="P9" s="28">
        <v>1</v>
      </c>
      <c r="Q9" s="28">
        <v>1</v>
      </c>
      <c r="R9" s="28">
        <v>0</v>
      </c>
      <c r="S9" s="28">
        <v>0</v>
      </c>
      <c r="T9" s="28">
        <v>2</v>
      </c>
      <c r="U9" s="28">
        <v>0</v>
      </c>
      <c r="V9" s="28">
        <v>1</v>
      </c>
      <c r="W9" s="28">
        <v>0</v>
      </c>
      <c r="X9" s="28">
        <v>0</v>
      </c>
      <c r="Y9" s="28">
        <v>0</v>
      </c>
      <c r="Z9" s="28">
        <v>0</v>
      </c>
    </row>
    <row r="10" spans="1:26" x14ac:dyDescent="0.25">
      <c r="A10" s="9" t="s">
        <v>71</v>
      </c>
      <c r="B10" s="28">
        <v>0</v>
      </c>
      <c r="C10" s="28">
        <v>48</v>
      </c>
      <c r="D10" s="28">
        <v>0</v>
      </c>
      <c r="E10" s="28">
        <v>25</v>
      </c>
      <c r="F10" s="28">
        <v>108</v>
      </c>
      <c r="G10" s="28">
        <v>1</v>
      </c>
      <c r="H10" s="28">
        <v>1</v>
      </c>
      <c r="I10" s="28">
        <v>0</v>
      </c>
      <c r="J10" s="28">
        <v>24</v>
      </c>
      <c r="K10" s="28">
        <v>0</v>
      </c>
      <c r="L10" s="28">
        <v>0</v>
      </c>
      <c r="M10" s="28">
        <v>74</v>
      </c>
      <c r="N10" s="28">
        <v>48</v>
      </c>
      <c r="O10" s="28">
        <v>1</v>
      </c>
      <c r="P10" s="28">
        <v>4</v>
      </c>
      <c r="Q10" s="28">
        <v>8</v>
      </c>
      <c r="R10" s="28">
        <v>4</v>
      </c>
      <c r="S10" s="28">
        <v>0</v>
      </c>
      <c r="T10" s="28">
        <v>9</v>
      </c>
      <c r="U10" s="28">
        <v>2</v>
      </c>
      <c r="V10" s="28">
        <v>0</v>
      </c>
      <c r="W10" s="28">
        <v>7</v>
      </c>
      <c r="X10" s="28">
        <v>0</v>
      </c>
      <c r="Y10" s="28">
        <v>0</v>
      </c>
      <c r="Z10" s="28">
        <v>0</v>
      </c>
    </row>
    <row r="11" spans="1:26" x14ac:dyDescent="0.25">
      <c r="A11" s="9" t="s">
        <v>83</v>
      </c>
      <c r="B11" s="28">
        <v>130</v>
      </c>
      <c r="C11" s="28">
        <v>7</v>
      </c>
      <c r="D11" s="28">
        <v>9</v>
      </c>
      <c r="E11" s="28">
        <v>8</v>
      </c>
      <c r="F11" s="28">
        <v>0</v>
      </c>
      <c r="G11" s="28">
        <v>3</v>
      </c>
      <c r="H11" s="28">
        <v>17</v>
      </c>
      <c r="I11" s="28">
        <v>108</v>
      </c>
      <c r="J11" s="28">
        <v>0</v>
      </c>
      <c r="K11" s="28">
        <v>2</v>
      </c>
      <c r="L11" s="28">
        <v>0</v>
      </c>
      <c r="M11" s="28">
        <v>0</v>
      </c>
      <c r="N11" s="28">
        <v>0</v>
      </c>
      <c r="O11" s="28">
        <v>3</v>
      </c>
      <c r="P11" s="28">
        <v>10</v>
      </c>
      <c r="Q11" s="28">
        <v>1</v>
      </c>
      <c r="R11" s="28">
        <v>0</v>
      </c>
      <c r="S11" s="28">
        <v>0</v>
      </c>
      <c r="T11" s="28">
        <v>2</v>
      </c>
      <c r="U11" s="28">
        <v>0</v>
      </c>
      <c r="V11" s="28">
        <v>6</v>
      </c>
      <c r="W11" s="28">
        <v>0</v>
      </c>
      <c r="X11" s="28">
        <v>7</v>
      </c>
      <c r="Y11" s="28">
        <v>0</v>
      </c>
      <c r="Z11" s="28">
        <v>0</v>
      </c>
    </row>
    <row r="12" spans="1:26" x14ac:dyDescent="0.25">
      <c r="A12" s="9" t="s">
        <v>75</v>
      </c>
      <c r="B12" s="28">
        <v>119</v>
      </c>
      <c r="C12" s="28">
        <v>8</v>
      </c>
      <c r="D12" s="28">
        <v>76</v>
      </c>
      <c r="E12" s="28">
        <v>5</v>
      </c>
      <c r="F12" s="28">
        <v>0</v>
      </c>
      <c r="G12" s="28">
        <v>28</v>
      </c>
      <c r="H12" s="28">
        <v>9</v>
      </c>
      <c r="I12" s="28">
        <v>47</v>
      </c>
      <c r="J12" s="28">
        <v>2</v>
      </c>
      <c r="K12" s="28">
        <v>86</v>
      </c>
      <c r="L12" s="28">
        <v>21</v>
      </c>
      <c r="M12" s="28">
        <v>0</v>
      </c>
      <c r="N12" s="28">
        <v>2</v>
      </c>
      <c r="O12" s="28">
        <v>36</v>
      </c>
      <c r="P12" s="28">
        <v>0</v>
      </c>
      <c r="Q12" s="28">
        <v>0</v>
      </c>
      <c r="R12" s="28">
        <v>1</v>
      </c>
      <c r="S12" s="28">
        <v>0</v>
      </c>
      <c r="T12" s="28">
        <v>1</v>
      </c>
      <c r="U12" s="28">
        <v>1</v>
      </c>
      <c r="V12" s="28">
        <v>2</v>
      </c>
      <c r="W12" s="28">
        <v>0</v>
      </c>
      <c r="X12" s="28">
        <v>1</v>
      </c>
      <c r="Y12" s="28">
        <v>1</v>
      </c>
      <c r="Z12" s="28">
        <v>0</v>
      </c>
    </row>
    <row r="13" spans="1:26" x14ac:dyDescent="0.25">
      <c r="A13" s="9" t="s">
        <v>98</v>
      </c>
      <c r="B13" s="28">
        <v>73</v>
      </c>
      <c r="C13" s="28">
        <v>15</v>
      </c>
      <c r="D13" s="28">
        <v>25</v>
      </c>
      <c r="E13" s="28">
        <v>2</v>
      </c>
      <c r="F13" s="28">
        <v>0</v>
      </c>
      <c r="G13" s="28">
        <v>14</v>
      </c>
      <c r="H13" s="28">
        <v>4</v>
      </c>
      <c r="I13" s="28">
        <v>6</v>
      </c>
      <c r="J13" s="28">
        <v>0</v>
      </c>
      <c r="K13" s="28">
        <v>4</v>
      </c>
      <c r="L13" s="28">
        <v>8</v>
      </c>
      <c r="M13" s="28">
        <v>0</v>
      </c>
      <c r="N13" s="28">
        <v>0</v>
      </c>
      <c r="O13" s="28">
        <v>1</v>
      </c>
      <c r="P13" s="28">
        <v>1</v>
      </c>
      <c r="Q13" s="28">
        <v>0</v>
      </c>
      <c r="R13" s="28">
        <v>0</v>
      </c>
      <c r="S13" s="28">
        <v>0</v>
      </c>
      <c r="T13" s="28">
        <v>3</v>
      </c>
      <c r="U13" s="28">
        <v>0</v>
      </c>
      <c r="V13" s="28">
        <v>2</v>
      </c>
      <c r="W13" s="28">
        <v>0</v>
      </c>
      <c r="X13" s="28">
        <v>1</v>
      </c>
      <c r="Y13" s="28">
        <v>0</v>
      </c>
      <c r="Z13" s="28">
        <v>0</v>
      </c>
    </row>
    <row r="14" spans="1:26" x14ac:dyDescent="0.25">
      <c r="A14" s="9" t="s">
        <v>66</v>
      </c>
      <c r="B14" s="28">
        <v>728</v>
      </c>
      <c r="C14" s="28">
        <v>3</v>
      </c>
      <c r="D14" s="28">
        <v>163</v>
      </c>
      <c r="E14" s="28">
        <v>0</v>
      </c>
      <c r="F14" s="28">
        <v>4</v>
      </c>
      <c r="G14" s="28">
        <v>116</v>
      </c>
      <c r="H14" s="28">
        <v>19</v>
      </c>
      <c r="I14" s="28">
        <v>1</v>
      </c>
      <c r="J14" s="28">
        <v>1</v>
      </c>
      <c r="K14" s="28">
        <v>0</v>
      </c>
      <c r="L14" s="28">
        <v>0</v>
      </c>
      <c r="M14" s="28">
        <v>5</v>
      </c>
      <c r="N14" s="28">
        <v>2</v>
      </c>
      <c r="O14" s="28">
        <v>0</v>
      </c>
      <c r="P14" s="28">
        <v>3</v>
      </c>
      <c r="Q14" s="28">
        <v>9</v>
      </c>
      <c r="R14" s="28">
        <v>0</v>
      </c>
      <c r="S14" s="28">
        <v>4</v>
      </c>
      <c r="T14" s="28">
        <v>0</v>
      </c>
      <c r="U14" s="28">
        <v>15</v>
      </c>
      <c r="V14" s="28">
        <v>6</v>
      </c>
      <c r="W14" s="28">
        <v>0</v>
      </c>
      <c r="X14" s="28">
        <v>0</v>
      </c>
      <c r="Y14" s="28">
        <v>1</v>
      </c>
      <c r="Z14" s="28">
        <v>1</v>
      </c>
    </row>
    <row r="15" spans="1:26" x14ac:dyDescent="0.25">
      <c r="A15" s="9" t="s">
        <v>77</v>
      </c>
      <c r="B15" s="28">
        <v>18</v>
      </c>
      <c r="C15" s="28">
        <v>154</v>
      </c>
      <c r="D15" s="28">
        <v>11</v>
      </c>
      <c r="E15" s="28">
        <v>28</v>
      </c>
      <c r="F15" s="28">
        <v>1</v>
      </c>
      <c r="G15" s="28">
        <v>17</v>
      </c>
      <c r="H15" s="28">
        <v>6</v>
      </c>
      <c r="I15" s="28">
        <v>4</v>
      </c>
      <c r="J15" s="28">
        <v>1</v>
      </c>
      <c r="K15" s="28">
        <v>1</v>
      </c>
      <c r="L15" s="28">
        <v>0</v>
      </c>
      <c r="M15" s="28">
        <v>5</v>
      </c>
      <c r="N15" s="28">
        <v>5</v>
      </c>
      <c r="O15" s="28">
        <v>1</v>
      </c>
      <c r="P15" s="28">
        <v>1</v>
      </c>
      <c r="Q15" s="28">
        <v>1</v>
      </c>
      <c r="R15" s="28">
        <v>2</v>
      </c>
      <c r="S15" s="28">
        <v>0</v>
      </c>
      <c r="T15" s="28">
        <v>1</v>
      </c>
      <c r="U15" s="28">
        <v>0</v>
      </c>
      <c r="V15" s="28">
        <v>5</v>
      </c>
      <c r="W15" s="28">
        <v>0</v>
      </c>
      <c r="X15" s="28">
        <v>2</v>
      </c>
      <c r="Y15" s="28">
        <v>0</v>
      </c>
      <c r="Z15" s="28">
        <v>5</v>
      </c>
    </row>
    <row r="16" spans="1:26" x14ac:dyDescent="0.25">
      <c r="A16" s="9" t="s">
        <v>94</v>
      </c>
      <c r="B16" s="28">
        <v>0</v>
      </c>
      <c r="C16" s="28">
        <v>21</v>
      </c>
      <c r="D16" s="28">
        <v>0</v>
      </c>
      <c r="E16" s="28">
        <v>3</v>
      </c>
      <c r="F16" s="28">
        <v>38</v>
      </c>
      <c r="G16" s="28">
        <v>0</v>
      </c>
      <c r="H16" s="28">
        <v>0</v>
      </c>
      <c r="I16" s="28">
        <v>4</v>
      </c>
      <c r="J16" s="28">
        <v>1</v>
      </c>
      <c r="K16" s="28">
        <v>0</v>
      </c>
      <c r="L16" s="28">
        <v>0</v>
      </c>
      <c r="M16" s="28">
        <v>9</v>
      </c>
      <c r="N16" s="28">
        <v>2</v>
      </c>
      <c r="O16" s="28">
        <v>0</v>
      </c>
      <c r="P16" s="28">
        <v>8</v>
      </c>
      <c r="Q16" s="28">
        <v>11</v>
      </c>
      <c r="R16" s="28">
        <v>0</v>
      </c>
      <c r="S16" s="28">
        <v>0</v>
      </c>
      <c r="T16" s="28">
        <v>2</v>
      </c>
      <c r="U16" s="28">
        <v>0</v>
      </c>
      <c r="V16" s="28">
        <v>0</v>
      </c>
      <c r="W16" s="28">
        <v>28</v>
      </c>
      <c r="X16" s="28">
        <v>5</v>
      </c>
      <c r="Y16" s="28">
        <v>3</v>
      </c>
      <c r="Z16" s="28">
        <v>4</v>
      </c>
    </row>
    <row r="17" spans="1:26" x14ac:dyDescent="0.25">
      <c r="A17" s="9" t="s">
        <v>102</v>
      </c>
      <c r="B17" s="28">
        <v>31</v>
      </c>
      <c r="C17" s="28">
        <v>7</v>
      </c>
      <c r="D17" s="28">
        <v>30</v>
      </c>
      <c r="E17" s="28">
        <v>4</v>
      </c>
      <c r="F17" s="28">
        <v>0</v>
      </c>
      <c r="G17" s="28">
        <v>9</v>
      </c>
      <c r="H17" s="28">
        <v>1</v>
      </c>
      <c r="I17" s="28">
        <v>1</v>
      </c>
      <c r="J17" s="28">
        <v>0</v>
      </c>
      <c r="K17" s="28">
        <v>3</v>
      </c>
      <c r="L17" s="28">
        <v>1</v>
      </c>
      <c r="M17" s="28">
        <v>0</v>
      </c>
      <c r="N17" s="28">
        <v>0</v>
      </c>
      <c r="O17" s="28">
        <v>3</v>
      </c>
      <c r="P17" s="28">
        <v>0</v>
      </c>
      <c r="Q17" s="28">
        <v>0</v>
      </c>
      <c r="R17" s="28">
        <v>0</v>
      </c>
      <c r="S17" s="28">
        <v>0</v>
      </c>
      <c r="T17" s="28">
        <v>1</v>
      </c>
      <c r="U17" s="28">
        <v>0</v>
      </c>
      <c r="V17" s="28">
        <v>1</v>
      </c>
      <c r="W17" s="28">
        <v>0</v>
      </c>
      <c r="X17" s="28">
        <v>0</v>
      </c>
      <c r="Y17" s="28">
        <v>0</v>
      </c>
      <c r="Z17" s="28">
        <v>0</v>
      </c>
    </row>
    <row r="18" spans="1:26" x14ac:dyDescent="0.25">
      <c r="A18" s="9" t="s">
        <v>69</v>
      </c>
      <c r="B18" s="28">
        <v>50</v>
      </c>
      <c r="C18" s="28">
        <v>30</v>
      </c>
      <c r="D18" s="28">
        <v>62</v>
      </c>
      <c r="E18" s="28">
        <v>25</v>
      </c>
      <c r="F18" s="28">
        <v>1</v>
      </c>
      <c r="G18" s="28">
        <v>9</v>
      </c>
      <c r="H18" s="28">
        <v>4</v>
      </c>
      <c r="I18" s="28">
        <v>37</v>
      </c>
      <c r="J18" s="28">
        <v>134</v>
      </c>
      <c r="K18" s="28">
        <v>17</v>
      </c>
      <c r="L18" s="28">
        <v>3</v>
      </c>
      <c r="M18" s="28">
        <v>0</v>
      </c>
      <c r="N18" s="28">
        <v>27</v>
      </c>
      <c r="O18" s="28">
        <v>6</v>
      </c>
      <c r="P18" s="28">
        <v>4</v>
      </c>
      <c r="Q18" s="28">
        <v>1</v>
      </c>
      <c r="R18" s="28">
        <v>1</v>
      </c>
      <c r="S18" s="28">
        <v>79</v>
      </c>
      <c r="T18" s="28">
        <v>8</v>
      </c>
      <c r="U18" s="28">
        <v>2</v>
      </c>
      <c r="V18" s="28">
        <v>7</v>
      </c>
      <c r="W18" s="28">
        <v>0</v>
      </c>
      <c r="X18" s="28">
        <v>0</v>
      </c>
      <c r="Y18" s="28">
        <v>6</v>
      </c>
      <c r="Z18" s="28">
        <v>0</v>
      </c>
    </row>
    <row r="19" spans="1:26" x14ac:dyDescent="0.25">
      <c r="A19" s="9" t="s">
        <v>90</v>
      </c>
      <c r="B19" s="28">
        <v>96</v>
      </c>
      <c r="C19" s="28">
        <v>3</v>
      </c>
      <c r="D19" s="28">
        <v>63</v>
      </c>
      <c r="E19" s="28">
        <v>1</v>
      </c>
      <c r="F19" s="28">
        <v>0</v>
      </c>
      <c r="G19" s="28">
        <v>15</v>
      </c>
      <c r="H19" s="28">
        <v>8</v>
      </c>
      <c r="I19" s="28">
        <v>1</v>
      </c>
      <c r="J19" s="28">
        <v>1</v>
      </c>
      <c r="K19" s="28">
        <v>0</v>
      </c>
      <c r="L19" s="28">
        <v>6</v>
      </c>
      <c r="M19" s="28">
        <v>0</v>
      </c>
      <c r="N19" s="28">
        <v>2</v>
      </c>
      <c r="O19" s="28">
        <v>4</v>
      </c>
      <c r="P19" s="28">
        <v>1</v>
      </c>
      <c r="Q19" s="28">
        <v>0</v>
      </c>
      <c r="R19" s="28">
        <v>12</v>
      </c>
      <c r="S19" s="28">
        <v>0</v>
      </c>
      <c r="T19" s="28">
        <v>0</v>
      </c>
      <c r="U19" s="28">
        <v>5</v>
      </c>
      <c r="V19" s="28">
        <v>2</v>
      </c>
      <c r="W19" s="28">
        <v>0</v>
      </c>
      <c r="X19" s="28">
        <v>1</v>
      </c>
      <c r="Y19" s="28">
        <v>0</v>
      </c>
      <c r="Z19" s="28">
        <v>1</v>
      </c>
    </row>
    <row r="20" spans="1:26" x14ac:dyDescent="0.25">
      <c r="A20" s="9" t="s">
        <v>113</v>
      </c>
      <c r="B20" s="28">
        <v>7</v>
      </c>
      <c r="C20" s="28">
        <v>0</v>
      </c>
      <c r="D20" s="28">
        <v>16</v>
      </c>
      <c r="E20" s="28">
        <v>0</v>
      </c>
      <c r="F20" s="28">
        <v>0</v>
      </c>
      <c r="G20" s="28">
        <v>5</v>
      </c>
      <c r="H20" s="28">
        <v>0</v>
      </c>
      <c r="I20" s="28">
        <v>1</v>
      </c>
      <c r="J20" s="28">
        <v>0</v>
      </c>
      <c r="K20" s="28">
        <v>1</v>
      </c>
      <c r="L20" s="28">
        <v>3</v>
      </c>
      <c r="M20" s="28">
        <v>0</v>
      </c>
      <c r="N20" s="28">
        <v>0</v>
      </c>
      <c r="O20" s="28">
        <v>4</v>
      </c>
      <c r="P20" s="28">
        <v>0</v>
      </c>
      <c r="Q20" s="28">
        <v>1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1</v>
      </c>
      <c r="Y20" s="28">
        <v>0</v>
      </c>
      <c r="Z20" s="28">
        <v>0</v>
      </c>
    </row>
    <row r="21" spans="1:26" x14ac:dyDescent="0.25">
      <c r="A21" s="9" t="s">
        <v>107</v>
      </c>
      <c r="B21" s="28">
        <v>22</v>
      </c>
      <c r="C21" s="28">
        <v>7</v>
      </c>
      <c r="D21" s="28">
        <v>13</v>
      </c>
      <c r="E21" s="28">
        <v>0</v>
      </c>
      <c r="F21" s="28">
        <v>0</v>
      </c>
      <c r="G21" s="28">
        <v>3</v>
      </c>
      <c r="H21" s="28">
        <v>3</v>
      </c>
      <c r="I21" s="28">
        <v>0</v>
      </c>
      <c r="J21" s="28">
        <v>1</v>
      </c>
      <c r="K21" s="28">
        <v>2</v>
      </c>
      <c r="L21" s="28">
        <v>8</v>
      </c>
      <c r="M21" s="28">
        <v>0</v>
      </c>
      <c r="N21" s="28">
        <v>2</v>
      </c>
      <c r="O21" s="28">
        <v>0</v>
      </c>
      <c r="P21" s="28">
        <v>0</v>
      </c>
      <c r="Q21" s="28">
        <v>0</v>
      </c>
      <c r="R21" s="28">
        <v>0</v>
      </c>
      <c r="S21" s="28">
        <v>0</v>
      </c>
      <c r="T21" s="28">
        <v>1</v>
      </c>
      <c r="U21" s="28">
        <v>0</v>
      </c>
      <c r="V21" s="28">
        <v>0</v>
      </c>
      <c r="W21" s="28">
        <v>0</v>
      </c>
      <c r="X21" s="28">
        <v>0</v>
      </c>
      <c r="Y21" s="28">
        <v>0</v>
      </c>
      <c r="Z21" s="28">
        <v>0</v>
      </c>
    </row>
    <row r="22" spans="1:26" x14ac:dyDescent="0.25">
      <c r="A22" s="9" t="s">
        <v>115</v>
      </c>
      <c r="B22" s="28">
        <v>19</v>
      </c>
      <c r="C22" s="28">
        <v>0</v>
      </c>
      <c r="D22" s="28">
        <v>8</v>
      </c>
      <c r="E22" s="28">
        <v>1</v>
      </c>
      <c r="F22" s="28">
        <v>0</v>
      </c>
      <c r="G22" s="28">
        <v>1</v>
      </c>
      <c r="H22" s="28">
        <v>0</v>
      </c>
      <c r="I22" s="28">
        <v>0</v>
      </c>
      <c r="J22" s="28">
        <v>0</v>
      </c>
      <c r="K22" s="28">
        <v>0</v>
      </c>
      <c r="L22" s="28">
        <v>2</v>
      </c>
      <c r="M22" s="28">
        <v>0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1</v>
      </c>
      <c r="W22" s="28">
        <v>0</v>
      </c>
      <c r="X22" s="28">
        <v>0</v>
      </c>
      <c r="Y22" s="28">
        <v>0</v>
      </c>
      <c r="Z22" s="28">
        <v>0</v>
      </c>
    </row>
    <row r="23" spans="1:26" x14ac:dyDescent="0.25">
      <c r="A23" s="9" t="s">
        <v>117</v>
      </c>
      <c r="B23" s="28">
        <v>2</v>
      </c>
      <c r="C23" s="28">
        <v>0</v>
      </c>
      <c r="D23" s="28">
        <v>2</v>
      </c>
      <c r="E23" s="28">
        <v>0</v>
      </c>
      <c r="F23" s="28">
        <v>2</v>
      </c>
      <c r="G23" s="28">
        <v>1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3</v>
      </c>
      <c r="N23" s="28">
        <v>0</v>
      </c>
      <c r="O23" s="28">
        <v>0</v>
      </c>
      <c r="P23" s="28">
        <v>2</v>
      </c>
      <c r="Q23" s="28">
        <v>1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1</v>
      </c>
      <c r="X23" s="28">
        <v>1</v>
      </c>
      <c r="Y23" s="28">
        <v>0</v>
      </c>
      <c r="Z23" s="28">
        <v>0</v>
      </c>
    </row>
    <row r="24" spans="1:26" x14ac:dyDescent="0.25">
      <c r="A24" s="9" t="s">
        <v>92</v>
      </c>
      <c r="B24" s="28">
        <v>27</v>
      </c>
      <c r="C24" s="28">
        <v>24</v>
      </c>
      <c r="D24" s="28">
        <v>14</v>
      </c>
      <c r="E24" s="28">
        <v>11</v>
      </c>
      <c r="F24" s="28">
        <v>0</v>
      </c>
      <c r="G24" s="28">
        <v>3</v>
      </c>
      <c r="H24" s="28">
        <v>7</v>
      </c>
      <c r="I24" s="28">
        <v>28</v>
      </c>
      <c r="J24" s="28">
        <v>0</v>
      </c>
      <c r="K24" s="28">
        <v>4</v>
      </c>
      <c r="L24" s="28">
        <v>2</v>
      </c>
      <c r="M24" s="28">
        <v>3</v>
      </c>
      <c r="N24" s="28">
        <v>0</v>
      </c>
      <c r="O24" s="28">
        <v>8</v>
      </c>
      <c r="P24" s="28">
        <v>4</v>
      </c>
      <c r="Q24" s="28">
        <v>7</v>
      </c>
      <c r="R24" s="28">
        <v>0</v>
      </c>
      <c r="S24" s="28">
        <v>0</v>
      </c>
      <c r="T24" s="28">
        <v>1</v>
      </c>
      <c r="U24" s="28">
        <v>0</v>
      </c>
      <c r="V24" s="28">
        <v>1</v>
      </c>
      <c r="W24" s="28">
        <v>0</v>
      </c>
      <c r="X24" s="28">
        <v>2</v>
      </c>
      <c r="Y24" s="28">
        <v>0</v>
      </c>
      <c r="Z24" s="28">
        <v>1</v>
      </c>
    </row>
    <row r="25" spans="1:26" x14ac:dyDescent="0.25">
      <c r="A25" s="9" t="s">
        <v>79</v>
      </c>
      <c r="B25" s="28">
        <v>108</v>
      </c>
      <c r="C25" s="28">
        <v>3</v>
      </c>
      <c r="D25" s="28">
        <v>8</v>
      </c>
      <c r="E25" s="28">
        <v>2</v>
      </c>
      <c r="F25" s="28">
        <v>0</v>
      </c>
      <c r="G25" s="28">
        <v>0</v>
      </c>
      <c r="H25" s="28">
        <v>147</v>
      </c>
      <c r="I25" s="28">
        <v>0</v>
      </c>
      <c r="J25" s="28">
        <v>0</v>
      </c>
      <c r="K25" s="28">
        <v>0</v>
      </c>
      <c r="L25" s="28">
        <v>18</v>
      </c>
      <c r="M25" s="28">
        <v>0</v>
      </c>
      <c r="N25" s="28">
        <v>1</v>
      </c>
      <c r="O25" s="28">
        <v>0</v>
      </c>
      <c r="P25" s="28">
        <v>0</v>
      </c>
      <c r="Q25" s="28">
        <v>0</v>
      </c>
      <c r="R25" s="28">
        <v>24</v>
      </c>
      <c r="S25" s="28">
        <v>0</v>
      </c>
      <c r="T25" s="28">
        <v>1</v>
      </c>
      <c r="U25" s="28">
        <v>15</v>
      </c>
      <c r="V25" s="28">
        <v>1</v>
      </c>
      <c r="W25" s="28">
        <v>0</v>
      </c>
      <c r="X25" s="28">
        <v>0</v>
      </c>
      <c r="Y25" s="28">
        <v>0</v>
      </c>
      <c r="Z25" s="28">
        <v>0</v>
      </c>
    </row>
    <row r="26" spans="1:26" x14ac:dyDescent="0.25">
      <c r="A26" s="9" t="s">
        <v>109</v>
      </c>
      <c r="B26" s="28">
        <v>24</v>
      </c>
      <c r="C26" s="28">
        <v>5</v>
      </c>
      <c r="D26" s="28">
        <v>16</v>
      </c>
      <c r="E26" s="28">
        <v>0</v>
      </c>
      <c r="F26" s="28">
        <v>0</v>
      </c>
      <c r="G26" s="28">
        <v>4</v>
      </c>
      <c r="H26" s="28">
        <v>2</v>
      </c>
      <c r="I26" s="28">
        <v>0</v>
      </c>
      <c r="J26" s="28">
        <v>0</v>
      </c>
      <c r="K26" s="28">
        <v>0</v>
      </c>
      <c r="L26" s="28">
        <v>1</v>
      </c>
      <c r="M26" s="28">
        <v>0</v>
      </c>
      <c r="N26" s="28">
        <v>0</v>
      </c>
      <c r="O26" s="28">
        <v>1</v>
      </c>
      <c r="P26" s="28">
        <v>1</v>
      </c>
      <c r="Q26" s="28">
        <v>1</v>
      </c>
      <c r="R26" s="28">
        <v>2</v>
      </c>
      <c r="S26" s="28">
        <v>0</v>
      </c>
      <c r="T26" s="28">
        <v>0</v>
      </c>
      <c r="U26" s="28">
        <v>1</v>
      </c>
      <c r="V26" s="28">
        <v>0</v>
      </c>
      <c r="W26" s="28">
        <v>0</v>
      </c>
      <c r="X26" s="28">
        <v>0</v>
      </c>
      <c r="Y26" s="28">
        <v>0</v>
      </c>
      <c r="Z26" s="28">
        <v>0</v>
      </c>
    </row>
    <row r="27" spans="1:26" x14ac:dyDescent="0.25">
      <c r="A27" s="9" t="s">
        <v>96</v>
      </c>
      <c r="B27" s="28">
        <v>82</v>
      </c>
      <c r="C27" s="28">
        <v>10</v>
      </c>
      <c r="D27" s="28">
        <v>25</v>
      </c>
      <c r="E27" s="28">
        <v>6</v>
      </c>
      <c r="F27" s="28">
        <v>0</v>
      </c>
      <c r="G27" s="28">
        <v>5</v>
      </c>
      <c r="H27" s="28">
        <v>10</v>
      </c>
      <c r="I27" s="28">
        <v>2</v>
      </c>
      <c r="J27" s="28">
        <v>12</v>
      </c>
      <c r="K27" s="28">
        <v>2</v>
      </c>
      <c r="L27" s="28">
        <v>3</v>
      </c>
      <c r="M27" s="28">
        <v>0</v>
      </c>
      <c r="N27" s="28">
        <v>1</v>
      </c>
      <c r="O27" s="28">
        <v>0</v>
      </c>
      <c r="P27" s="28">
        <v>2</v>
      </c>
      <c r="Q27" s="28">
        <v>0</v>
      </c>
      <c r="R27" s="28">
        <v>6</v>
      </c>
      <c r="S27" s="28">
        <v>5</v>
      </c>
      <c r="T27" s="28">
        <v>0</v>
      </c>
      <c r="U27" s="28">
        <v>1</v>
      </c>
      <c r="V27" s="28">
        <v>1</v>
      </c>
      <c r="W27" s="28">
        <v>0</v>
      </c>
      <c r="X27" s="28">
        <v>0</v>
      </c>
      <c r="Y27" s="28">
        <v>0</v>
      </c>
      <c r="Z27" s="28">
        <v>0</v>
      </c>
    </row>
    <row r="28" spans="1:26" x14ac:dyDescent="0.25">
      <c r="A28" s="9" t="s">
        <v>121</v>
      </c>
      <c r="B28" s="28">
        <v>3</v>
      </c>
      <c r="C28" s="28">
        <v>1</v>
      </c>
      <c r="D28" s="28">
        <v>3</v>
      </c>
      <c r="E28" s="28">
        <v>0</v>
      </c>
      <c r="F28" s="28">
        <v>0</v>
      </c>
      <c r="G28" s="28">
        <v>1</v>
      </c>
      <c r="H28" s="28">
        <v>0</v>
      </c>
      <c r="I28" s="28">
        <v>0</v>
      </c>
      <c r="J28" s="28">
        <v>0</v>
      </c>
      <c r="K28" s="28">
        <v>0</v>
      </c>
      <c r="L28" s="28">
        <v>0</v>
      </c>
      <c r="M28" s="28">
        <v>0</v>
      </c>
      <c r="N28" s="28">
        <v>0</v>
      </c>
      <c r="O28" s="28">
        <v>0</v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  <c r="V28" s="28">
        <v>0</v>
      </c>
      <c r="W28" s="28">
        <v>0</v>
      </c>
      <c r="X28" s="28">
        <v>0</v>
      </c>
      <c r="Y28" s="28">
        <v>0</v>
      </c>
      <c r="Z28" s="28">
        <v>0</v>
      </c>
    </row>
    <row r="29" spans="1:26" x14ac:dyDescent="0.25">
      <c r="A29" s="9" t="s">
        <v>125</v>
      </c>
      <c r="B29" s="28">
        <v>1</v>
      </c>
      <c r="C29" s="28">
        <v>0</v>
      </c>
      <c r="D29" s="28">
        <v>2</v>
      </c>
      <c r="E29" s="28">
        <v>0</v>
      </c>
      <c r="F29" s="28">
        <v>0</v>
      </c>
      <c r="G29" s="28">
        <v>0</v>
      </c>
      <c r="H29" s="28">
        <v>0</v>
      </c>
      <c r="I29" s="28">
        <v>0</v>
      </c>
      <c r="J29" s="28">
        <v>0</v>
      </c>
      <c r="K29" s="28">
        <v>0</v>
      </c>
      <c r="L29" s="28">
        <v>0</v>
      </c>
      <c r="M29" s="28">
        <v>0</v>
      </c>
      <c r="N29" s="28">
        <v>0</v>
      </c>
      <c r="O29" s="28">
        <v>0</v>
      </c>
      <c r="P29" s="28">
        <v>0</v>
      </c>
      <c r="Q29" s="28">
        <v>0</v>
      </c>
      <c r="R29" s="28">
        <v>0</v>
      </c>
      <c r="S29" s="28">
        <v>0</v>
      </c>
      <c r="T29" s="28">
        <v>0</v>
      </c>
      <c r="U29" s="28">
        <v>1</v>
      </c>
      <c r="V29" s="28">
        <v>0</v>
      </c>
      <c r="W29" s="28">
        <v>0</v>
      </c>
      <c r="X29" s="28">
        <v>0</v>
      </c>
      <c r="Y29" s="28">
        <v>0</v>
      </c>
      <c r="Z29" s="28">
        <v>1</v>
      </c>
    </row>
    <row r="30" spans="1:26" x14ac:dyDescent="0.25">
      <c r="A30" s="9" t="s">
        <v>104</v>
      </c>
      <c r="B30" s="28">
        <v>43</v>
      </c>
      <c r="C30" s="28">
        <v>1</v>
      </c>
      <c r="D30" s="28">
        <v>10</v>
      </c>
      <c r="E30" s="28">
        <v>2</v>
      </c>
      <c r="F30" s="28">
        <v>0</v>
      </c>
      <c r="G30" s="28">
        <v>2</v>
      </c>
      <c r="H30" s="28">
        <v>1</v>
      </c>
      <c r="I30" s="28">
        <v>0</v>
      </c>
      <c r="J30" s="28">
        <v>0</v>
      </c>
      <c r="K30" s="28">
        <v>0</v>
      </c>
      <c r="L30" s="28">
        <v>0</v>
      </c>
      <c r="M30" s="28">
        <v>0</v>
      </c>
      <c r="N30" s="28">
        <v>0</v>
      </c>
      <c r="O30" s="28">
        <v>4</v>
      </c>
      <c r="P30" s="28">
        <v>1</v>
      </c>
      <c r="Q30" s="28">
        <v>0</v>
      </c>
      <c r="R30" s="28">
        <v>0</v>
      </c>
      <c r="S30" s="28">
        <v>0</v>
      </c>
      <c r="T30" s="28">
        <v>0</v>
      </c>
      <c r="U30" s="28">
        <v>0</v>
      </c>
      <c r="V30" s="28">
        <v>0</v>
      </c>
      <c r="W30" s="28">
        <v>0</v>
      </c>
      <c r="X30" s="28">
        <v>0</v>
      </c>
      <c r="Y30" s="28">
        <v>0</v>
      </c>
      <c r="Z30" s="28">
        <v>0</v>
      </c>
    </row>
    <row r="31" spans="1:26" x14ac:dyDescent="0.25">
      <c r="A31" s="9" t="s">
        <v>119</v>
      </c>
      <c r="B31" s="28">
        <v>8</v>
      </c>
      <c r="C31" s="28">
        <v>0</v>
      </c>
      <c r="D31" s="28">
        <v>1</v>
      </c>
      <c r="E31" s="28">
        <v>0</v>
      </c>
      <c r="F31" s="28">
        <v>0</v>
      </c>
      <c r="G31" s="28">
        <v>1</v>
      </c>
      <c r="H31" s="28">
        <v>0</v>
      </c>
      <c r="I31" s="28">
        <v>1</v>
      </c>
      <c r="J31" s="28">
        <v>0</v>
      </c>
      <c r="K31" s="28">
        <v>0</v>
      </c>
      <c r="L31" s="28">
        <v>0</v>
      </c>
      <c r="M31" s="28">
        <v>0</v>
      </c>
      <c r="N31" s="28">
        <v>0</v>
      </c>
      <c r="O31" s="28">
        <v>0</v>
      </c>
      <c r="P31" s="28">
        <v>0</v>
      </c>
      <c r="Q31" s="28">
        <v>0</v>
      </c>
      <c r="R31" s="28">
        <v>0</v>
      </c>
      <c r="S31" s="28">
        <v>0</v>
      </c>
      <c r="T31" s="28">
        <v>0</v>
      </c>
      <c r="U31" s="28">
        <v>0</v>
      </c>
      <c r="V31" s="28">
        <v>0</v>
      </c>
      <c r="W31" s="28">
        <v>0</v>
      </c>
      <c r="X31" s="28">
        <v>0</v>
      </c>
      <c r="Y31" s="28">
        <v>0</v>
      </c>
      <c r="Z31" s="28">
        <v>0</v>
      </c>
    </row>
    <row r="32" spans="1:26" x14ac:dyDescent="0.25">
      <c r="A32" s="9" t="s">
        <v>111</v>
      </c>
      <c r="B32" s="28">
        <v>29</v>
      </c>
      <c r="C32" s="28">
        <v>4</v>
      </c>
      <c r="D32" s="28">
        <v>9</v>
      </c>
      <c r="E32" s="28">
        <v>7</v>
      </c>
      <c r="F32" s="28">
        <v>0</v>
      </c>
      <c r="G32" s="28">
        <v>3</v>
      </c>
      <c r="H32" s="28">
        <v>2</v>
      </c>
      <c r="I32" s="28">
        <v>0</v>
      </c>
      <c r="J32" s="28">
        <v>0</v>
      </c>
      <c r="K32" s="28">
        <v>0</v>
      </c>
      <c r="L32" s="28">
        <v>0</v>
      </c>
      <c r="M32" s="28">
        <v>0</v>
      </c>
      <c r="N32" s="28">
        <v>0</v>
      </c>
      <c r="O32" s="28">
        <v>0</v>
      </c>
      <c r="P32" s="28">
        <v>0</v>
      </c>
      <c r="Q32" s="28">
        <v>0</v>
      </c>
      <c r="R32" s="28">
        <v>0</v>
      </c>
      <c r="S32" s="28">
        <v>0</v>
      </c>
      <c r="T32" s="28">
        <v>1</v>
      </c>
      <c r="U32" s="28">
        <v>0</v>
      </c>
      <c r="V32" s="28">
        <v>0</v>
      </c>
      <c r="W32" s="28">
        <v>0</v>
      </c>
      <c r="X32" s="28">
        <v>0</v>
      </c>
      <c r="Y32" s="28">
        <v>0</v>
      </c>
      <c r="Z32" s="28">
        <v>3</v>
      </c>
    </row>
    <row r="33" spans="1:26" x14ac:dyDescent="0.25">
      <c r="A33" s="9" t="s">
        <v>123</v>
      </c>
      <c r="B33" s="28">
        <v>0</v>
      </c>
      <c r="C33" s="28">
        <v>0</v>
      </c>
      <c r="D33" s="28">
        <v>1</v>
      </c>
      <c r="E33" s="28">
        <v>0</v>
      </c>
      <c r="F33" s="28">
        <v>0</v>
      </c>
      <c r="G33" s="28">
        <v>0</v>
      </c>
      <c r="H33" s="28">
        <v>0</v>
      </c>
      <c r="I33" s="28">
        <v>0</v>
      </c>
      <c r="J33" s="28">
        <v>0</v>
      </c>
      <c r="K33" s="28">
        <v>2</v>
      </c>
      <c r="L33" s="28">
        <v>0</v>
      </c>
      <c r="M33" s="28">
        <v>0</v>
      </c>
      <c r="N33" s="28">
        <v>0</v>
      </c>
      <c r="O33" s="28">
        <v>0</v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v>1</v>
      </c>
      <c r="W33" s="28">
        <v>0</v>
      </c>
      <c r="X33" s="28">
        <v>0</v>
      </c>
      <c r="Y33" s="28">
        <v>0</v>
      </c>
      <c r="Z33" s="28">
        <v>0</v>
      </c>
    </row>
    <row r="34" spans="1:26" x14ac:dyDescent="0.25">
      <c r="A34" s="9" t="s">
        <v>127</v>
      </c>
      <c r="B34" s="28">
        <v>1</v>
      </c>
      <c r="C34" s="28">
        <v>0</v>
      </c>
      <c r="D34" s="28">
        <v>0</v>
      </c>
      <c r="E34" s="28">
        <v>1</v>
      </c>
      <c r="F34" s="28">
        <v>0</v>
      </c>
      <c r="G34" s="28">
        <v>2</v>
      </c>
      <c r="H34" s="28">
        <v>0</v>
      </c>
      <c r="I34" s="28">
        <v>0</v>
      </c>
      <c r="J34" s="28">
        <v>0</v>
      </c>
      <c r="K34" s="28">
        <v>0</v>
      </c>
      <c r="L34" s="28">
        <v>0</v>
      </c>
      <c r="M34" s="28">
        <v>0</v>
      </c>
      <c r="N34" s="28">
        <v>0</v>
      </c>
      <c r="O34" s="28">
        <v>0</v>
      </c>
      <c r="P34" s="28">
        <v>0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</row>
    <row r="35" spans="1:26" x14ac:dyDescent="0.25">
      <c r="A35" s="9" t="s">
        <v>129</v>
      </c>
      <c r="B35" s="28">
        <v>0</v>
      </c>
      <c r="C35" s="28">
        <v>1</v>
      </c>
      <c r="D35" s="28">
        <v>0</v>
      </c>
      <c r="E35" s="28">
        <v>0</v>
      </c>
      <c r="F35" s="28">
        <v>0</v>
      </c>
      <c r="G35" s="28">
        <v>0</v>
      </c>
      <c r="H35" s="28">
        <v>0</v>
      </c>
      <c r="I35" s="28">
        <v>0</v>
      </c>
      <c r="J35" s="28">
        <v>0</v>
      </c>
      <c r="K35" s="28">
        <v>0</v>
      </c>
      <c r="L35" s="28">
        <v>0</v>
      </c>
      <c r="M35" s="28">
        <v>0</v>
      </c>
      <c r="N35" s="28">
        <v>0</v>
      </c>
      <c r="O35" s="28">
        <v>0</v>
      </c>
      <c r="P35" s="28">
        <v>0</v>
      </c>
      <c r="Q35" s="28">
        <v>0</v>
      </c>
      <c r="R35" s="28">
        <v>0</v>
      </c>
      <c r="S35" s="28">
        <v>0</v>
      </c>
      <c r="T35" s="28">
        <v>0</v>
      </c>
      <c r="U35" s="28">
        <v>0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</row>
  </sheetData>
  <autoFilter ref="A3:Z35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DD988-9A82-4948-A65C-35CE119C28B3}">
  <dimension ref="A3:O81"/>
  <sheetViews>
    <sheetView tabSelected="1" topLeftCell="A2" workbookViewId="0">
      <selection activeCell="K15" sqref="K15"/>
    </sheetView>
  </sheetViews>
  <sheetFormatPr defaultRowHeight="15" x14ac:dyDescent="0.25"/>
  <cols>
    <col min="1" max="1" width="45" bestFit="1" customWidth="1"/>
    <col min="2" max="2" width="16.28515625" bestFit="1" customWidth="1"/>
    <col min="3" max="3" width="7.140625" bestFit="1" customWidth="1"/>
    <col min="4" max="4" width="8.85546875" bestFit="1" customWidth="1"/>
    <col min="5" max="5" width="7.140625" bestFit="1" customWidth="1"/>
    <col min="6" max="6" width="8.85546875" bestFit="1" customWidth="1"/>
    <col min="7" max="7" width="7.140625" bestFit="1" customWidth="1"/>
    <col min="8" max="8" width="8.85546875" bestFit="1" customWidth="1"/>
    <col min="9" max="9" width="7.140625" bestFit="1" customWidth="1"/>
    <col min="10" max="10" width="8.85546875" bestFit="1" customWidth="1"/>
    <col min="11" max="11" width="7.140625" bestFit="1" customWidth="1"/>
    <col min="12" max="12" width="8.85546875" bestFit="1" customWidth="1"/>
    <col min="13" max="13" width="7.140625" bestFit="1" customWidth="1"/>
    <col min="14" max="14" width="13.85546875" bestFit="1" customWidth="1"/>
    <col min="15" max="15" width="12" bestFit="1" customWidth="1"/>
    <col min="16" max="16" width="10.42578125" bestFit="1" customWidth="1"/>
    <col min="17" max="17" width="8.85546875" bestFit="1" customWidth="1"/>
    <col min="18" max="18" width="7.140625" bestFit="1" customWidth="1"/>
    <col min="19" max="19" width="10.42578125" bestFit="1" customWidth="1"/>
    <col min="20" max="20" width="13.85546875" bestFit="1" customWidth="1"/>
    <col min="21" max="21" width="12" bestFit="1" customWidth="1"/>
    <col min="22" max="22" width="15.42578125" bestFit="1" customWidth="1"/>
    <col min="23" max="23" width="7.140625" bestFit="1" customWidth="1"/>
    <col min="24" max="24" width="10.42578125" bestFit="1" customWidth="1"/>
    <col min="25" max="25" width="8.7109375" bestFit="1" customWidth="1"/>
    <col min="26" max="26" width="13.85546875" bestFit="1" customWidth="1"/>
    <col min="27" max="27" width="12" bestFit="1" customWidth="1"/>
    <col min="28" max="28" width="15.42578125" bestFit="1" customWidth="1"/>
    <col min="29" max="29" width="13.7109375" bestFit="1" customWidth="1"/>
  </cols>
  <sheetData>
    <row r="3" spans="1:15" x14ac:dyDescent="0.25">
      <c r="B3" s="37" t="s">
        <v>171</v>
      </c>
    </row>
    <row r="4" spans="1:15" x14ac:dyDescent="0.25">
      <c r="B4" s="39">
        <v>2021</v>
      </c>
      <c r="D4" s="39">
        <v>2022</v>
      </c>
      <c r="F4" s="39">
        <v>2023</v>
      </c>
      <c r="H4" s="39">
        <v>2024</v>
      </c>
      <c r="J4" s="39">
        <v>2025</v>
      </c>
      <c r="L4" s="39">
        <v>2026</v>
      </c>
      <c r="N4" s="39" t="s">
        <v>172</v>
      </c>
      <c r="O4" s="39" t="s">
        <v>174</v>
      </c>
    </row>
    <row r="5" spans="1:15" x14ac:dyDescent="0.25">
      <c r="A5" s="37" t="s">
        <v>169</v>
      </c>
      <c r="B5" t="s">
        <v>173</v>
      </c>
      <c r="C5" t="s">
        <v>175</v>
      </c>
      <c r="D5" t="s">
        <v>173</v>
      </c>
      <c r="E5" t="s">
        <v>175</v>
      </c>
      <c r="F5" t="s">
        <v>173</v>
      </c>
      <c r="G5" t="s">
        <v>175</v>
      </c>
      <c r="H5" t="s">
        <v>173</v>
      </c>
      <c r="I5" t="s">
        <v>175</v>
      </c>
      <c r="J5" t="s">
        <v>173</v>
      </c>
      <c r="K5" t="s">
        <v>175</v>
      </c>
      <c r="L5" t="s">
        <v>173</v>
      </c>
      <c r="M5" t="s">
        <v>175</v>
      </c>
    </row>
    <row r="6" spans="1:15" x14ac:dyDescent="0.25">
      <c r="A6" s="38" t="s">
        <v>98</v>
      </c>
      <c r="B6" s="44">
        <v>14</v>
      </c>
      <c r="C6" s="44">
        <v>21</v>
      </c>
      <c r="D6" s="44">
        <v>23</v>
      </c>
      <c r="E6" s="44">
        <v>16</v>
      </c>
      <c r="F6" s="44">
        <v>133</v>
      </c>
      <c r="G6" s="44">
        <v>54</v>
      </c>
      <c r="H6" s="44">
        <v>51</v>
      </c>
      <c r="I6" s="44">
        <v>10</v>
      </c>
      <c r="J6" s="44">
        <v>1206</v>
      </c>
      <c r="K6" s="44">
        <v>16</v>
      </c>
      <c r="L6" s="44">
        <v>559</v>
      </c>
      <c r="M6" s="44">
        <v>8</v>
      </c>
      <c r="N6" s="44">
        <v>1986</v>
      </c>
      <c r="O6" s="44">
        <v>125</v>
      </c>
    </row>
    <row r="7" spans="1:15" x14ac:dyDescent="0.25">
      <c r="A7" s="45" t="s">
        <v>136</v>
      </c>
      <c r="B7" s="44">
        <v>10</v>
      </c>
      <c r="C7" s="44">
        <v>19</v>
      </c>
      <c r="D7" s="44">
        <v>8</v>
      </c>
      <c r="E7" s="44">
        <v>11</v>
      </c>
      <c r="F7" s="44">
        <v>57</v>
      </c>
      <c r="G7" s="44">
        <v>35</v>
      </c>
      <c r="H7" s="44">
        <v>13</v>
      </c>
      <c r="I7" s="44">
        <v>5</v>
      </c>
      <c r="J7" s="44">
        <v>37</v>
      </c>
      <c r="K7" s="44">
        <v>2</v>
      </c>
      <c r="L7" s="44">
        <v>15</v>
      </c>
      <c r="M7" s="44">
        <v>1</v>
      </c>
      <c r="N7" s="44">
        <v>140</v>
      </c>
      <c r="O7" s="44">
        <v>73</v>
      </c>
    </row>
    <row r="8" spans="1:15" x14ac:dyDescent="0.25">
      <c r="A8" s="45" t="s">
        <v>138</v>
      </c>
      <c r="B8" s="44">
        <v>1</v>
      </c>
      <c r="C8" s="44">
        <v>0</v>
      </c>
      <c r="D8" s="44">
        <v>4</v>
      </c>
      <c r="E8" s="44">
        <v>2</v>
      </c>
      <c r="F8" s="44">
        <v>15</v>
      </c>
      <c r="G8" s="44">
        <v>10</v>
      </c>
      <c r="H8" s="44">
        <v>9</v>
      </c>
      <c r="I8" s="44">
        <v>3</v>
      </c>
      <c r="J8" s="44">
        <v>81</v>
      </c>
      <c r="K8" s="44">
        <v>7</v>
      </c>
      <c r="L8" s="44">
        <v>4</v>
      </c>
      <c r="M8" s="44">
        <v>3</v>
      </c>
      <c r="N8" s="44">
        <v>114</v>
      </c>
      <c r="O8" s="44">
        <v>25</v>
      </c>
    </row>
    <row r="9" spans="1:15" x14ac:dyDescent="0.25">
      <c r="A9" s="45" t="s">
        <v>142</v>
      </c>
      <c r="B9" s="44"/>
      <c r="C9" s="44"/>
      <c r="D9" s="44">
        <v>0</v>
      </c>
      <c r="E9" s="44">
        <v>1</v>
      </c>
      <c r="F9" s="44">
        <v>4</v>
      </c>
      <c r="G9" s="44">
        <v>1</v>
      </c>
      <c r="H9" s="44">
        <v>1</v>
      </c>
      <c r="I9" s="44">
        <v>0</v>
      </c>
      <c r="J9" s="44">
        <v>0</v>
      </c>
      <c r="K9" s="44">
        <v>1</v>
      </c>
      <c r="L9" s="44">
        <v>0</v>
      </c>
      <c r="M9" s="44">
        <v>1</v>
      </c>
      <c r="N9" s="44">
        <v>5</v>
      </c>
      <c r="O9" s="44">
        <v>4</v>
      </c>
    </row>
    <row r="10" spans="1:15" x14ac:dyDescent="0.25">
      <c r="A10" s="45" t="s">
        <v>141</v>
      </c>
      <c r="B10" s="44">
        <v>3</v>
      </c>
      <c r="C10" s="44">
        <v>2</v>
      </c>
      <c r="D10" s="44">
        <v>4</v>
      </c>
      <c r="E10" s="44">
        <v>0</v>
      </c>
      <c r="F10" s="44">
        <v>52</v>
      </c>
      <c r="G10" s="44">
        <v>8</v>
      </c>
      <c r="H10" s="44">
        <v>14</v>
      </c>
      <c r="I10" s="44">
        <v>2</v>
      </c>
      <c r="J10" s="44">
        <v>38</v>
      </c>
      <c r="K10" s="44">
        <v>2</v>
      </c>
      <c r="L10" s="44">
        <v>28</v>
      </c>
      <c r="M10" s="44">
        <v>0</v>
      </c>
      <c r="N10" s="44">
        <v>139</v>
      </c>
      <c r="O10" s="44">
        <v>14</v>
      </c>
    </row>
    <row r="11" spans="1:15" x14ac:dyDescent="0.25">
      <c r="A11" s="45" t="s">
        <v>146</v>
      </c>
      <c r="B11" s="44"/>
      <c r="C11" s="44"/>
      <c r="D11" s="44">
        <v>0</v>
      </c>
      <c r="E11" s="44">
        <v>1</v>
      </c>
      <c r="F11" s="44"/>
      <c r="G11" s="44"/>
      <c r="H11" s="44">
        <v>2</v>
      </c>
      <c r="I11" s="44">
        <v>0</v>
      </c>
      <c r="J11" s="44">
        <v>1030</v>
      </c>
      <c r="K11" s="44">
        <v>4</v>
      </c>
      <c r="L11" s="44">
        <v>499</v>
      </c>
      <c r="M11" s="44">
        <v>3</v>
      </c>
      <c r="N11" s="44">
        <v>1531</v>
      </c>
      <c r="O11" s="44">
        <v>8</v>
      </c>
    </row>
    <row r="12" spans="1:15" x14ac:dyDescent="0.25">
      <c r="A12" s="45" t="s">
        <v>150</v>
      </c>
      <c r="B12" s="44"/>
      <c r="C12" s="44"/>
      <c r="D12" s="44">
        <v>7</v>
      </c>
      <c r="E12" s="44">
        <v>1</v>
      </c>
      <c r="F12" s="44">
        <v>5</v>
      </c>
      <c r="G12" s="44">
        <v>0</v>
      </c>
      <c r="H12" s="44">
        <v>12</v>
      </c>
      <c r="I12" s="44">
        <v>0</v>
      </c>
      <c r="J12" s="44">
        <v>20</v>
      </c>
      <c r="K12" s="44">
        <v>0</v>
      </c>
      <c r="L12" s="44">
        <v>13</v>
      </c>
      <c r="M12" s="44">
        <v>0</v>
      </c>
      <c r="N12" s="44">
        <v>57</v>
      </c>
      <c r="O12" s="44">
        <v>1</v>
      </c>
    </row>
    <row r="13" spans="1:15" x14ac:dyDescent="0.25">
      <c r="A13" s="38" t="s">
        <v>83</v>
      </c>
      <c r="B13" s="44">
        <v>36</v>
      </c>
      <c r="C13" s="44">
        <v>3</v>
      </c>
      <c r="D13" s="44">
        <v>76</v>
      </c>
      <c r="E13" s="44">
        <v>27</v>
      </c>
      <c r="F13" s="44">
        <v>83</v>
      </c>
      <c r="G13" s="44">
        <v>50</v>
      </c>
      <c r="H13" s="44">
        <v>100</v>
      </c>
      <c r="I13" s="44">
        <v>41</v>
      </c>
      <c r="J13" s="44">
        <v>590</v>
      </c>
      <c r="K13" s="44">
        <v>37</v>
      </c>
      <c r="L13" s="44">
        <v>270</v>
      </c>
      <c r="M13" s="44">
        <v>11</v>
      </c>
      <c r="N13" s="44">
        <v>1155</v>
      </c>
      <c r="O13" s="44">
        <v>169</v>
      </c>
    </row>
    <row r="14" spans="1:15" x14ac:dyDescent="0.25">
      <c r="A14" s="45" t="s">
        <v>136</v>
      </c>
      <c r="B14" s="44">
        <v>16</v>
      </c>
      <c r="C14" s="44">
        <v>3</v>
      </c>
      <c r="D14" s="44">
        <v>17</v>
      </c>
      <c r="E14" s="44">
        <v>20</v>
      </c>
      <c r="F14" s="44">
        <v>14</v>
      </c>
      <c r="G14" s="44">
        <v>40</v>
      </c>
      <c r="H14" s="44">
        <v>14</v>
      </c>
      <c r="I14" s="44">
        <v>31</v>
      </c>
      <c r="J14" s="44">
        <v>29</v>
      </c>
      <c r="K14" s="44">
        <v>30</v>
      </c>
      <c r="L14" s="44">
        <v>11</v>
      </c>
      <c r="M14" s="44">
        <v>6</v>
      </c>
      <c r="N14" s="44">
        <v>101</v>
      </c>
      <c r="O14" s="44">
        <v>130</v>
      </c>
    </row>
    <row r="15" spans="1:15" x14ac:dyDescent="0.25">
      <c r="A15" s="45" t="s">
        <v>138</v>
      </c>
      <c r="B15" s="44"/>
      <c r="C15" s="44"/>
      <c r="D15" s="44">
        <v>11</v>
      </c>
      <c r="E15" s="44">
        <v>3</v>
      </c>
      <c r="F15" s="44">
        <v>14</v>
      </c>
      <c r="G15" s="44">
        <v>1</v>
      </c>
      <c r="H15" s="44">
        <v>28</v>
      </c>
      <c r="I15" s="44">
        <v>1</v>
      </c>
      <c r="J15" s="44">
        <v>41</v>
      </c>
      <c r="K15" s="44">
        <v>3</v>
      </c>
      <c r="L15" s="44">
        <v>5</v>
      </c>
      <c r="M15" s="44">
        <v>1</v>
      </c>
      <c r="N15" s="44">
        <v>99</v>
      </c>
      <c r="O15" s="44">
        <v>9</v>
      </c>
    </row>
    <row r="16" spans="1:15" x14ac:dyDescent="0.25">
      <c r="A16" s="45" t="s">
        <v>142</v>
      </c>
      <c r="B16" s="44"/>
      <c r="C16" s="44"/>
      <c r="D16" s="44">
        <v>1</v>
      </c>
      <c r="E16" s="44">
        <v>1</v>
      </c>
      <c r="F16" s="44">
        <v>2</v>
      </c>
      <c r="G16" s="44">
        <v>6</v>
      </c>
      <c r="H16" s="44">
        <v>1</v>
      </c>
      <c r="I16" s="44">
        <v>3</v>
      </c>
      <c r="J16" s="44">
        <v>0</v>
      </c>
      <c r="K16" s="44">
        <v>3</v>
      </c>
      <c r="L16" s="44">
        <v>0</v>
      </c>
      <c r="M16" s="44">
        <v>4</v>
      </c>
      <c r="N16" s="44">
        <v>4</v>
      </c>
      <c r="O16" s="44">
        <v>17</v>
      </c>
    </row>
    <row r="17" spans="1:15" x14ac:dyDescent="0.25">
      <c r="A17" s="45" t="s">
        <v>141</v>
      </c>
      <c r="B17" s="44"/>
      <c r="C17" s="44"/>
      <c r="D17" s="44">
        <v>1</v>
      </c>
      <c r="E17" s="44">
        <v>0</v>
      </c>
      <c r="F17" s="44">
        <v>12</v>
      </c>
      <c r="G17" s="44">
        <v>0</v>
      </c>
      <c r="H17" s="44">
        <v>12</v>
      </c>
      <c r="I17" s="44">
        <v>2</v>
      </c>
      <c r="J17" s="44">
        <v>40</v>
      </c>
      <c r="K17" s="44">
        <v>1</v>
      </c>
      <c r="L17" s="44">
        <v>27</v>
      </c>
      <c r="M17" s="44">
        <v>0</v>
      </c>
      <c r="N17" s="44">
        <v>92</v>
      </c>
      <c r="O17" s="44">
        <v>3</v>
      </c>
    </row>
    <row r="18" spans="1:15" x14ac:dyDescent="0.25">
      <c r="A18" s="45" t="s">
        <v>146</v>
      </c>
      <c r="B18" s="44"/>
      <c r="C18" s="44"/>
      <c r="D18" s="44">
        <v>1</v>
      </c>
      <c r="E18" s="44">
        <v>0</v>
      </c>
      <c r="F18" s="44">
        <v>3</v>
      </c>
      <c r="G18" s="44">
        <v>0</v>
      </c>
      <c r="H18" s="44">
        <v>5</v>
      </c>
      <c r="I18" s="44">
        <v>0</v>
      </c>
      <c r="J18" s="44">
        <v>455</v>
      </c>
      <c r="K18" s="44">
        <v>0</v>
      </c>
      <c r="L18" s="44">
        <v>214</v>
      </c>
      <c r="M18" s="44">
        <v>0</v>
      </c>
      <c r="N18" s="44">
        <v>678</v>
      </c>
      <c r="O18" s="44">
        <v>0</v>
      </c>
    </row>
    <row r="19" spans="1:15" x14ac:dyDescent="0.25">
      <c r="A19" s="45" t="s">
        <v>150</v>
      </c>
      <c r="B19" s="44">
        <v>20</v>
      </c>
      <c r="C19" s="44">
        <v>0</v>
      </c>
      <c r="D19" s="44">
        <v>45</v>
      </c>
      <c r="E19" s="44">
        <v>3</v>
      </c>
      <c r="F19" s="44">
        <v>38</v>
      </c>
      <c r="G19" s="44">
        <v>3</v>
      </c>
      <c r="H19" s="44">
        <v>40</v>
      </c>
      <c r="I19" s="44">
        <v>4</v>
      </c>
      <c r="J19" s="44">
        <v>25</v>
      </c>
      <c r="K19" s="44">
        <v>0</v>
      </c>
      <c r="L19" s="44">
        <v>13</v>
      </c>
      <c r="M19" s="44">
        <v>0</v>
      </c>
      <c r="N19" s="44">
        <v>181</v>
      </c>
      <c r="O19" s="44">
        <v>10</v>
      </c>
    </row>
    <row r="20" spans="1:15" x14ac:dyDescent="0.25">
      <c r="A20" s="38" t="s">
        <v>73</v>
      </c>
      <c r="B20" s="44">
        <v>161</v>
      </c>
      <c r="C20" s="44">
        <v>13</v>
      </c>
      <c r="D20" s="44">
        <v>221</v>
      </c>
      <c r="E20" s="44">
        <v>34</v>
      </c>
      <c r="F20" s="44">
        <v>538</v>
      </c>
      <c r="G20" s="44">
        <v>65</v>
      </c>
      <c r="H20" s="44">
        <v>857</v>
      </c>
      <c r="I20" s="44">
        <v>129</v>
      </c>
      <c r="J20" s="44">
        <v>8954</v>
      </c>
      <c r="K20" s="44">
        <v>95</v>
      </c>
      <c r="L20" s="44">
        <v>3491</v>
      </c>
      <c r="M20" s="44">
        <v>32</v>
      </c>
      <c r="N20" s="44">
        <v>14222</v>
      </c>
      <c r="O20" s="44">
        <v>368</v>
      </c>
    </row>
    <row r="21" spans="1:15" x14ac:dyDescent="0.25">
      <c r="A21" s="45" t="s">
        <v>136</v>
      </c>
      <c r="B21" s="44">
        <v>5</v>
      </c>
      <c r="C21" s="44">
        <v>10</v>
      </c>
      <c r="D21" s="44">
        <v>33</v>
      </c>
      <c r="E21" s="44">
        <v>26</v>
      </c>
      <c r="F21" s="44">
        <v>96</v>
      </c>
      <c r="G21" s="44">
        <v>41</v>
      </c>
      <c r="H21" s="44">
        <v>61</v>
      </c>
      <c r="I21" s="44">
        <v>54</v>
      </c>
      <c r="J21" s="44">
        <v>143</v>
      </c>
      <c r="K21" s="44">
        <v>19</v>
      </c>
      <c r="L21" s="44">
        <v>88</v>
      </c>
      <c r="M21" s="44">
        <v>4</v>
      </c>
      <c r="N21" s="44">
        <v>426</v>
      </c>
      <c r="O21" s="44">
        <v>154</v>
      </c>
    </row>
    <row r="22" spans="1:15" x14ac:dyDescent="0.25">
      <c r="A22" s="45" t="s">
        <v>138</v>
      </c>
      <c r="B22" s="44">
        <v>4</v>
      </c>
      <c r="C22" s="44">
        <v>0</v>
      </c>
      <c r="D22" s="44">
        <v>27</v>
      </c>
      <c r="E22" s="44">
        <v>2</v>
      </c>
      <c r="F22" s="44">
        <v>127</v>
      </c>
      <c r="G22" s="44">
        <v>14</v>
      </c>
      <c r="H22" s="44">
        <v>282</v>
      </c>
      <c r="I22" s="44">
        <v>50</v>
      </c>
      <c r="J22" s="44">
        <v>956</v>
      </c>
      <c r="K22" s="44">
        <v>61</v>
      </c>
      <c r="L22" s="44">
        <v>38</v>
      </c>
      <c r="M22" s="44">
        <v>18</v>
      </c>
      <c r="N22" s="44">
        <v>1434</v>
      </c>
      <c r="O22" s="44">
        <v>145</v>
      </c>
    </row>
    <row r="23" spans="1:15" x14ac:dyDescent="0.25">
      <c r="A23" s="45" t="s">
        <v>142</v>
      </c>
      <c r="B23" s="44">
        <v>2</v>
      </c>
      <c r="C23" s="44">
        <v>0</v>
      </c>
      <c r="D23" s="44">
        <v>2</v>
      </c>
      <c r="E23" s="44">
        <v>0</v>
      </c>
      <c r="F23" s="44">
        <v>7</v>
      </c>
      <c r="G23" s="44">
        <v>1</v>
      </c>
      <c r="H23" s="44">
        <v>3</v>
      </c>
      <c r="I23" s="44">
        <v>4</v>
      </c>
      <c r="J23" s="44">
        <v>0</v>
      </c>
      <c r="K23" s="44">
        <v>1</v>
      </c>
      <c r="L23" s="44">
        <v>0</v>
      </c>
      <c r="M23" s="44">
        <v>3</v>
      </c>
      <c r="N23" s="44">
        <v>14</v>
      </c>
      <c r="O23" s="44">
        <v>9</v>
      </c>
    </row>
    <row r="24" spans="1:15" x14ac:dyDescent="0.25">
      <c r="A24" s="45" t="s">
        <v>141</v>
      </c>
      <c r="B24" s="44">
        <v>9</v>
      </c>
      <c r="C24" s="44">
        <v>2</v>
      </c>
      <c r="D24" s="44">
        <v>7</v>
      </c>
      <c r="E24" s="44">
        <v>3</v>
      </c>
      <c r="F24" s="44">
        <v>93</v>
      </c>
      <c r="G24" s="44">
        <v>7</v>
      </c>
      <c r="H24" s="44">
        <v>214</v>
      </c>
      <c r="I24" s="44">
        <v>20</v>
      </c>
      <c r="J24" s="44">
        <v>269</v>
      </c>
      <c r="K24" s="44">
        <v>4</v>
      </c>
      <c r="L24" s="44">
        <v>152</v>
      </c>
      <c r="M24" s="44">
        <v>3</v>
      </c>
      <c r="N24" s="44">
        <v>744</v>
      </c>
      <c r="O24" s="44">
        <v>39</v>
      </c>
    </row>
    <row r="25" spans="1:15" x14ac:dyDescent="0.25">
      <c r="A25" s="45" t="s">
        <v>146</v>
      </c>
      <c r="B25" s="44">
        <v>141</v>
      </c>
      <c r="C25" s="44">
        <v>1</v>
      </c>
      <c r="D25" s="44">
        <v>139</v>
      </c>
      <c r="E25" s="44">
        <v>2</v>
      </c>
      <c r="F25" s="44">
        <v>176</v>
      </c>
      <c r="G25" s="44">
        <v>2</v>
      </c>
      <c r="H25" s="44">
        <v>261</v>
      </c>
      <c r="I25" s="44">
        <v>1</v>
      </c>
      <c r="J25" s="44">
        <v>7516</v>
      </c>
      <c r="K25" s="44">
        <v>9</v>
      </c>
      <c r="L25" s="44">
        <v>3182</v>
      </c>
      <c r="M25" s="44">
        <v>3</v>
      </c>
      <c r="N25" s="44">
        <v>11415</v>
      </c>
      <c r="O25" s="44">
        <v>18</v>
      </c>
    </row>
    <row r="26" spans="1:15" x14ac:dyDescent="0.25">
      <c r="A26" s="45" t="s">
        <v>150</v>
      </c>
      <c r="B26" s="44"/>
      <c r="C26" s="44"/>
      <c r="D26" s="44">
        <v>13</v>
      </c>
      <c r="E26" s="44">
        <v>1</v>
      </c>
      <c r="F26" s="44">
        <v>39</v>
      </c>
      <c r="G26" s="44">
        <v>0</v>
      </c>
      <c r="H26" s="44">
        <v>36</v>
      </c>
      <c r="I26" s="44">
        <v>0</v>
      </c>
      <c r="J26" s="44">
        <v>70</v>
      </c>
      <c r="K26" s="44">
        <v>1</v>
      </c>
      <c r="L26" s="44">
        <v>31</v>
      </c>
      <c r="M26" s="44">
        <v>1</v>
      </c>
      <c r="N26" s="44">
        <v>189</v>
      </c>
      <c r="O26" s="44">
        <v>3</v>
      </c>
    </row>
    <row r="27" spans="1:15" x14ac:dyDescent="0.25">
      <c r="A27" s="38" t="s">
        <v>119</v>
      </c>
      <c r="B27" s="44">
        <v>1</v>
      </c>
      <c r="C27" s="44">
        <v>1</v>
      </c>
      <c r="D27" s="44">
        <v>2</v>
      </c>
      <c r="E27" s="44">
        <v>3</v>
      </c>
      <c r="F27" s="44">
        <v>8</v>
      </c>
      <c r="G27" s="44">
        <v>3</v>
      </c>
      <c r="H27" s="44">
        <v>13</v>
      </c>
      <c r="I27" s="44">
        <v>0</v>
      </c>
      <c r="J27" s="44">
        <v>36</v>
      </c>
      <c r="K27" s="44">
        <v>3</v>
      </c>
      <c r="L27" s="44">
        <v>15</v>
      </c>
      <c r="M27" s="44">
        <v>0</v>
      </c>
      <c r="N27" s="44">
        <v>75</v>
      </c>
      <c r="O27" s="44">
        <v>10</v>
      </c>
    </row>
    <row r="28" spans="1:15" x14ac:dyDescent="0.25">
      <c r="A28" s="45" t="s">
        <v>136</v>
      </c>
      <c r="B28" s="44">
        <v>1</v>
      </c>
      <c r="C28" s="44">
        <v>1</v>
      </c>
      <c r="D28" s="44">
        <v>1</v>
      </c>
      <c r="E28" s="44">
        <v>3</v>
      </c>
      <c r="F28" s="44">
        <v>4</v>
      </c>
      <c r="G28" s="44">
        <v>2</v>
      </c>
      <c r="H28" s="44">
        <v>1</v>
      </c>
      <c r="I28" s="44">
        <v>0</v>
      </c>
      <c r="J28" s="44">
        <v>3</v>
      </c>
      <c r="K28" s="44">
        <v>2</v>
      </c>
      <c r="L28" s="44">
        <v>2</v>
      </c>
      <c r="M28" s="44">
        <v>0</v>
      </c>
      <c r="N28" s="44">
        <v>12</v>
      </c>
      <c r="O28" s="44">
        <v>8</v>
      </c>
    </row>
    <row r="29" spans="1:15" x14ac:dyDescent="0.25">
      <c r="A29" s="45" t="s">
        <v>138</v>
      </c>
      <c r="B29" s="44"/>
      <c r="C29" s="44"/>
      <c r="D29" s="44">
        <v>1</v>
      </c>
      <c r="E29" s="44">
        <v>0</v>
      </c>
      <c r="F29" s="44">
        <v>1</v>
      </c>
      <c r="G29" s="44">
        <v>0</v>
      </c>
      <c r="H29" s="44">
        <v>9</v>
      </c>
      <c r="I29" s="44">
        <v>0</v>
      </c>
      <c r="J29" s="44">
        <v>5</v>
      </c>
      <c r="K29" s="44">
        <v>1</v>
      </c>
      <c r="L29" s="44">
        <v>1</v>
      </c>
      <c r="M29" s="44">
        <v>0</v>
      </c>
      <c r="N29" s="44">
        <v>17</v>
      </c>
      <c r="O29" s="44">
        <v>1</v>
      </c>
    </row>
    <row r="30" spans="1:15" x14ac:dyDescent="0.25">
      <c r="A30" s="45" t="s">
        <v>141</v>
      </c>
      <c r="B30" s="44"/>
      <c r="C30" s="44"/>
      <c r="D30" s="44"/>
      <c r="E30" s="44"/>
      <c r="F30" s="44">
        <v>0</v>
      </c>
      <c r="G30" s="44">
        <v>1</v>
      </c>
      <c r="H30" s="44"/>
      <c r="I30" s="44"/>
      <c r="J30" s="44">
        <v>1</v>
      </c>
      <c r="K30" s="44">
        <v>0</v>
      </c>
      <c r="L30" s="44">
        <v>2</v>
      </c>
      <c r="M30" s="44">
        <v>0</v>
      </c>
      <c r="N30" s="44">
        <v>3</v>
      </c>
      <c r="O30" s="44">
        <v>1</v>
      </c>
    </row>
    <row r="31" spans="1:15" x14ac:dyDescent="0.25">
      <c r="A31" s="45" t="s">
        <v>146</v>
      </c>
      <c r="B31" s="44"/>
      <c r="C31" s="44"/>
      <c r="D31" s="44"/>
      <c r="E31" s="44"/>
      <c r="F31" s="44">
        <v>1</v>
      </c>
      <c r="G31" s="44">
        <v>0</v>
      </c>
      <c r="H31" s="44"/>
      <c r="I31" s="44"/>
      <c r="J31" s="44">
        <v>26</v>
      </c>
      <c r="K31" s="44">
        <v>0</v>
      </c>
      <c r="L31" s="44">
        <v>10</v>
      </c>
      <c r="M31" s="44">
        <v>0</v>
      </c>
      <c r="N31" s="44">
        <v>37</v>
      </c>
      <c r="O31" s="44">
        <v>0</v>
      </c>
    </row>
    <row r="32" spans="1:15" x14ac:dyDescent="0.25">
      <c r="A32" s="45" t="s">
        <v>150</v>
      </c>
      <c r="B32" s="44"/>
      <c r="C32" s="44"/>
      <c r="D32" s="44"/>
      <c r="E32" s="44"/>
      <c r="F32" s="44">
        <v>2</v>
      </c>
      <c r="G32" s="44">
        <v>0</v>
      </c>
      <c r="H32" s="44">
        <v>3</v>
      </c>
      <c r="I32" s="44">
        <v>0</v>
      </c>
      <c r="J32" s="44">
        <v>1</v>
      </c>
      <c r="K32" s="44">
        <v>0</v>
      </c>
      <c r="L32" s="44"/>
      <c r="M32" s="44"/>
      <c r="N32" s="44">
        <v>6</v>
      </c>
      <c r="O32" s="44">
        <v>0</v>
      </c>
    </row>
    <row r="33" spans="1:15" x14ac:dyDescent="0.25">
      <c r="A33" s="38" t="s">
        <v>115</v>
      </c>
      <c r="B33" s="44">
        <v>112</v>
      </c>
      <c r="C33" s="44">
        <v>7</v>
      </c>
      <c r="D33" s="44">
        <v>63</v>
      </c>
      <c r="E33" s="44">
        <v>3</v>
      </c>
      <c r="F33" s="44">
        <v>116</v>
      </c>
      <c r="G33" s="44">
        <v>4</v>
      </c>
      <c r="H33" s="44">
        <v>280</v>
      </c>
      <c r="I33" s="44">
        <v>11</v>
      </c>
      <c r="J33" s="44">
        <v>285</v>
      </c>
      <c r="K33" s="44">
        <v>4</v>
      </c>
      <c r="L33" s="44">
        <v>45</v>
      </c>
      <c r="M33" s="44">
        <v>1</v>
      </c>
      <c r="N33" s="44">
        <v>901</v>
      </c>
      <c r="O33" s="44">
        <v>30</v>
      </c>
    </row>
    <row r="34" spans="1:15" x14ac:dyDescent="0.25">
      <c r="A34" s="45" t="s">
        <v>136</v>
      </c>
      <c r="B34" s="44">
        <v>98</v>
      </c>
      <c r="C34" s="44">
        <v>6</v>
      </c>
      <c r="D34" s="44">
        <v>36</v>
      </c>
      <c r="E34" s="44">
        <v>2</v>
      </c>
      <c r="F34" s="44">
        <v>32</v>
      </c>
      <c r="G34" s="44">
        <v>4</v>
      </c>
      <c r="H34" s="44">
        <v>15</v>
      </c>
      <c r="I34" s="44">
        <v>5</v>
      </c>
      <c r="J34" s="44">
        <v>14</v>
      </c>
      <c r="K34" s="44">
        <v>1</v>
      </c>
      <c r="L34" s="44">
        <v>2</v>
      </c>
      <c r="M34" s="44">
        <v>1</v>
      </c>
      <c r="N34" s="44">
        <v>197</v>
      </c>
      <c r="O34" s="44">
        <v>19</v>
      </c>
    </row>
    <row r="35" spans="1:15" x14ac:dyDescent="0.25">
      <c r="A35" s="45" t="s">
        <v>138</v>
      </c>
      <c r="B35" s="44">
        <v>2</v>
      </c>
      <c r="C35" s="44">
        <v>1</v>
      </c>
      <c r="D35" s="44">
        <v>24</v>
      </c>
      <c r="E35" s="44">
        <v>1</v>
      </c>
      <c r="F35" s="44">
        <v>53</v>
      </c>
      <c r="G35" s="44">
        <v>0</v>
      </c>
      <c r="H35" s="44">
        <v>242</v>
      </c>
      <c r="I35" s="44">
        <v>5</v>
      </c>
      <c r="J35" s="44">
        <v>50</v>
      </c>
      <c r="K35" s="44">
        <v>1</v>
      </c>
      <c r="L35" s="44"/>
      <c r="M35" s="44"/>
      <c r="N35" s="44">
        <v>371</v>
      </c>
      <c r="O35" s="44">
        <v>8</v>
      </c>
    </row>
    <row r="36" spans="1:15" x14ac:dyDescent="0.25">
      <c r="A36" s="45" t="s">
        <v>142</v>
      </c>
      <c r="B36" s="44"/>
      <c r="C36" s="44"/>
      <c r="D36" s="44"/>
      <c r="E36" s="44"/>
      <c r="F36" s="44"/>
      <c r="G36" s="44"/>
      <c r="H36" s="44">
        <v>1</v>
      </c>
      <c r="I36" s="44">
        <v>0</v>
      </c>
      <c r="J36" s="44"/>
      <c r="K36" s="44"/>
      <c r="L36" s="44"/>
      <c r="M36" s="44"/>
      <c r="N36" s="44">
        <v>1</v>
      </c>
      <c r="O36" s="44">
        <v>0</v>
      </c>
    </row>
    <row r="37" spans="1:15" x14ac:dyDescent="0.25">
      <c r="A37" s="45" t="s">
        <v>141</v>
      </c>
      <c r="B37" s="44">
        <v>8</v>
      </c>
      <c r="C37" s="44">
        <v>0</v>
      </c>
      <c r="D37" s="44"/>
      <c r="E37" s="44"/>
      <c r="F37" s="44">
        <v>6</v>
      </c>
      <c r="G37" s="44">
        <v>0</v>
      </c>
      <c r="H37" s="44">
        <v>11</v>
      </c>
      <c r="I37" s="44">
        <v>1</v>
      </c>
      <c r="J37" s="44">
        <v>9</v>
      </c>
      <c r="K37" s="44">
        <v>0</v>
      </c>
      <c r="L37" s="44"/>
      <c r="M37" s="44"/>
      <c r="N37" s="44">
        <v>34</v>
      </c>
      <c r="O37" s="44">
        <v>1</v>
      </c>
    </row>
    <row r="38" spans="1:15" x14ac:dyDescent="0.25">
      <c r="A38" s="45" t="s">
        <v>146</v>
      </c>
      <c r="B38" s="44">
        <v>4</v>
      </c>
      <c r="C38" s="44">
        <v>0</v>
      </c>
      <c r="D38" s="44">
        <v>3</v>
      </c>
      <c r="E38" s="44">
        <v>0</v>
      </c>
      <c r="F38" s="44">
        <v>25</v>
      </c>
      <c r="G38" s="44">
        <v>0</v>
      </c>
      <c r="H38" s="44">
        <v>9</v>
      </c>
      <c r="I38" s="44">
        <v>0</v>
      </c>
      <c r="J38" s="44">
        <v>208</v>
      </c>
      <c r="K38" s="44">
        <v>2</v>
      </c>
      <c r="L38" s="44">
        <v>43</v>
      </c>
      <c r="M38" s="44">
        <v>0</v>
      </c>
      <c r="N38" s="44">
        <v>292</v>
      </c>
      <c r="O38" s="44">
        <v>2</v>
      </c>
    </row>
    <row r="39" spans="1:15" x14ac:dyDescent="0.25">
      <c r="A39" s="45" t="s">
        <v>150</v>
      </c>
      <c r="B39" s="44"/>
      <c r="C39" s="44"/>
      <c r="D39" s="44"/>
      <c r="E39" s="44"/>
      <c r="F39" s="44"/>
      <c r="G39" s="44"/>
      <c r="H39" s="44">
        <v>2</v>
      </c>
      <c r="I39" s="44">
        <v>0</v>
      </c>
      <c r="J39" s="44">
        <v>4</v>
      </c>
      <c r="K39" s="44">
        <v>0</v>
      </c>
      <c r="L39" s="44"/>
      <c r="M39" s="44"/>
      <c r="N39" s="44">
        <v>6</v>
      </c>
      <c r="O39" s="44">
        <v>0</v>
      </c>
    </row>
    <row r="40" spans="1:15" x14ac:dyDescent="0.25">
      <c r="A40" s="38" t="s">
        <v>100</v>
      </c>
      <c r="B40" s="44">
        <v>61</v>
      </c>
      <c r="C40" s="44">
        <v>5</v>
      </c>
      <c r="D40" s="44">
        <v>111</v>
      </c>
      <c r="E40" s="44">
        <v>7</v>
      </c>
      <c r="F40" s="44">
        <v>292</v>
      </c>
      <c r="G40" s="44">
        <v>14</v>
      </c>
      <c r="H40" s="44">
        <v>303</v>
      </c>
      <c r="I40" s="44">
        <v>20</v>
      </c>
      <c r="J40" s="44">
        <v>3554</v>
      </c>
      <c r="K40" s="44">
        <v>26</v>
      </c>
      <c r="L40" s="44">
        <v>1176</v>
      </c>
      <c r="M40" s="44">
        <v>8</v>
      </c>
      <c r="N40" s="44">
        <v>5497</v>
      </c>
      <c r="O40" s="44">
        <v>80</v>
      </c>
    </row>
    <row r="41" spans="1:15" x14ac:dyDescent="0.25">
      <c r="A41" s="45" t="s">
        <v>136</v>
      </c>
      <c r="B41" s="44">
        <v>3</v>
      </c>
      <c r="C41" s="44">
        <v>4</v>
      </c>
      <c r="D41" s="44">
        <v>10</v>
      </c>
      <c r="E41" s="44">
        <v>6</v>
      </c>
      <c r="F41" s="44">
        <v>41</v>
      </c>
      <c r="G41" s="44">
        <v>12</v>
      </c>
      <c r="H41" s="44">
        <v>29</v>
      </c>
      <c r="I41" s="44">
        <v>10</v>
      </c>
      <c r="J41" s="44">
        <v>72</v>
      </c>
      <c r="K41" s="44">
        <v>3</v>
      </c>
      <c r="L41" s="44">
        <v>30</v>
      </c>
      <c r="M41" s="44">
        <v>2</v>
      </c>
      <c r="N41" s="44">
        <v>185</v>
      </c>
      <c r="O41" s="44">
        <v>37</v>
      </c>
    </row>
    <row r="42" spans="1:15" x14ac:dyDescent="0.25">
      <c r="A42" s="45" t="s">
        <v>138</v>
      </c>
      <c r="B42" s="44">
        <v>0</v>
      </c>
      <c r="C42" s="44">
        <v>1</v>
      </c>
      <c r="D42" s="44">
        <v>18</v>
      </c>
      <c r="E42" s="44">
        <v>0</v>
      </c>
      <c r="F42" s="44">
        <v>65</v>
      </c>
      <c r="G42" s="44">
        <v>1</v>
      </c>
      <c r="H42" s="44">
        <v>74</v>
      </c>
      <c r="I42" s="44">
        <v>8</v>
      </c>
      <c r="J42" s="44">
        <v>314</v>
      </c>
      <c r="K42" s="44">
        <v>14</v>
      </c>
      <c r="L42" s="44">
        <v>17</v>
      </c>
      <c r="M42" s="44">
        <v>5</v>
      </c>
      <c r="N42" s="44">
        <v>488</v>
      </c>
      <c r="O42" s="44">
        <v>29</v>
      </c>
    </row>
    <row r="43" spans="1:15" x14ac:dyDescent="0.25">
      <c r="A43" s="45" t="s">
        <v>142</v>
      </c>
      <c r="B43" s="44"/>
      <c r="C43" s="44"/>
      <c r="D43" s="44">
        <v>2</v>
      </c>
      <c r="E43" s="44">
        <v>0</v>
      </c>
      <c r="F43" s="44">
        <v>4</v>
      </c>
      <c r="G43" s="44">
        <v>0</v>
      </c>
      <c r="H43" s="44">
        <v>2</v>
      </c>
      <c r="I43" s="44">
        <v>0</v>
      </c>
      <c r="J43" s="44"/>
      <c r="K43" s="44"/>
      <c r="L43" s="44"/>
      <c r="M43" s="44"/>
      <c r="N43" s="44">
        <v>8</v>
      </c>
      <c r="O43" s="44">
        <v>0</v>
      </c>
    </row>
    <row r="44" spans="1:15" x14ac:dyDescent="0.25">
      <c r="A44" s="45" t="s">
        <v>141</v>
      </c>
      <c r="B44" s="44">
        <v>4</v>
      </c>
      <c r="C44" s="44">
        <v>0</v>
      </c>
      <c r="D44" s="44">
        <v>6</v>
      </c>
      <c r="E44" s="44">
        <v>1</v>
      </c>
      <c r="F44" s="44">
        <v>49</v>
      </c>
      <c r="G44" s="44">
        <v>1</v>
      </c>
      <c r="H44" s="44">
        <v>73</v>
      </c>
      <c r="I44" s="44">
        <v>2</v>
      </c>
      <c r="J44" s="44">
        <v>135</v>
      </c>
      <c r="K44" s="44">
        <v>4</v>
      </c>
      <c r="L44" s="44">
        <v>51</v>
      </c>
      <c r="M44" s="44">
        <v>1</v>
      </c>
      <c r="N44" s="44">
        <v>318</v>
      </c>
      <c r="O44" s="44">
        <v>9</v>
      </c>
    </row>
    <row r="45" spans="1:15" x14ac:dyDescent="0.25">
      <c r="A45" s="45" t="s">
        <v>146</v>
      </c>
      <c r="B45" s="44">
        <v>54</v>
      </c>
      <c r="C45" s="44">
        <v>0</v>
      </c>
      <c r="D45" s="44">
        <v>65</v>
      </c>
      <c r="E45" s="44">
        <v>0</v>
      </c>
      <c r="F45" s="44">
        <v>97</v>
      </c>
      <c r="G45" s="44">
        <v>0</v>
      </c>
      <c r="H45" s="44">
        <v>108</v>
      </c>
      <c r="I45" s="44">
        <v>0</v>
      </c>
      <c r="J45" s="44">
        <v>2998</v>
      </c>
      <c r="K45" s="44">
        <v>4</v>
      </c>
      <c r="L45" s="44">
        <v>1056</v>
      </c>
      <c r="M45" s="44">
        <v>0</v>
      </c>
      <c r="N45" s="44">
        <v>4378</v>
      </c>
      <c r="O45" s="44">
        <v>4</v>
      </c>
    </row>
    <row r="46" spans="1:15" x14ac:dyDescent="0.25">
      <c r="A46" s="45" t="s">
        <v>150</v>
      </c>
      <c r="B46" s="44"/>
      <c r="C46" s="44"/>
      <c r="D46" s="44">
        <v>10</v>
      </c>
      <c r="E46" s="44">
        <v>0</v>
      </c>
      <c r="F46" s="44">
        <v>36</v>
      </c>
      <c r="G46" s="44">
        <v>0</v>
      </c>
      <c r="H46" s="44">
        <v>17</v>
      </c>
      <c r="I46" s="44">
        <v>0</v>
      </c>
      <c r="J46" s="44">
        <v>35</v>
      </c>
      <c r="K46" s="44">
        <v>1</v>
      </c>
      <c r="L46" s="44">
        <v>22</v>
      </c>
      <c r="M46" s="44">
        <v>0</v>
      </c>
      <c r="N46" s="44">
        <v>120</v>
      </c>
      <c r="O46" s="44">
        <v>1</v>
      </c>
    </row>
    <row r="47" spans="1:15" x14ac:dyDescent="0.25">
      <c r="A47" s="38" t="s">
        <v>81</v>
      </c>
      <c r="B47" s="44">
        <v>7</v>
      </c>
      <c r="C47" s="44">
        <v>11</v>
      </c>
      <c r="D47" s="44">
        <v>65</v>
      </c>
      <c r="E47" s="44">
        <v>8</v>
      </c>
      <c r="F47" s="44">
        <v>176</v>
      </c>
      <c r="G47" s="44">
        <v>30</v>
      </c>
      <c r="H47" s="44">
        <v>274</v>
      </c>
      <c r="I47" s="44">
        <v>48</v>
      </c>
      <c r="J47" s="44">
        <v>6769</v>
      </c>
      <c r="K47" s="44">
        <v>50</v>
      </c>
      <c r="L47" s="44">
        <v>3252</v>
      </c>
      <c r="M47" s="44">
        <v>25</v>
      </c>
      <c r="N47" s="44">
        <v>10543</v>
      </c>
      <c r="O47" s="44">
        <v>172</v>
      </c>
    </row>
    <row r="48" spans="1:15" x14ac:dyDescent="0.25">
      <c r="A48" s="45" t="s">
        <v>136</v>
      </c>
      <c r="B48" s="44">
        <v>1</v>
      </c>
      <c r="C48" s="44">
        <v>8</v>
      </c>
      <c r="D48" s="44">
        <v>21</v>
      </c>
      <c r="E48" s="44">
        <v>6</v>
      </c>
      <c r="F48" s="44">
        <v>64</v>
      </c>
      <c r="G48" s="44">
        <v>23</v>
      </c>
      <c r="H48" s="44">
        <v>56</v>
      </c>
      <c r="I48" s="44">
        <v>18</v>
      </c>
      <c r="J48" s="44">
        <v>72</v>
      </c>
      <c r="K48" s="44">
        <v>18</v>
      </c>
      <c r="L48" s="44">
        <v>70</v>
      </c>
      <c r="M48" s="44">
        <v>9</v>
      </c>
      <c r="N48" s="44">
        <v>284</v>
      </c>
      <c r="O48" s="44">
        <v>82</v>
      </c>
    </row>
    <row r="49" spans="1:15" x14ac:dyDescent="0.25">
      <c r="A49" s="45" t="s">
        <v>138</v>
      </c>
      <c r="B49" s="44">
        <v>0</v>
      </c>
      <c r="C49" s="44">
        <v>1</v>
      </c>
      <c r="D49" s="44">
        <v>12</v>
      </c>
      <c r="E49" s="44">
        <v>1</v>
      </c>
      <c r="F49" s="44">
        <v>29</v>
      </c>
      <c r="G49" s="44">
        <v>2</v>
      </c>
      <c r="H49" s="44">
        <v>49</v>
      </c>
      <c r="I49" s="44">
        <v>13</v>
      </c>
      <c r="J49" s="44">
        <v>767</v>
      </c>
      <c r="K49" s="44">
        <v>15</v>
      </c>
      <c r="L49" s="44">
        <v>86</v>
      </c>
      <c r="M49" s="44">
        <v>6</v>
      </c>
      <c r="N49" s="44">
        <v>943</v>
      </c>
      <c r="O49" s="44">
        <v>38</v>
      </c>
    </row>
    <row r="50" spans="1:15" x14ac:dyDescent="0.25">
      <c r="A50" s="45" t="s">
        <v>142</v>
      </c>
      <c r="B50" s="44">
        <v>0</v>
      </c>
      <c r="C50" s="44">
        <v>1</v>
      </c>
      <c r="D50" s="44">
        <v>1</v>
      </c>
      <c r="E50" s="44">
        <v>0</v>
      </c>
      <c r="F50" s="44">
        <v>3</v>
      </c>
      <c r="G50" s="44">
        <v>2</v>
      </c>
      <c r="H50" s="44">
        <v>0</v>
      </c>
      <c r="I50" s="44">
        <v>2</v>
      </c>
      <c r="J50" s="44">
        <v>2</v>
      </c>
      <c r="K50" s="44">
        <v>11</v>
      </c>
      <c r="L50" s="44">
        <v>1</v>
      </c>
      <c r="M50" s="44">
        <v>6</v>
      </c>
      <c r="N50" s="44">
        <v>7</v>
      </c>
      <c r="O50" s="44">
        <v>22</v>
      </c>
    </row>
    <row r="51" spans="1:15" x14ac:dyDescent="0.25">
      <c r="A51" s="45" t="s">
        <v>141</v>
      </c>
      <c r="B51" s="44"/>
      <c r="C51" s="44"/>
      <c r="D51" s="44">
        <v>6</v>
      </c>
      <c r="E51" s="44">
        <v>1</v>
      </c>
      <c r="F51" s="44">
        <v>28</v>
      </c>
      <c r="G51" s="44">
        <v>2</v>
      </c>
      <c r="H51" s="44">
        <v>86</v>
      </c>
      <c r="I51" s="44">
        <v>13</v>
      </c>
      <c r="J51" s="44">
        <v>222</v>
      </c>
      <c r="K51" s="44">
        <v>1</v>
      </c>
      <c r="L51" s="44">
        <v>158</v>
      </c>
      <c r="M51" s="44">
        <v>0</v>
      </c>
      <c r="N51" s="44">
        <v>500</v>
      </c>
      <c r="O51" s="44">
        <v>17</v>
      </c>
    </row>
    <row r="52" spans="1:15" x14ac:dyDescent="0.25">
      <c r="A52" s="45" t="s">
        <v>146</v>
      </c>
      <c r="B52" s="44">
        <v>6</v>
      </c>
      <c r="C52" s="44">
        <v>1</v>
      </c>
      <c r="D52" s="44">
        <v>11</v>
      </c>
      <c r="E52" s="44">
        <v>0</v>
      </c>
      <c r="F52" s="44">
        <v>14</v>
      </c>
      <c r="G52" s="44">
        <v>0</v>
      </c>
      <c r="H52" s="44">
        <v>48</v>
      </c>
      <c r="I52" s="44">
        <v>2</v>
      </c>
      <c r="J52" s="44">
        <v>5670</v>
      </c>
      <c r="K52" s="44">
        <v>4</v>
      </c>
      <c r="L52" s="44">
        <v>2918</v>
      </c>
      <c r="M52" s="44">
        <v>4</v>
      </c>
      <c r="N52" s="44">
        <v>8667</v>
      </c>
      <c r="O52" s="44">
        <v>11</v>
      </c>
    </row>
    <row r="53" spans="1:15" x14ac:dyDescent="0.25">
      <c r="A53" s="45" t="s">
        <v>150</v>
      </c>
      <c r="B53" s="44"/>
      <c r="C53" s="44"/>
      <c r="D53" s="44">
        <v>14</v>
      </c>
      <c r="E53" s="44">
        <v>0</v>
      </c>
      <c r="F53" s="44">
        <v>38</v>
      </c>
      <c r="G53" s="44">
        <v>1</v>
      </c>
      <c r="H53" s="44">
        <v>35</v>
      </c>
      <c r="I53" s="44">
        <v>0</v>
      </c>
      <c r="J53" s="44">
        <v>36</v>
      </c>
      <c r="K53" s="44">
        <v>1</v>
      </c>
      <c r="L53" s="44">
        <v>19</v>
      </c>
      <c r="M53" s="44">
        <v>0</v>
      </c>
      <c r="N53" s="44">
        <v>142</v>
      </c>
      <c r="O53" s="44">
        <v>2</v>
      </c>
    </row>
    <row r="54" spans="1:15" x14ac:dyDescent="0.25">
      <c r="A54" s="38" t="s">
        <v>86</v>
      </c>
      <c r="B54" s="44">
        <v>11</v>
      </c>
      <c r="C54" s="44">
        <v>25</v>
      </c>
      <c r="D54" s="44">
        <v>57</v>
      </c>
      <c r="E54" s="44">
        <v>46</v>
      </c>
      <c r="F54" s="44">
        <v>265</v>
      </c>
      <c r="G54" s="44">
        <v>51</v>
      </c>
      <c r="H54" s="44">
        <v>1291</v>
      </c>
      <c r="I54" s="44">
        <v>56</v>
      </c>
      <c r="J54" s="44">
        <v>2832</v>
      </c>
      <c r="K54" s="44">
        <v>50</v>
      </c>
      <c r="L54" s="44">
        <v>1342</v>
      </c>
      <c r="M54" s="44">
        <v>19</v>
      </c>
      <c r="N54" s="44">
        <v>5798</v>
      </c>
      <c r="O54" s="44">
        <v>247</v>
      </c>
    </row>
    <row r="55" spans="1:15" x14ac:dyDescent="0.25">
      <c r="A55" s="45" t="s">
        <v>136</v>
      </c>
      <c r="B55" s="44">
        <v>10</v>
      </c>
      <c r="C55" s="44">
        <v>22</v>
      </c>
      <c r="D55" s="44">
        <v>23</v>
      </c>
      <c r="E55" s="44">
        <v>39</v>
      </c>
      <c r="F55" s="44">
        <v>59</v>
      </c>
      <c r="G55" s="44">
        <v>40</v>
      </c>
      <c r="H55" s="44">
        <v>32</v>
      </c>
      <c r="I55" s="44">
        <v>26</v>
      </c>
      <c r="J55" s="44">
        <v>64</v>
      </c>
      <c r="K55" s="44">
        <v>14</v>
      </c>
      <c r="L55" s="44">
        <v>30</v>
      </c>
      <c r="M55" s="44">
        <v>7</v>
      </c>
      <c r="N55" s="44">
        <v>218</v>
      </c>
      <c r="O55" s="44">
        <v>148</v>
      </c>
    </row>
    <row r="56" spans="1:15" x14ac:dyDescent="0.25">
      <c r="A56" s="45" t="s">
        <v>138</v>
      </c>
      <c r="B56" s="44"/>
      <c r="C56" s="44"/>
      <c r="D56" s="44">
        <v>13</v>
      </c>
      <c r="E56" s="44">
        <v>2</v>
      </c>
      <c r="F56" s="44">
        <v>68</v>
      </c>
      <c r="G56" s="44">
        <v>4</v>
      </c>
      <c r="H56" s="44">
        <v>1115</v>
      </c>
      <c r="I56" s="44">
        <v>25</v>
      </c>
      <c r="J56" s="44">
        <v>266</v>
      </c>
      <c r="K56" s="44">
        <v>24</v>
      </c>
      <c r="L56" s="44">
        <v>13</v>
      </c>
      <c r="M56" s="44">
        <v>6</v>
      </c>
      <c r="N56" s="44">
        <v>1475</v>
      </c>
      <c r="O56" s="44">
        <v>61</v>
      </c>
    </row>
    <row r="57" spans="1:15" x14ac:dyDescent="0.25">
      <c r="A57" s="45" t="s">
        <v>142</v>
      </c>
      <c r="B57" s="44">
        <v>0</v>
      </c>
      <c r="C57" s="44">
        <v>1</v>
      </c>
      <c r="D57" s="44">
        <v>1</v>
      </c>
      <c r="E57" s="44">
        <v>2</v>
      </c>
      <c r="F57" s="44">
        <v>1</v>
      </c>
      <c r="G57" s="44">
        <v>1</v>
      </c>
      <c r="H57" s="44">
        <v>2</v>
      </c>
      <c r="I57" s="44">
        <v>1</v>
      </c>
      <c r="J57" s="44">
        <v>0</v>
      </c>
      <c r="K57" s="44">
        <v>4</v>
      </c>
      <c r="L57" s="44">
        <v>1</v>
      </c>
      <c r="M57" s="44">
        <v>0</v>
      </c>
      <c r="N57" s="44">
        <v>5</v>
      </c>
      <c r="O57" s="44">
        <v>9</v>
      </c>
    </row>
    <row r="58" spans="1:15" x14ac:dyDescent="0.25">
      <c r="A58" s="45" t="s">
        <v>141</v>
      </c>
      <c r="B58" s="44">
        <v>1</v>
      </c>
      <c r="C58" s="44">
        <v>2</v>
      </c>
      <c r="D58" s="44">
        <v>6</v>
      </c>
      <c r="E58" s="44">
        <v>3</v>
      </c>
      <c r="F58" s="44">
        <v>37</v>
      </c>
      <c r="G58" s="44">
        <v>6</v>
      </c>
      <c r="H58" s="44">
        <v>57</v>
      </c>
      <c r="I58" s="44">
        <v>4</v>
      </c>
      <c r="J58" s="44">
        <v>102</v>
      </c>
      <c r="K58" s="44">
        <v>3</v>
      </c>
      <c r="L58" s="44">
        <v>48</v>
      </c>
      <c r="M58" s="44">
        <v>2</v>
      </c>
      <c r="N58" s="44">
        <v>251</v>
      </c>
      <c r="O58" s="44">
        <v>20</v>
      </c>
    </row>
    <row r="59" spans="1:15" x14ac:dyDescent="0.25">
      <c r="A59" s="45" t="s">
        <v>146</v>
      </c>
      <c r="B59" s="44"/>
      <c r="C59" s="44"/>
      <c r="D59" s="44">
        <v>2</v>
      </c>
      <c r="E59" s="44">
        <v>0</v>
      </c>
      <c r="F59" s="44">
        <v>17</v>
      </c>
      <c r="G59" s="44">
        <v>0</v>
      </c>
      <c r="H59" s="44">
        <v>47</v>
      </c>
      <c r="I59" s="44">
        <v>0</v>
      </c>
      <c r="J59" s="44">
        <v>2368</v>
      </c>
      <c r="K59" s="44">
        <v>4</v>
      </c>
      <c r="L59" s="44">
        <v>1228</v>
      </c>
      <c r="M59" s="44">
        <v>4</v>
      </c>
      <c r="N59" s="44">
        <v>3662</v>
      </c>
      <c r="O59" s="44">
        <v>8</v>
      </c>
    </row>
    <row r="60" spans="1:15" x14ac:dyDescent="0.25">
      <c r="A60" s="45" t="s">
        <v>150</v>
      </c>
      <c r="B60" s="44"/>
      <c r="C60" s="44"/>
      <c r="D60" s="44">
        <v>12</v>
      </c>
      <c r="E60" s="44">
        <v>0</v>
      </c>
      <c r="F60" s="44">
        <v>83</v>
      </c>
      <c r="G60" s="44">
        <v>0</v>
      </c>
      <c r="H60" s="44">
        <v>38</v>
      </c>
      <c r="I60" s="44">
        <v>0</v>
      </c>
      <c r="J60" s="44">
        <v>32</v>
      </c>
      <c r="K60" s="44">
        <v>1</v>
      </c>
      <c r="L60" s="44">
        <v>22</v>
      </c>
      <c r="M60" s="44">
        <v>0</v>
      </c>
      <c r="N60" s="44">
        <v>187</v>
      </c>
      <c r="O60" s="44">
        <v>1</v>
      </c>
    </row>
    <row r="61" spans="1:15" x14ac:dyDescent="0.25">
      <c r="A61" s="38" t="s">
        <v>90</v>
      </c>
      <c r="B61" s="44">
        <v>67</v>
      </c>
      <c r="C61" s="44">
        <v>16</v>
      </c>
      <c r="D61" s="44">
        <v>81</v>
      </c>
      <c r="E61" s="44">
        <v>16</v>
      </c>
      <c r="F61" s="44">
        <v>210</v>
      </c>
      <c r="G61" s="44">
        <v>38</v>
      </c>
      <c r="H61" s="44">
        <v>185</v>
      </c>
      <c r="I61" s="44">
        <v>35</v>
      </c>
      <c r="J61" s="44">
        <v>417</v>
      </c>
      <c r="K61" s="44">
        <v>61</v>
      </c>
      <c r="L61" s="44">
        <v>167</v>
      </c>
      <c r="M61" s="44">
        <v>23</v>
      </c>
      <c r="N61" s="44">
        <v>1127</v>
      </c>
      <c r="O61" s="44">
        <v>189</v>
      </c>
    </row>
    <row r="62" spans="1:15" x14ac:dyDescent="0.25">
      <c r="A62" s="45" t="s">
        <v>136</v>
      </c>
      <c r="B62" s="44">
        <v>39</v>
      </c>
      <c r="C62" s="44">
        <v>13</v>
      </c>
      <c r="D62" s="44">
        <v>49</v>
      </c>
      <c r="E62" s="44">
        <v>12</v>
      </c>
      <c r="F62" s="44">
        <v>71</v>
      </c>
      <c r="G62" s="44">
        <v>28</v>
      </c>
      <c r="H62" s="44">
        <v>40</v>
      </c>
      <c r="I62" s="44">
        <v>22</v>
      </c>
      <c r="J62" s="44">
        <v>30</v>
      </c>
      <c r="K62" s="44">
        <v>17</v>
      </c>
      <c r="L62" s="44">
        <v>16</v>
      </c>
      <c r="M62" s="44">
        <v>4</v>
      </c>
      <c r="N62" s="44">
        <v>245</v>
      </c>
      <c r="O62" s="44">
        <v>96</v>
      </c>
    </row>
    <row r="63" spans="1:15" x14ac:dyDescent="0.25">
      <c r="A63" s="45" t="s">
        <v>138</v>
      </c>
      <c r="B63" s="44">
        <v>0</v>
      </c>
      <c r="C63" s="44">
        <v>1</v>
      </c>
      <c r="D63" s="44">
        <v>11</v>
      </c>
      <c r="E63" s="44">
        <v>2</v>
      </c>
      <c r="F63" s="44">
        <v>43</v>
      </c>
      <c r="G63" s="44">
        <v>3</v>
      </c>
      <c r="H63" s="44">
        <v>59</v>
      </c>
      <c r="I63" s="44">
        <v>10</v>
      </c>
      <c r="J63" s="44">
        <v>31</v>
      </c>
      <c r="K63" s="44">
        <v>34</v>
      </c>
      <c r="L63" s="44">
        <v>9</v>
      </c>
      <c r="M63" s="44">
        <v>13</v>
      </c>
      <c r="N63" s="44">
        <v>153</v>
      </c>
      <c r="O63" s="44">
        <v>63</v>
      </c>
    </row>
    <row r="64" spans="1:15" x14ac:dyDescent="0.25">
      <c r="A64" s="45" t="s">
        <v>142</v>
      </c>
      <c r="B64" s="44">
        <v>1</v>
      </c>
      <c r="C64" s="44">
        <v>0</v>
      </c>
      <c r="D64" s="44">
        <v>3</v>
      </c>
      <c r="E64" s="44">
        <v>0</v>
      </c>
      <c r="F64" s="44">
        <v>3</v>
      </c>
      <c r="G64" s="44">
        <v>1</v>
      </c>
      <c r="H64" s="44">
        <v>1</v>
      </c>
      <c r="I64" s="44">
        <v>0</v>
      </c>
      <c r="J64" s="44">
        <v>0</v>
      </c>
      <c r="K64" s="44">
        <v>3</v>
      </c>
      <c r="L64" s="44">
        <v>0</v>
      </c>
      <c r="M64" s="44">
        <v>4</v>
      </c>
      <c r="N64" s="44">
        <v>8</v>
      </c>
      <c r="O64" s="44">
        <v>8</v>
      </c>
    </row>
    <row r="65" spans="1:15" x14ac:dyDescent="0.25">
      <c r="A65" s="45" t="s">
        <v>141</v>
      </c>
      <c r="B65" s="44">
        <v>12</v>
      </c>
      <c r="C65" s="44">
        <v>1</v>
      </c>
      <c r="D65" s="44">
        <v>4</v>
      </c>
      <c r="E65" s="44">
        <v>2</v>
      </c>
      <c r="F65" s="44">
        <v>65</v>
      </c>
      <c r="G65" s="44">
        <v>4</v>
      </c>
      <c r="H65" s="44">
        <v>48</v>
      </c>
      <c r="I65" s="44">
        <v>3</v>
      </c>
      <c r="J65" s="44">
        <v>103</v>
      </c>
      <c r="K65" s="44">
        <v>4</v>
      </c>
      <c r="L65" s="44">
        <v>47</v>
      </c>
      <c r="M65" s="44">
        <v>1</v>
      </c>
      <c r="N65" s="44">
        <v>279</v>
      </c>
      <c r="O65" s="44">
        <v>15</v>
      </c>
    </row>
    <row r="66" spans="1:15" x14ac:dyDescent="0.25">
      <c r="A66" s="45" t="s">
        <v>146</v>
      </c>
      <c r="B66" s="44">
        <v>15</v>
      </c>
      <c r="C66" s="44">
        <v>1</v>
      </c>
      <c r="D66" s="44">
        <v>13</v>
      </c>
      <c r="E66" s="44">
        <v>0</v>
      </c>
      <c r="F66" s="44">
        <v>13</v>
      </c>
      <c r="G66" s="44">
        <v>1</v>
      </c>
      <c r="H66" s="44">
        <v>21</v>
      </c>
      <c r="I66" s="44">
        <v>0</v>
      </c>
      <c r="J66" s="44">
        <v>234</v>
      </c>
      <c r="K66" s="44">
        <v>3</v>
      </c>
      <c r="L66" s="44">
        <v>91</v>
      </c>
      <c r="M66" s="44">
        <v>1</v>
      </c>
      <c r="N66" s="44">
        <v>387</v>
      </c>
      <c r="O66" s="44">
        <v>6</v>
      </c>
    </row>
    <row r="67" spans="1:15" x14ac:dyDescent="0.25">
      <c r="A67" s="45" t="s">
        <v>150</v>
      </c>
      <c r="B67" s="44"/>
      <c r="C67" s="44"/>
      <c r="D67" s="44">
        <v>1</v>
      </c>
      <c r="E67" s="44">
        <v>0</v>
      </c>
      <c r="F67" s="44">
        <v>15</v>
      </c>
      <c r="G67" s="44">
        <v>1</v>
      </c>
      <c r="H67" s="44">
        <v>16</v>
      </c>
      <c r="I67" s="44">
        <v>0</v>
      </c>
      <c r="J67" s="44">
        <v>19</v>
      </c>
      <c r="K67" s="44">
        <v>0</v>
      </c>
      <c r="L67" s="44">
        <v>4</v>
      </c>
      <c r="M67" s="44">
        <v>0</v>
      </c>
      <c r="N67" s="44">
        <v>55</v>
      </c>
      <c r="O67" s="44">
        <v>1</v>
      </c>
    </row>
    <row r="68" spans="1:15" x14ac:dyDescent="0.25">
      <c r="A68" s="38" t="s">
        <v>88</v>
      </c>
      <c r="B68" s="44">
        <v>8</v>
      </c>
      <c r="C68" s="44">
        <v>7</v>
      </c>
      <c r="D68" s="44">
        <v>45</v>
      </c>
      <c r="E68" s="44">
        <v>20</v>
      </c>
      <c r="F68" s="44">
        <v>145</v>
      </c>
      <c r="G68" s="44">
        <v>34</v>
      </c>
      <c r="H68" s="44">
        <v>171</v>
      </c>
      <c r="I68" s="44">
        <v>62</v>
      </c>
      <c r="J68" s="44">
        <v>4578</v>
      </c>
      <c r="K68" s="44">
        <v>40</v>
      </c>
      <c r="L68" s="44">
        <v>1969</v>
      </c>
      <c r="M68" s="44">
        <v>15</v>
      </c>
      <c r="N68" s="44">
        <v>6916</v>
      </c>
      <c r="O68" s="44">
        <v>178</v>
      </c>
    </row>
    <row r="69" spans="1:15" x14ac:dyDescent="0.25">
      <c r="A69" s="45" t="s">
        <v>136</v>
      </c>
      <c r="B69" s="44">
        <v>7</v>
      </c>
      <c r="C69" s="44">
        <v>4</v>
      </c>
      <c r="D69" s="44">
        <v>21</v>
      </c>
      <c r="E69" s="44">
        <v>15</v>
      </c>
      <c r="F69" s="44">
        <v>61</v>
      </c>
      <c r="G69" s="44">
        <v>26</v>
      </c>
      <c r="H69" s="44">
        <v>61</v>
      </c>
      <c r="I69" s="44">
        <v>28</v>
      </c>
      <c r="J69" s="44">
        <v>136</v>
      </c>
      <c r="K69" s="44">
        <v>4</v>
      </c>
      <c r="L69" s="44">
        <v>80</v>
      </c>
      <c r="M69" s="44">
        <v>1</v>
      </c>
      <c r="N69" s="44">
        <v>366</v>
      </c>
      <c r="O69" s="44">
        <v>78</v>
      </c>
    </row>
    <row r="70" spans="1:15" x14ac:dyDescent="0.25">
      <c r="A70" s="45" t="s">
        <v>138</v>
      </c>
      <c r="B70" s="44">
        <v>1</v>
      </c>
      <c r="C70" s="44">
        <v>3</v>
      </c>
      <c r="D70" s="44">
        <v>9</v>
      </c>
      <c r="E70" s="44">
        <v>5</v>
      </c>
      <c r="F70" s="44">
        <v>12</v>
      </c>
      <c r="G70" s="44">
        <v>3</v>
      </c>
      <c r="H70" s="44">
        <v>55</v>
      </c>
      <c r="I70" s="44">
        <v>26</v>
      </c>
      <c r="J70" s="44">
        <v>555</v>
      </c>
      <c r="K70" s="44">
        <v>25</v>
      </c>
      <c r="L70" s="44">
        <v>12</v>
      </c>
      <c r="M70" s="44">
        <v>5</v>
      </c>
      <c r="N70" s="44">
        <v>644</v>
      </c>
      <c r="O70" s="44">
        <v>67</v>
      </c>
    </row>
    <row r="71" spans="1:15" x14ac:dyDescent="0.25">
      <c r="A71" s="45" t="s">
        <v>142</v>
      </c>
      <c r="B71" s="44"/>
      <c r="C71" s="44"/>
      <c r="D71" s="44"/>
      <c r="E71" s="44"/>
      <c r="F71" s="44">
        <v>4</v>
      </c>
      <c r="G71" s="44">
        <v>2</v>
      </c>
      <c r="H71" s="44">
        <v>4</v>
      </c>
      <c r="I71" s="44">
        <v>3</v>
      </c>
      <c r="J71" s="44"/>
      <c r="K71" s="44"/>
      <c r="L71" s="44">
        <v>0</v>
      </c>
      <c r="M71" s="44">
        <v>1</v>
      </c>
      <c r="N71" s="44">
        <v>8</v>
      </c>
      <c r="O71" s="44">
        <v>6</v>
      </c>
    </row>
    <row r="72" spans="1:15" x14ac:dyDescent="0.25">
      <c r="A72" s="45" t="s">
        <v>141</v>
      </c>
      <c r="B72" s="44"/>
      <c r="C72" s="44"/>
      <c r="D72" s="44">
        <v>7</v>
      </c>
      <c r="E72" s="44">
        <v>0</v>
      </c>
      <c r="F72" s="44">
        <v>34</v>
      </c>
      <c r="G72" s="44">
        <v>2</v>
      </c>
      <c r="H72" s="44">
        <v>31</v>
      </c>
      <c r="I72" s="44">
        <v>4</v>
      </c>
      <c r="J72" s="44">
        <v>96</v>
      </c>
      <c r="K72" s="44">
        <v>1</v>
      </c>
      <c r="L72" s="44">
        <v>52</v>
      </c>
      <c r="M72" s="44">
        <v>0</v>
      </c>
      <c r="N72" s="44">
        <v>220</v>
      </c>
      <c r="O72" s="44">
        <v>7</v>
      </c>
    </row>
    <row r="73" spans="1:15" x14ac:dyDescent="0.25">
      <c r="A73" s="45" t="s">
        <v>146</v>
      </c>
      <c r="B73" s="44"/>
      <c r="C73" s="44"/>
      <c r="D73" s="44">
        <v>2</v>
      </c>
      <c r="E73" s="44">
        <v>0</v>
      </c>
      <c r="F73" s="44">
        <v>3</v>
      </c>
      <c r="G73" s="44">
        <v>1</v>
      </c>
      <c r="H73" s="44">
        <v>3</v>
      </c>
      <c r="I73" s="44">
        <v>1</v>
      </c>
      <c r="J73" s="44">
        <v>3747</v>
      </c>
      <c r="K73" s="44">
        <v>10</v>
      </c>
      <c r="L73" s="44">
        <v>1805</v>
      </c>
      <c r="M73" s="44">
        <v>8</v>
      </c>
      <c r="N73" s="44">
        <v>5560</v>
      </c>
      <c r="O73" s="44">
        <v>20</v>
      </c>
    </row>
    <row r="74" spans="1:15" x14ac:dyDescent="0.25">
      <c r="A74" s="45" t="s">
        <v>150</v>
      </c>
      <c r="B74" s="44"/>
      <c r="C74" s="44"/>
      <c r="D74" s="44">
        <v>6</v>
      </c>
      <c r="E74" s="44">
        <v>0</v>
      </c>
      <c r="F74" s="44">
        <v>31</v>
      </c>
      <c r="G74" s="44">
        <v>0</v>
      </c>
      <c r="H74" s="44">
        <v>17</v>
      </c>
      <c r="I74" s="44">
        <v>0</v>
      </c>
      <c r="J74" s="44">
        <v>44</v>
      </c>
      <c r="K74" s="44">
        <v>0</v>
      </c>
      <c r="L74" s="44">
        <v>20</v>
      </c>
      <c r="M74" s="44">
        <v>0</v>
      </c>
      <c r="N74" s="44">
        <v>118</v>
      </c>
      <c r="O74" s="44">
        <v>0</v>
      </c>
    </row>
    <row r="75" spans="1:15" x14ac:dyDescent="0.25">
      <c r="A75" s="38" t="s">
        <v>79</v>
      </c>
      <c r="B75" s="44">
        <v>17</v>
      </c>
      <c r="C75" s="44">
        <v>43</v>
      </c>
      <c r="D75" s="44">
        <v>27</v>
      </c>
      <c r="E75" s="44">
        <v>36</v>
      </c>
      <c r="F75" s="44">
        <v>59</v>
      </c>
      <c r="G75" s="44">
        <v>52</v>
      </c>
      <c r="H75" s="44">
        <v>97</v>
      </c>
      <c r="I75" s="44">
        <v>30</v>
      </c>
      <c r="J75" s="44">
        <v>96</v>
      </c>
      <c r="K75" s="44">
        <v>82</v>
      </c>
      <c r="L75" s="44">
        <v>69</v>
      </c>
      <c r="M75" s="44">
        <v>38</v>
      </c>
      <c r="N75" s="44">
        <v>365</v>
      </c>
      <c r="O75" s="44">
        <v>281</v>
      </c>
    </row>
    <row r="76" spans="1:15" x14ac:dyDescent="0.25">
      <c r="A76" s="45" t="s">
        <v>136</v>
      </c>
      <c r="B76" s="44">
        <v>0</v>
      </c>
      <c r="C76" s="44">
        <v>13</v>
      </c>
      <c r="D76" s="44">
        <v>0</v>
      </c>
      <c r="E76" s="44">
        <v>11</v>
      </c>
      <c r="F76" s="44">
        <v>12</v>
      </c>
      <c r="G76" s="44">
        <v>34</v>
      </c>
      <c r="H76" s="44">
        <v>13</v>
      </c>
      <c r="I76" s="44">
        <v>16</v>
      </c>
      <c r="J76" s="44">
        <v>11</v>
      </c>
      <c r="K76" s="44">
        <v>23</v>
      </c>
      <c r="L76" s="44">
        <v>9</v>
      </c>
      <c r="M76" s="44">
        <v>11</v>
      </c>
      <c r="N76" s="44">
        <v>45</v>
      </c>
      <c r="O76" s="44">
        <v>108</v>
      </c>
    </row>
    <row r="77" spans="1:15" x14ac:dyDescent="0.25">
      <c r="A77" s="45" t="s">
        <v>138</v>
      </c>
      <c r="B77" s="44">
        <v>1</v>
      </c>
      <c r="C77" s="44">
        <v>1</v>
      </c>
      <c r="D77" s="44">
        <v>0</v>
      </c>
      <c r="E77" s="44">
        <v>2</v>
      </c>
      <c r="F77" s="44">
        <v>2</v>
      </c>
      <c r="G77" s="44">
        <v>1</v>
      </c>
      <c r="H77" s="44">
        <v>3</v>
      </c>
      <c r="I77" s="44">
        <v>1</v>
      </c>
      <c r="J77" s="44">
        <v>1</v>
      </c>
      <c r="K77" s="44">
        <v>2</v>
      </c>
      <c r="L77" s="44">
        <v>1</v>
      </c>
      <c r="M77" s="44">
        <v>1</v>
      </c>
      <c r="N77" s="44">
        <v>8</v>
      </c>
      <c r="O77" s="44">
        <v>8</v>
      </c>
    </row>
    <row r="78" spans="1:15" x14ac:dyDescent="0.25">
      <c r="A78" s="45" t="s">
        <v>142</v>
      </c>
      <c r="B78" s="44">
        <v>0</v>
      </c>
      <c r="C78" s="44">
        <v>23</v>
      </c>
      <c r="D78" s="44">
        <v>0</v>
      </c>
      <c r="E78" s="44">
        <v>21</v>
      </c>
      <c r="F78" s="44">
        <v>8</v>
      </c>
      <c r="G78" s="44">
        <v>13</v>
      </c>
      <c r="H78" s="44">
        <v>4</v>
      </c>
      <c r="I78" s="44">
        <v>11</v>
      </c>
      <c r="J78" s="44">
        <v>11</v>
      </c>
      <c r="K78" s="44">
        <v>55</v>
      </c>
      <c r="L78" s="44">
        <v>3</v>
      </c>
      <c r="M78" s="44">
        <v>24</v>
      </c>
      <c r="N78" s="44">
        <v>26</v>
      </c>
      <c r="O78" s="44">
        <v>147</v>
      </c>
    </row>
    <row r="79" spans="1:15" x14ac:dyDescent="0.25">
      <c r="A79" s="45" t="s">
        <v>141</v>
      </c>
      <c r="B79" s="44"/>
      <c r="C79" s="44"/>
      <c r="D79" s="44">
        <v>1</v>
      </c>
      <c r="E79" s="44">
        <v>0</v>
      </c>
      <c r="F79" s="44">
        <v>5</v>
      </c>
      <c r="G79" s="44">
        <v>0</v>
      </c>
      <c r="H79" s="44">
        <v>10</v>
      </c>
      <c r="I79" s="44">
        <v>0</v>
      </c>
      <c r="J79" s="44">
        <v>9</v>
      </c>
      <c r="K79" s="44">
        <v>0</v>
      </c>
      <c r="L79" s="44">
        <v>9</v>
      </c>
      <c r="M79" s="44">
        <v>0</v>
      </c>
      <c r="N79" s="44">
        <v>34</v>
      </c>
      <c r="O79" s="44">
        <v>0</v>
      </c>
    </row>
    <row r="80" spans="1:15" x14ac:dyDescent="0.25">
      <c r="A80" s="45" t="s">
        <v>146</v>
      </c>
      <c r="B80" s="44">
        <v>16</v>
      </c>
      <c r="C80" s="44">
        <v>6</v>
      </c>
      <c r="D80" s="44">
        <v>26</v>
      </c>
      <c r="E80" s="44">
        <v>2</v>
      </c>
      <c r="F80" s="44">
        <v>32</v>
      </c>
      <c r="G80" s="44">
        <v>4</v>
      </c>
      <c r="H80" s="44">
        <v>67</v>
      </c>
      <c r="I80" s="44">
        <v>2</v>
      </c>
      <c r="J80" s="44">
        <v>64</v>
      </c>
      <c r="K80" s="44">
        <v>2</v>
      </c>
      <c r="L80" s="44">
        <v>47</v>
      </c>
      <c r="M80" s="44">
        <v>2</v>
      </c>
      <c r="N80" s="44">
        <v>252</v>
      </c>
      <c r="O80" s="44">
        <v>18</v>
      </c>
    </row>
    <row r="81" spans="1:15" x14ac:dyDescent="0.25">
      <c r="A81" s="38" t="s">
        <v>170</v>
      </c>
      <c r="B81" s="44">
        <v>495</v>
      </c>
      <c r="C81" s="44">
        <v>152</v>
      </c>
      <c r="D81" s="44">
        <v>771</v>
      </c>
      <c r="E81" s="44">
        <v>216</v>
      </c>
      <c r="F81" s="44">
        <v>2025</v>
      </c>
      <c r="G81" s="44">
        <v>395</v>
      </c>
      <c r="H81" s="44">
        <v>3622</v>
      </c>
      <c r="I81" s="44">
        <v>442</v>
      </c>
      <c r="J81" s="44">
        <v>29317</v>
      </c>
      <c r="K81" s="44">
        <v>464</v>
      </c>
      <c r="L81" s="44">
        <v>12355</v>
      </c>
      <c r="M81" s="44">
        <v>180</v>
      </c>
      <c r="N81" s="44">
        <v>48585</v>
      </c>
      <c r="O81" s="44">
        <v>1849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C25B5-E69A-4B92-B3B5-C2037016D690}">
  <dimension ref="A1:M1273"/>
  <sheetViews>
    <sheetView zoomScaleNormal="100" workbookViewId="0">
      <pane ySplit="5" topLeftCell="A6" activePane="bottomLeft" state="frozen"/>
      <selection pane="bottomLeft" activeCell="J16" sqref="J16"/>
    </sheetView>
  </sheetViews>
  <sheetFormatPr defaultColWidth="8.7109375" defaultRowHeight="15" x14ac:dyDescent="0.25"/>
  <cols>
    <col min="1" max="1" width="58.140625" customWidth="1"/>
    <col min="2" max="2" width="30" customWidth="1"/>
    <col min="3" max="3" width="12" customWidth="1"/>
    <col min="4" max="4" width="7" customWidth="1"/>
    <col min="5" max="12" width="15" customWidth="1"/>
    <col min="13" max="13" width="13" customWidth="1"/>
  </cols>
  <sheetData>
    <row r="1" spans="1:13" ht="18" x14ac:dyDescent="0.25">
      <c r="A1" s="2" t="s">
        <v>164</v>
      </c>
    </row>
    <row r="2" spans="1:13" ht="60" x14ac:dyDescent="0.25">
      <c r="A2" s="14" t="s">
        <v>165</v>
      </c>
    </row>
    <row r="3" spans="1:13" x14ac:dyDescent="0.25">
      <c r="A3" s="6" t="s">
        <v>166</v>
      </c>
      <c r="B3" s="31">
        <f>SUBTOTAL(109,M6:M1273)</f>
        <v>63170</v>
      </c>
    </row>
    <row r="5" spans="1:13" x14ac:dyDescent="0.25">
      <c r="A5" s="26" t="s">
        <v>162</v>
      </c>
      <c r="B5" s="26" t="s">
        <v>56</v>
      </c>
      <c r="C5" s="26" t="s">
        <v>57</v>
      </c>
      <c r="D5" s="26" t="s">
        <v>31</v>
      </c>
      <c r="E5" s="26" t="s">
        <v>167</v>
      </c>
      <c r="F5" s="26" t="s">
        <v>163</v>
      </c>
      <c r="G5" s="26" t="s">
        <v>35</v>
      </c>
      <c r="H5" s="26" t="s">
        <v>34</v>
      </c>
      <c r="I5" s="26" t="s">
        <v>177</v>
      </c>
      <c r="J5" s="26" t="s">
        <v>178</v>
      </c>
      <c r="K5" s="26" t="s">
        <v>179</v>
      </c>
      <c r="L5" s="26" t="s">
        <v>176</v>
      </c>
      <c r="M5" s="26" t="s">
        <v>168</v>
      </c>
    </row>
    <row r="6" spans="1:13" ht="15" customHeight="1" x14ac:dyDescent="0.25">
      <c r="A6" s="30" t="s">
        <v>136</v>
      </c>
      <c r="B6" s="30" t="s">
        <v>66</v>
      </c>
      <c r="C6" s="9" t="s">
        <v>67</v>
      </c>
      <c r="D6" s="32">
        <v>2021</v>
      </c>
      <c r="E6" s="33" t="s">
        <v>34</v>
      </c>
      <c r="F6" s="33">
        <f t="shared" ref="F6:H8" si="0">IF($E6=F$5,$M6,0)</f>
        <v>0</v>
      </c>
      <c r="G6" s="33">
        <f t="shared" si="0"/>
        <v>0</v>
      </c>
      <c r="H6" s="33">
        <f t="shared" si="0"/>
        <v>61</v>
      </c>
      <c r="I6" s="40">
        <f>IF(_xlfn.CONCAT($E6,"%")=I$5,$L6,0)</f>
        <v>0</v>
      </c>
      <c r="J6" s="40">
        <f>IF(_xlfn.CONCAT($E6,"%")=J$5,$L6,0)</f>
        <v>0</v>
      </c>
      <c r="K6" s="40">
        <f>IF(_xlfn.CONCAT($E6,"%")=K$5,$L6,0)</f>
        <v>3.8268506900878296E-2</v>
      </c>
      <c r="L6" s="40">
        <f>1000*M6/VLOOKUP(D6,'Normalised Rates'!$A$7:$B$12,2,FALSE)</f>
        <v>3.8268506900878296E-2</v>
      </c>
      <c r="M6" s="34">
        <v>61</v>
      </c>
    </row>
    <row r="7" spans="1:13" ht="15" customHeight="1" x14ac:dyDescent="0.25">
      <c r="A7" s="30" t="s">
        <v>136</v>
      </c>
      <c r="B7" s="30" t="s">
        <v>66</v>
      </c>
      <c r="C7" s="9" t="s">
        <v>67</v>
      </c>
      <c r="D7" s="32">
        <v>2021</v>
      </c>
      <c r="E7" s="35" t="s">
        <v>163</v>
      </c>
      <c r="F7" s="33">
        <f t="shared" si="0"/>
        <v>1</v>
      </c>
      <c r="G7" s="33">
        <f t="shared" si="0"/>
        <v>0</v>
      </c>
      <c r="H7" s="33">
        <f t="shared" si="0"/>
        <v>0</v>
      </c>
      <c r="I7" s="40">
        <f t="shared" ref="I7:K70" si="1">IF(_xlfn.CONCAT($E7,"%")=I$5,$L7,0)</f>
        <v>6.2735257214554575E-4</v>
      </c>
      <c r="J7" s="40">
        <f t="shared" si="1"/>
        <v>0</v>
      </c>
      <c r="K7" s="40">
        <f t="shared" si="1"/>
        <v>0</v>
      </c>
      <c r="L7" s="40">
        <f>1000*M7/VLOOKUP(D7,'Normalised Rates'!$A$7:$B$12,2,FALSE)</f>
        <v>6.2735257214554575E-4</v>
      </c>
      <c r="M7" s="34">
        <v>1</v>
      </c>
    </row>
    <row r="8" spans="1:13" ht="15" customHeight="1" x14ac:dyDescent="0.25">
      <c r="A8" s="30" t="s">
        <v>136</v>
      </c>
      <c r="B8" s="30" t="s">
        <v>66</v>
      </c>
      <c r="C8" s="9" t="s">
        <v>67</v>
      </c>
      <c r="D8" s="32">
        <v>2022</v>
      </c>
      <c r="E8" s="33" t="s">
        <v>34</v>
      </c>
      <c r="F8" s="33">
        <f t="shared" si="0"/>
        <v>0</v>
      </c>
      <c r="G8" s="33">
        <f t="shared" si="0"/>
        <v>0</v>
      </c>
      <c r="H8" s="33">
        <f t="shared" si="0"/>
        <v>128</v>
      </c>
      <c r="I8" s="40">
        <f t="shared" si="1"/>
        <v>0</v>
      </c>
      <c r="J8" s="40">
        <f t="shared" si="1"/>
        <v>0</v>
      </c>
      <c r="K8" s="40">
        <f t="shared" si="1"/>
        <v>6.826666666666667E-2</v>
      </c>
      <c r="L8" s="40">
        <f>1000*M8/VLOOKUP(D8,'Normalised Rates'!$A$7:$B$12,2,FALSE)</f>
        <v>6.826666666666667E-2</v>
      </c>
      <c r="M8" s="34">
        <v>128</v>
      </c>
    </row>
    <row r="9" spans="1:13" ht="15" customHeight="1" x14ac:dyDescent="0.25">
      <c r="A9" s="30" t="s">
        <v>136</v>
      </c>
      <c r="B9" s="30" t="s">
        <v>66</v>
      </c>
      <c r="C9" s="9" t="s">
        <v>67</v>
      </c>
      <c r="D9" s="32">
        <v>2022</v>
      </c>
      <c r="E9" s="35" t="s">
        <v>163</v>
      </c>
      <c r="F9" s="33">
        <f t="shared" ref="F9:H72" si="2">IF($E9=F$5,$M9,0)</f>
        <v>88</v>
      </c>
      <c r="G9" s="33">
        <f t="shared" si="2"/>
        <v>0</v>
      </c>
      <c r="H9" s="33">
        <f t="shared" si="2"/>
        <v>0</v>
      </c>
      <c r="I9" s="40">
        <f t="shared" si="1"/>
        <v>4.6933333333333334E-2</v>
      </c>
      <c r="J9" s="40">
        <f t="shared" si="1"/>
        <v>0</v>
      </c>
      <c r="K9" s="40">
        <f t="shared" si="1"/>
        <v>0</v>
      </c>
      <c r="L9" s="40">
        <f>1000*M9/VLOOKUP(D9,'Normalised Rates'!$A$7:$B$12,2,FALSE)</f>
        <v>4.6933333333333334E-2</v>
      </c>
      <c r="M9" s="34">
        <v>88</v>
      </c>
    </row>
    <row r="10" spans="1:13" ht="15" customHeight="1" x14ac:dyDescent="0.25">
      <c r="A10" s="30" t="s">
        <v>136</v>
      </c>
      <c r="B10" s="30" t="s">
        <v>66</v>
      </c>
      <c r="C10" s="9" t="s">
        <v>67</v>
      </c>
      <c r="D10" s="32">
        <v>2023</v>
      </c>
      <c r="E10" s="33" t="s">
        <v>34</v>
      </c>
      <c r="F10" s="33">
        <f t="shared" si="2"/>
        <v>0</v>
      </c>
      <c r="G10" s="33">
        <f t="shared" si="2"/>
        <v>0</v>
      </c>
      <c r="H10" s="33">
        <f t="shared" si="2"/>
        <v>253</v>
      </c>
      <c r="I10" s="40">
        <f t="shared" si="1"/>
        <v>0</v>
      </c>
      <c r="J10" s="40">
        <f t="shared" si="1"/>
        <v>0</v>
      </c>
      <c r="K10" s="40">
        <f t="shared" si="1"/>
        <v>0.11067366579177602</v>
      </c>
      <c r="L10" s="40">
        <f>1000*M10/VLOOKUP(D10,'Normalised Rates'!$A$7:$B$12,2,FALSE)</f>
        <v>0.11067366579177602</v>
      </c>
      <c r="M10" s="34">
        <v>253</v>
      </c>
    </row>
    <row r="11" spans="1:13" ht="15" customHeight="1" x14ac:dyDescent="0.25">
      <c r="A11" s="30" t="s">
        <v>136</v>
      </c>
      <c r="B11" s="30" t="s">
        <v>66</v>
      </c>
      <c r="C11" s="9" t="s">
        <v>67</v>
      </c>
      <c r="D11" s="32">
        <v>2023</v>
      </c>
      <c r="E11" s="35" t="s">
        <v>163</v>
      </c>
      <c r="F11" s="33">
        <f t="shared" si="2"/>
        <v>278</v>
      </c>
      <c r="G11" s="33">
        <f t="shared" si="2"/>
        <v>0</v>
      </c>
      <c r="H11" s="33">
        <f t="shared" si="2"/>
        <v>0</v>
      </c>
      <c r="I11" s="40">
        <f t="shared" si="1"/>
        <v>0.1216097987751531</v>
      </c>
      <c r="J11" s="40">
        <f t="shared" si="1"/>
        <v>0</v>
      </c>
      <c r="K11" s="40">
        <f t="shared" si="1"/>
        <v>0</v>
      </c>
      <c r="L11" s="40">
        <f>1000*M11/VLOOKUP(D11,'Normalised Rates'!$A$7:$B$12,2,FALSE)</f>
        <v>0.1216097987751531</v>
      </c>
      <c r="M11" s="34">
        <v>278</v>
      </c>
    </row>
    <row r="12" spans="1:13" ht="15" customHeight="1" x14ac:dyDescent="0.25">
      <c r="A12" s="30" t="s">
        <v>136</v>
      </c>
      <c r="B12" s="30" t="s">
        <v>66</v>
      </c>
      <c r="C12" s="9" t="s">
        <v>67</v>
      </c>
      <c r="D12" s="32">
        <v>2024</v>
      </c>
      <c r="E12" s="33" t="s">
        <v>34</v>
      </c>
      <c r="F12" s="33">
        <f t="shared" si="2"/>
        <v>0</v>
      </c>
      <c r="G12" s="33">
        <f t="shared" si="2"/>
        <v>0</v>
      </c>
      <c r="H12" s="33">
        <f t="shared" si="2"/>
        <v>125</v>
      </c>
      <c r="I12" s="40">
        <f t="shared" si="1"/>
        <v>0</v>
      </c>
      <c r="J12" s="40">
        <f t="shared" si="1"/>
        <v>0</v>
      </c>
      <c r="K12" s="40">
        <f t="shared" si="1"/>
        <v>4.6589638464405517E-2</v>
      </c>
      <c r="L12" s="40">
        <f>1000*M12/VLOOKUP(D12,'Normalised Rates'!$A$7:$B$12,2,FALSE)</f>
        <v>4.6589638464405517E-2</v>
      </c>
      <c r="M12" s="34">
        <v>125</v>
      </c>
    </row>
    <row r="13" spans="1:13" ht="15" customHeight="1" x14ac:dyDescent="0.25">
      <c r="A13" s="30" t="s">
        <v>136</v>
      </c>
      <c r="B13" s="30" t="s">
        <v>66</v>
      </c>
      <c r="C13" s="9" t="s">
        <v>67</v>
      </c>
      <c r="D13" s="32">
        <v>2024</v>
      </c>
      <c r="E13" s="35" t="s">
        <v>163</v>
      </c>
      <c r="F13" s="33">
        <f t="shared" si="2"/>
        <v>116</v>
      </c>
      <c r="G13" s="33">
        <f t="shared" si="2"/>
        <v>0</v>
      </c>
      <c r="H13" s="33">
        <f t="shared" si="2"/>
        <v>0</v>
      </c>
      <c r="I13" s="40">
        <f t="shared" si="1"/>
        <v>4.3235184494968319E-2</v>
      </c>
      <c r="J13" s="40">
        <f t="shared" si="1"/>
        <v>0</v>
      </c>
      <c r="K13" s="40">
        <f t="shared" si="1"/>
        <v>0</v>
      </c>
      <c r="L13" s="40">
        <f>1000*M13/VLOOKUP(D13,'Normalised Rates'!$A$7:$B$12,2,FALSE)</f>
        <v>4.3235184494968319E-2</v>
      </c>
      <c r="M13" s="34">
        <v>116</v>
      </c>
    </row>
    <row r="14" spans="1:13" ht="15" customHeight="1" x14ac:dyDescent="0.25">
      <c r="A14" s="30" t="s">
        <v>136</v>
      </c>
      <c r="B14" s="30" t="s">
        <v>66</v>
      </c>
      <c r="C14" s="9" t="s">
        <v>67</v>
      </c>
      <c r="D14" s="32">
        <v>2025</v>
      </c>
      <c r="E14" s="33" t="s">
        <v>34</v>
      </c>
      <c r="F14" s="33">
        <f t="shared" si="2"/>
        <v>0</v>
      </c>
      <c r="G14" s="33">
        <f t="shared" si="2"/>
        <v>0</v>
      </c>
      <c r="H14" s="33">
        <f t="shared" si="2"/>
        <v>123</v>
      </c>
      <c r="I14" s="40">
        <f t="shared" si="1"/>
        <v>0</v>
      </c>
      <c r="J14" s="40">
        <f t="shared" si="1"/>
        <v>0</v>
      </c>
      <c r="K14" s="40">
        <f t="shared" si="1"/>
        <v>3.9010466222645097E-2</v>
      </c>
      <c r="L14" s="40">
        <f>1000*M14/VLOOKUP(D14,'Normalised Rates'!$A$7:$B$12,2,FALSE)</f>
        <v>3.9010466222645097E-2</v>
      </c>
      <c r="M14" s="34">
        <v>123</v>
      </c>
    </row>
    <row r="15" spans="1:13" ht="15" customHeight="1" x14ac:dyDescent="0.25">
      <c r="A15" s="30" t="s">
        <v>136</v>
      </c>
      <c r="B15" s="30" t="s">
        <v>66</v>
      </c>
      <c r="C15" s="9" t="s">
        <v>67</v>
      </c>
      <c r="D15" s="32">
        <v>2025</v>
      </c>
      <c r="E15" s="35" t="s">
        <v>163</v>
      </c>
      <c r="F15" s="33">
        <f t="shared" si="2"/>
        <v>46</v>
      </c>
      <c r="G15" s="33">
        <f t="shared" si="2"/>
        <v>0</v>
      </c>
      <c r="H15" s="33">
        <f t="shared" si="2"/>
        <v>0</v>
      </c>
      <c r="I15" s="40">
        <f t="shared" si="1"/>
        <v>1.4589280050745322E-2</v>
      </c>
      <c r="J15" s="40">
        <f t="shared" si="1"/>
        <v>0</v>
      </c>
      <c r="K15" s="40">
        <f t="shared" si="1"/>
        <v>0</v>
      </c>
      <c r="L15" s="40">
        <f>1000*M15/VLOOKUP(D15,'Normalised Rates'!$A$7:$B$12,2,FALSE)</f>
        <v>1.4589280050745322E-2</v>
      </c>
      <c r="M15" s="34">
        <v>46</v>
      </c>
    </row>
    <row r="16" spans="1:13" ht="15" customHeight="1" x14ac:dyDescent="0.25">
      <c r="A16" s="30" t="s">
        <v>136</v>
      </c>
      <c r="B16" s="30" t="s">
        <v>66</v>
      </c>
      <c r="C16" s="9" t="s">
        <v>67</v>
      </c>
      <c r="D16" s="32">
        <v>2026</v>
      </c>
      <c r="E16" s="33" t="s">
        <v>34</v>
      </c>
      <c r="F16" s="33">
        <f t="shared" si="2"/>
        <v>0</v>
      </c>
      <c r="G16" s="33">
        <f t="shared" si="2"/>
        <v>0</v>
      </c>
      <c r="H16" s="33">
        <f t="shared" si="2"/>
        <v>38</v>
      </c>
      <c r="I16" s="40">
        <f t="shared" si="1"/>
        <v>0</v>
      </c>
      <c r="J16" s="40">
        <f t="shared" si="1"/>
        <v>0</v>
      </c>
      <c r="K16" s="40">
        <f t="shared" si="1"/>
        <v>2.8924833491912463E-2</v>
      </c>
      <c r="L16" s="40">
        <f>1000*M16/VLOOKUP(D16,'Normalised Rates'!$A$7:$B$12,2,FALSE)</f>
        <v>2.8924833491912463E-2</v>
      </c>
      <c r="M16" s="34">
        <v>38</v>
      </c>
    </row>
    <row r="17" spans="1:13" ht="15" customHeight="1" x14ac:dyDescent="0.25">
      <c r="A17" s="30" t="s">
        <v>136</v>
      </c>
      <c r="B17" s="30" t="s">
        <v>66</v>
      </c>
      <c r="C17" s="9" t="s">
        <v>67</v>
      </c>
      <c r="D17" s="32">
        <v>2026</v>
      </c>
      <c r="E17" s="35" t="s">
        <v>163</v>
      </c>
      <c r="F17" s="33">
        <f t="shared" si="2"/>
        <v>25</v>
      </c>
      <c r="G17" s="33">
        <f t="shared" si="2"/>
        <v>0</v>
      </c>
      <c r="H17" s="33">
        <f t="shared" si="2"/>
        <v>0</v>
      </c>
      <c r="I17" s="40">
        <f t="shared" si="1"/>
        <v>1.9029495718363463E-2</v>
      </c>
      <c r="J17" s="40">
        <f t="shared" si="1"/>
        <v>0</v>
      </c>
      <c r="K17" s="40">
        <f t="shared" si="1"/>
        <v>0</v>
      </c>
      <c r="L17" s="40">
        <f>1000*M17/VLOOKUP(D17,'Normalised Rates'!$A$7:$B$12,2,FALSE)</f>
        <v>1.9029495718363463E-2</v>
      </c>
      <c r="M17" s="34">
        <v>25</v>
      </c>
    </row>
    <row r="18" spans="1:13" ht="15" customHeight="1" x14ac:dyDescent="0.25">
      <c r="A18" s="30" t="s">
        <v>136</v>
      </c>
      <c r="B18" s="30" t="s">
        <v>73</v>
      </c>
      <c r="C18" s="9" t="s">
        <v>67</v>
      </c>
      <c r="D18" s="32">
        <v>2021</v>
      </c>
      <c r="E18" s="33" t="s">
        <v>34</v>
      </c>
      <c r="F18" s="33">
        <f t="shared" si="2"/>
        <v>0</v>
      </c>
      <c r="G18" s="33">
        <f t="shared" si="2"/>
        <v>0</v>
      </c>
      <c r="H18" s="33">
        <f t="shared" si="2"/>
        <v>10</v>
      </c>
      <c r="I18" s="40">
        <f t="shared" si="1"/>
        <v>0</v>
      </c>
      <c r="J18" s="40">
        <f t="shared" si="1"/>
        <v>0</v>
      </c>
      <c r="K18" s="40">
        <f t="shared" si="1"/>
        <v>6.2735257214554582E-3</v>
      </c>
      <c r="L18" s="40">
        <f>1000*M18/VLOOKUP(D18,'Normalised Rates'!$A$7:$B$12,2,FALSE)</f>
        <v>6.2735257214554582E-3</v>
      </c>
      <c r="M18" s="34">
        <v>10</v>
      </c>
    </row>
    <row r="19" spans="1:13" ht="15" customHeight="1" x14ac:dyDescent="0.25">
      <c r="A19" s="30" t="s">
        <v>136</v>
      </c>
      <c r="B19" s="30" t="s">
        <v>73</v>
      </c>
      <c r="C19" s="9" t="s">
        <v>67</v>
      </c>
      <c r="D19" s="32">
        <v>2021</v>
      </c>
      <c r="E19" s="35" t="s">
        <v>163</v>
      </c>
      <c r="F19" s="33">
        <f t="shared" si="2"/>
        <v>5</v>
      </c>
      <c r="G19" s="33">
        <f t="shared" si="2"/>
        <v>0</v>
      </c>
      <c r="H19" s="33">
        <f t="shared" si="2"/>
        <v>0</v>
      </c>
      <c r="I19" s="40">
        <f t="shared" si="1"/>
        <v>3.1367628607277291E-3</v>
      </c>
      <c r="J19" s="40">
        <f t="shared" si="1"/>
        <v>0</v>
      </c>
      <c r="K19" s="40">
        <f t="shared" si="1"/>
        <v>0</v>
      </c>
      <c r="L19" s="40">
        <f>1000*M19/VLOOKUP(D19,'Normalised Rates'!$A$7:$B$12,2,FALSE)</f>
        <v>3.1367628607277291E-3</v>
      </c>
      <c r="M19" s="34">
        <v>5</v>
      </c>
    </row>
    <row r="20" spans="1:13" ht="15" customHeight="1" x14ac:dyDescent="0.25">
      <c r="A20" s="30" t="s">
        <v>136</v>
      </c>
      <c r="B20" s="30" t="s">
        <v>73</v>
      </c>
      <c r="C20" s="9" t="s">
        <v>67</v>
      </c>
      <c r="D20" s="32">
        <v>2022</v>
      </c>
      <c r="E20" s="33" t="s">
        <v>34</v>
      </c>
      <c r="F20" s="33">
        <f t="shared" si="2"/>
        <v>0</v>
      </c>
      <c r="G20" s="33">
        <f t="shared" si="2"/>
        <v>0</v>
      </c>
      <c r="H20" s="33">
        <f t="shared" si="2"/>
        <v>26</v>
      </c>
      <c r="I20" s="40">
        <f t="shared" si="1"/>
        <v>0</v>
      </c>
      <c r="J20" s="40">
        <f t="shared" si="1"/>
        <v>0</v>
      </c>
      <c r="K20" s="40">
        <f t="shared" si="1"/>
        <v>1.3866666666666666E-2</v>
      </c>
      <c r="L20" s="40">
        <f>1000*M20/VLOOKUP(D20,'Normalised Rates'!$A$7:$B$12,2,FALSE)</f>
        <v>1.3866666666666666E-2</v>
      </c>
      <c r="M20" s="34">
        <v>26</v>
      </c>
    </row>
    <row r="21" spans="1:13" ht="15" customHeight="1" x14ac:dyDescent="0.25">
      <c r="A21" s="30" t="s">
        <v>136</v>
      </c>
      <c r="B21" s="30" t="s">
        <v>73</v>
      </c>
      <c r="C21" s="9" t="s">
        <v>67</v>
      </c>
      <c r="D21" s="32">
        <v>2022</v>
      </c>
      <c r="E21" s="35" t="s">
        <v>163</v>
      </c>
      <c r="F21" s="33">
        <f t="shared" si="2"/>
        <v>33</v>
      </c>
      <c r="G21" s="33">
        <f t="shared" si="2"/>
        <v>0</v>
      </c>
      <c r="H21" s="33">
        <f t="shared" si="2"/>
        <v>0</v>
      </c>
      <c r="I21" s="40">
        <f t="shared" si="1"/>
        <v>1.7600000000000001E-2</v>
      </c>
      <c r="J21" s="40">
        <f t="shared" si="1"/>
        <v>0</v>
      </c>
      <c r="K21" s="40">
        <f t="shared" si="1"/>
        <v>0</v>
      </c>
      <c r="L21" s="40">
        <f>1000*M21/VLOOKUP(D21,'Normalised Rates'!$A$7:$B$12,2,FALSE)</f>
        <v>1.7600000000000001E-2</v>
      </c>
      <c r="M21" s="34">
        <v>33</v>
      </c>
    </row>
    <row r="22" spans="1:13" ht="15" customHeight="1" x14ac:dyDescent="0.25">
      <c r="A22" s="30" t="s">
        <v>136</v>
      </c>
      <c r="B22" s="30" t="s">
        <v>73</v>
      </c>
      <c r="C22" s="9" t="s">
        <v>67</v>
      </c>
      <c r="D22" s="32">
        <v>2023</v>
      </c>
      <c r="E22" s="33" t="s">
        <v>34</v>
      </c>
      <c r="F22" s="33">
        <f t="shared" si="2"/>
        <v>0</v>
      </c>
      <c r="G22" s="33">
        <f t="shared" si="2"/>
        <v>0</v>
      </c>
      <c r="H22" s="33">
        <f t="shared" si="2"/>
        <v>41</v>
      </c>
      <c r="I22" s="40">
        <f t="shared" si="1"/>
        <v>0</v>
      </c>
      <c r="J22" s="40">
        <f t="shared" si="1"/>
        <v>0</v>
      </c>
      <c r="K22" s="40">
        <f t="shared" si="1"/>
        <v>1.7935258092738406E-2</v>
      </c>
      <c r="L22" s="40">
        <f>1000*M22/VLOOKUP(D22,'Normalised Rates'!$A$7:$B$12,2,FALSE)</f>
        <v>1.7935258092738406E-2</v>
      </c>
      <c r="M22" s="34">
        <v>41</v>
      </c>
    </row>
    <row r="23" spans="1:13" ht="15" customHeight="1" x14ac:dyDescent="0.25">
      <c r="A23" s="30" t="s">
        <v>136</v>
      </c>
      <c r="B23" s="30" t="s">
        <v>73</v>
      </c>
      <c r="C23" s="9" t="s">
        <v>67</v>
      </c>
      <c r="D23" s="32">
        <v>2023</v>
      </c>
      <c r="E23" s="35" t="s">
        <v>163</v>
      </c>
      <c r="F23" s="33">
        <f t="shared" si="2"/>
        <v>96</v>
      </c>
      <c r="G23" s="33">
        <f t="shared" si="2"/>
        <v>0</v>
      </c>
      <c r="H23" s="33">
        <f t="shared" si="2"/>
        <v>0</v>
      </c>
      <c r="I23" s="40">
        <f t="shared" si="1"/>
        <v>4.1994750656167978E-2</v>
      </c>
      <c r="J23" s="40">
        <f t="shared" si="1"/>
        <v>0</v>
      </c>
      <c r="K23" s="40">
        <f t="shared" si="1"/>
        <v>0</v>
      </c>
      <c r="L23" s="40">
        <f>1000*M23/VLOOKUP(D23,'Normalised Rates'!$A$7:$B$12,2,FALSE)</f>
        <v>4.1994750656167978E-2</v>
      </c>
      <c r="M23" s="34">
        <v>96</v>
      </c>
    </row>
    <row r="24" spans="1:13" ht="15" customHeight="1" x14ac:dyDescent="0.25">
      <c r="A24" s="30" t="s">
        <v>136</v>
      </c>
      <c r="B24" s="30" t="s">
        <v>73</v>
      </c>
      <c r="C24" s="9" t="s">
        <v>67</v>
      </c>
      <c r="D24" s="32">
        <v>2024</v>
      </c>
      <c r="E24" s="33" t="s">
        <v>34</v>
      </c>
      <c r="F24" s="33">
        <f t="shared" si="2"/>
        <v>0</v>
      </c>
      <c r="G24" s="33">
        <f t="shared" si="2"/>
        <v>0</v>
      </c>
      <c r="H24" s="33">
        <f t="shared" si="2"/>
        <v>54</v>
      </c>
      <c r="I24" s="40">
        <f t="shared" si="1"/>
        <v>0</v>
      </c>
      <c r="J24" s="40">
        <f t="shared" si="1"/>
        <v>0</v>
      </c>
      <c r="K24" s="40">
        <f t="shared" si="1"/>
        <v>2.0126723816623181E-2</v>
      </c>
      <c r="L24" s="40">
        <f>1000*M24/VLOOKUP(D24,'Normalised Rates'!$A$7:$B$12,2,FALSE)</f>
        <v>2.0126723816623181E-2</v>
      </c>
      <c r="M24" s="34">
        <v>54</v>
      </c>
    </row>
    <row r="25" spans="1:13" ht="15" customHeight="1" x14ac:dyDescent="0.25">
      <c r="A25" s="30" t="s">
        <v>136</v>
      </c>
      <c r="B25" s="30" t="s">
        <v>73</v>
      </c>
      <c r="C25" s="9" t="s">
        <v>67</v>
      </c>
      <c r="D25" s="32">
        <v>2024</v>
      </c>
      <c r="E25" s="35" t="s">
        <v>163</v>
      </c>
      <c r="F25" s="33">
        <f t="shared" si="2"/>
        <v>61</v>
      </c>
      <c r="G25" s="33">
        <f t="shared" si="2"/>
        <v>0</v>
      </c>
      <c r="H25" s="33">
        <f t="shared" si="2"/>
        <v>0</v>
      </c>
      <c r="I25" s="40">
        <f t="shared" si="1"/>
        <v>2.2735743570629893E-2</v>
      </c>
      <c r="J25" s="40">
        <f t="shared" si="1"/>
        <v>0</v>
      </c>
      <c r="K25" s="40">
        <f t="shared" si="1"/>
        <v>0</v>
      </c>
      <c r="L25" s="40">
        <f>1000*M25/VLOOKUP(D25,'Normalised Rates'!$A$7:$B$12,2,FALSE)</f>
        <v>2.2735743570629893E-2</v>
      </c>
      <c r="M25" s="34">
        <v>61</v>
      </c>
    </row>
    <row r="26" spans="1:13" ht="15" customHeight="1" x14ac:dyDescent="0.25">
      <c r="A26" s="30" t="s">
        <v>136</v>
      </c>
      <c r="B26" s="30" t="s">
        <v>73</v>
      </c>
      <c r="C26" s="9" t="s">
        <v>67</v>
      </c>
      <c r="D26" s="32">
        <v>2025</v>
      </c>
      <c r="E26" s="33" t="s">
        <v>34</v>
      </c>
      <c r="F26" s="33">
        <f t="shared" si="2"/>
        <v>0</v>
      </c>
      <c r="G26" s="33">
        <f t="shared" si="2"/>
        <v>0</v>
      </c>
      <c r="H26" s="33">
        <f t="shared" si="2"/>
        <v>19</v>
      </c>
      <c r="I26" s="40">
        <f t="shared" si="1"/>
        <v>0</v>
      </c>
      <c r="J26" s="40">
        <f t="shared" si="1"/>
        <v>0</v>
      </c>
      <c r="K26" s="40">
        <f t="shared" si="1"/>
        <v>6.0260069774817635E-3</v>
      </c>
      <c r="L26" s="40">
        <f>1000*M26/VLOOKUP(D26,'Normalised Rates'!$A$7:$B$12,2,FALSE)</f>
        <v>6.0260069774817635E-3</v>
      </c>
      <c r="M26" s="34">
        <v>19</v>
      </c>
    </row>
    <row r="27" spans="1:13" ht="15" customHeight="1" x14ac:dyDescent="0.25">
      <c r="A27" s="30" t="s">
        <v>136</v>
      </c>
      <c r="B27" s="30" t="s">
        <v>73</v>
      </c>
      <c r="C27" s="9" t="s">
        <v>67</v>
      </c>
      <c r="D27" s="32">
        <v>2025</v>
      </c>
      <c r="E27" s="35" t="s">
        <v>163</v>
      </c>
      <c r="F27" s="33">
        <f t="shared" si="2"/>
        <v>143</v>
      </c>
      <c r="G27" s="33">
        <f t="shared" si="2"/>
        <v>0</v>
      </c>
      <c r="H27" s="33">
        <f t="shared" si="2"/>
        <v>0</v>
      </c>
      <c r="I27" s="40">
        <f t="shared" si="1"/>
        <v>4.5353631462099586E-2</v>
      </c>
      <c r="J27" s="40">
        <f t="shared" si="1"/>
        <v>0</v>
      </c>
      <c r="K27" s="40">
        <f t="shared" si="1"/>
        <v>0</v>
      </c>
      <c r="L27" s="40">
        <f>1000*M27/VLOOKUP(D27,'Normalised Rates'!$A$7:$B$12,2,FALSE)</f>
        <v>4.5353631462099586E-2</v>
      </c>
      <c r="M27" s="34">
        <v>143</v>
      </c>
    </row>
    <row r="28" spans="1:13" ht="15" customHeight="1" x14ac:dyDescent="0.25">
      <c r="A28" s="30" t="s">
        <v>136</v>
      </c>
      <c r="B28" s="30" t="s">
        <v>73</v>
      </c>
      <c r="C28" s="9" t="s">
        <v>67</v>
      </c>
      <c r="D28" s="32">
        <v>2026</v>
      </c>
      <c r="E28" s="33" t="s">
        <v>34</v>
      </c>
      <c r="F28" s="33">
        <f t="shared" si="2"/>
        <v>0</v>
      </c>
      <c r="G28" s="33">
        <f t="shared" si="2"/>
        <v>0</v>
      </c>
      <c r="H28" s="33">
        <f t="shared" si="2"/>
        <v>4</v>
      </c>
      <c r="I28" s="40">
        <f t="shared" si="1"/>
        <v>0</v>
      </c>
      <c r="J28" s="40">
        <f t="shared" si="1"/>
        <v>0</v>
      </c>
      <c r="K28" s="40">
        <f t="shared" si="1"/>
        <v>3.0447193149381541E-3</v>
      </c>
      <c r="L28" s="40">
        <f>1000*M28/VLOOKUP(D28,'Normalised Rates'!$A$7:$B$12,2,FALSE)</f>
        <v>3.0447193149381541E-3</v>
      </c>
      <c r="M28" s="34">
        <v>4</v>
      </c>
    </row>
    <row r="29" spans="1:13" ht="15" customHeight="1" x14ac:dyDescent="0.25">
      <c r="A29" s="30" t="s">
        <v>136</v>
      </c>
      <c r="B29" s="30" t="s">
        <v>73</v>
      </c>
      <c r="C29" s="9" t="s">
        <v>67</v>
      </c>
      <c r="D29" s="32">
        <v>2026</v>
      </c>
      <c r="E29" s="35" t="s">
        <v>163</v>
      </c>
      <c r="F29" s="33">
        <f t="shared" si="2"/>
        <v>88</v>
      </c>
      <c r="G29" s="33">
        <f t="shared" si="2"/>
        <v>0</v>
      </c>
      <c r="H29" s="33">
        <f t="shared" si="2"/>
        <v>0</v>
      </c>
      <c r="I29" s="40">
        <f t="shared" si="1"/>
        <v>6.6983824928639385E-2</v>
      </c>
      <c r="J29" s="40">
        <f t="shared" si="1"/>
        <v>0</v>
      </c>
      <c r="K29" s="40">
        <f t="shared" si="1"/>
        <v>0</v>
      </c>
      <c r="L29" s="40">
        <f>1000*M29/VLOOKUP(D29,'Normalised Rates'!$A$7:$B$12,2,FALSE)</f>
        <v>6.6983824928639385E-2</v>
      </c>
      <c r="M29" s="34">
        <v>88</v>
      </c>
    </row>
    <row r="30" spans="1:13" ht="15" customHeight="1" x14ac:dyDescent="0.25">
      <c r="A30" s="30" t="s">
        <v>136</v>
      </c>
      <c r="B30" s="30" t="s">
        <v>88</v>
      </c>
      <c r="C30" s="9" t="s">
        <v>84</v>
      </c>
      <c r="D30" s="32">
        <v>2021</v>
      </c>
      <c r="E30" s="33" t="s">
        <v>34</v>
      </c>
      <c r="F30" s="33">
        <f t="shared" si="2"/>
        <v>0</v>
      </c>
      <c r="G30" s="33">
        <f t="shared" si="2"/>
        <v>0</v>
      </c>
      <c r="H30" s="33">
        <f t="shared" si="2"/>
        <v>4</v>
      </c>
      <c r="I30" s="40">
        <f t="shared" si="1"/>
        <v>0</v>
      </c>
      <c r="J30" s="40">
        <f t="shared" si="1"/>
        <v>0</v>
      </c>
      <c r="K30" s="40">
        <f t="shared" si="1"/>
        <v>2.509410288582183E-3</v>
      </c>
      <c r="L30" s="40">
        <f>1000*M30/VLOOKUP(D30,'Normalised Rates'!$A$7:$B$12,2,FALSE)</f>
        <v>2.509410288582183E-3</v>
      </c>
      <c r="M30" s="34">
        <v>4</v>
      </c>
    </row>
    <row r="31" spans="1:13" ht="15" customHeight="1" x14ac:dyDescent="0.25">
      <c r="A31" s="30" t="s">
        <v>136</v>
      </c>
      <c r="B31" s="30" t="s">
        <v>88</v>
      </c>
      <c r="C31" s="9" t="s">
        <v>84</v>
      </c>
      <c r="D31" s="32">
        <v>2021</v>
      </c>
      <c r="E31" s="35" t="s">
        <v>163</v>
      </c>
      <c r="F31" s="33">
        <f t="shared" si="2"/>
        <v>7</v>
      </c>
      <c r="G31" s="33">
        <f t="shared" si="2"/>
        <v>0</v>
      </c>
      <c r="H31" s="33">
        <f t="shared" si="2"/>
        <v>0</v>
      </c>
      <c r="I31" s="40">
        <f t="shared" si="1"/>
        <v>4.3914680050188204E-3</v>
      </c>
      <c r="J31" s="40">
        <f t="shared" si="1"/>
        <v>0</v>
      </c>
      <c r="K31" s="40">
        <f t="shared" si="1"/>
        <v>0</v>
      </c>
      <c r="L31" s="40">
        <f>1000*M31/VLOOKUP(D31,'Normalised Rates'!$A$7:$B$12,2,FALSE)</f>
        <v>4.3914680050188204E-3</v>
      </c>
      <c r="M31" s="34">
        <v>7</v>
      </c>
    </row>
    <row r="32" spans="1:13" ht="15" customHeight="1" x14ac:dyDescent="0.25">
      <c r="A32" s="30" t="s">
        <v>136</v>
      </c>
      <c r="B32" s="30" t="s">
        <v>88</v>
      </c>
      <c r="C32" s="9" t="s">
        <v>84</v>
      </c>
      <c r="D32" s="32">
        <v>2022</v>
      </c>
      <c r="E32" s="33" t="s">
        <v>34</v>
      </c>
      <c r="F32" s="33">
        <f t="shared" si="2"/>
        <v>0</v>
      </c>
      <c r="G32" s="33">
        <f t="shared" si="2"/>
        <v>0</v>
      </c>
      <c r="H32" s="33">
        <f t="shared" si="2"/>
        <v>15</v>
      </c>
      <c r="I32" s="40">
        <f t="shared" si="1"/>
        <v>0</v>
      </c>
      <c r="J32" s="40">
        <f t="shared" si="1"/>
        <v>0</v>
      </c>
      <c r="K32" s="40">
        <f t="shared" si="1"/>
        <v>8.0000000000000002E-3</v>
      </c>
      <c r="L32" s="40">
        <f>1000*M32/VLOOKUP(D32,'Normalised Rates'!$A$7:$B$12,2,FALSE)</f>
        <v>8.0000000000000002E-3</v>
      </c>
      <c r="M32" s="34">
        <v>15</v>
      </c>
    </row>
    <row r="33" spans="1:13" ht="15" customHeight="1" x14ac:dyDescent="0.25">
      <c r="A33" s="30" t="s">
        <v>136</v>
      </c>
      <c r="B33" s="30" t="s">
        <v>88</v>
      </c>
      <c r="C33" s="9" t="s">
        <v>84</v>
      </c>
      <c r="D33" s="32">
        <v>2022</v>
      </c>
      <c r="E33" s="35" t="s">
        <v>163</v>
      </c>
      <c r="F33" s="33">
        <f t="shared" si="2"/>
        <v>21</v>
      </c>
      <c r="G33" s="33">
        <f t="shared" si="2"/>
        <v>0</v>
      </c>
      <c r="H33" s="33">
        <f t="shared" si="2"/>
        <v>0</v>
      </c>
      <c r="I33" s="40">
        <f t="shared" si="1"/>
        <v>1.12E-2</v>
      </c>
      <c r="J33" s="40">
        <f t="shared" si="1"/>
        <v>0</v>
      </c>
      <c r="K33" s="40">
        <f t="shared" si="1"/>
        <v>0</v>
      </c>
      <c r="L33" s="40">
        <f>1000*M33/VLOOKUP(D33,'Normalised Rates'!$A$7:$B$12,2,FALSE)</f>
        <v>1.12E-2</v>
      </c>
      <c r="M33" s="34">
        <v>21</v>
      </c>
    </row>
    <row r="34" spans="1:13" ht="15" customHeight="1" x14ac:dyDescent="0.25">
      <c r="A34" s="30" t="s">
        <v>136</v>
      </c>
      <c r="B34" s="30" t="s">
        <v>88</v>
      </c>
      <c r="C34" s="9" t="s">
        <v>84</v>
      </c>
      <c r="D34" s="32">
        <v>2023</v>
      </c>
      <c r="E34" s="33" t="s">
        <v>34</v>
      </c>
      <c r="F34" s="33">
        <f t="shared" si="2"/>
        <v>0</v>
      </c>
      <c r="G34" s="33">
        <f t="shared" si="2"/>
        <v>0</v>
      </c>
      <c r="H34" s="33">
        <f t="shared" si="2"/>
        <v>26</v>
      </c>
      <c r="I34" s="40">
        <f t="shared" si="1"/>
        <v>0</v>
      </c>
      <c r="J34" s="40">
        <f t="shared" si="1"/>
        <v>0</v>
      </c>
      <c r="K34" s="40">
        <f t="shared" si="1"/>
        <v>1.1373578302712161E-2</v>
      </c>
      <c r="L34" s="40">
        <f>1000*M34/VLOOKUP(D34,'Normalised Rates'!$A$7:$B$12,2,FALSE)</f>
        <v>1.1373578302712161E-2</v>
      </c>
      <c r="M34" s="34">
        <v>26</v>
      </c>
    </row>
    <row r="35" spans="1:13" ht="15" customHeight="1" x14ac:dyDescent="0.25">
      <c r="A35" s="30" t="s">
        <v>136</v>
      </c>
      <c r="B35" s="30" t="s">
        <v>88</v>
      </c>
      <c r="C35" s="9" t="s">
        <v>84</v>
      </c>
      <c r="D35" s="32">
        <v>2023</v>
      </c>
      <c r="E35" s="35" t="s">
        <v>163</v>
      </c>
      <c r="F35" s="33">
        <f t="shared" si="2"/>
        <v>61</v>
      </c>
      <c r="G35" s="33">
        <f t="shared" si="2"/>
        <v>0</v>
      </c>
      <c r="H35" s="33">
        <f t="shared" si="2"/>
        <v>0</v>
      </c>
      <c r="I35" s="40">
        <f t="shared" si="1"/>
        <v>2.6684164479440071E-2</v>
      </c>
      <c r="J35" s="40">
        <f t="shared" si="1"/>
        <v>0</v>
      </c>
      <c r="K35" s="40">
        <f t="shared" si="1"/>
        <v>0</v>
      </c>
      <c r="L35" s="40">
        <f>1000*M35/VLOOKUP(D35,'Normalised Rates'!$A$7:$B$12,2,FALSE)</f>
        <v>2.6684164479440071E-2</v>
      </c>
      <c r="M35" s="34">
        <v>61</v>
      </c>
    </row>
    <row r="36" spans="1:13" ht="15" customHeight="1" x14ac:dyDescent="0.25">
      <c r="A36" s="30" t="s">
        <v>136</v>
      </c>
      <c r="B36" s="30" t="s">
        <v>88</v>
      </c>
      <c r="C36" s="9" t="s">
        <v>84</v>
      </c>
      <c r="D36" s="32">
        <v>2024</v>
      </c>
      <c r="E36" s="33" t="s">
        <v>34</v>
      </c>
      <c r="F36" s="33">
        <f t="shared" si="2"/>
        <v>0</v>
      </c>
      <c r="G36" s="33">
        <f t="shared" si="2"/>
        <v>0</v>
      </c>
      <c r="H36" s="33">
        <f t="shared" si="2"/>
        <v>28</v>
      </c>
      <c r="I36" s="40">
        <f t="shared" si="1"/>
        <v>0</v>
      </c>
      <c r="J36" s="40">
        <f t="shared" si="1"/>
        <v>0</v>
      </c>
      <c r="K36" s="40">
        <f t="shared" si="1"/>
        <v>1.0436079016026835E-2</v>
      </c>
      <c r="L36" s="40">
        <f>1000*M36/VLOOKUP(D36,'Normalised Rates'!$A$7:$B$12,2,FALSE)</f>
        <v>1.0436079016026835E-2</v>
      </c>
      <c r="M36" s="34">
        <v>28</v>
      </c>
    </row>
    <row r="37" spans="1:13" ht="15" customHeight="1" x14ac:dyDescent="0.25">
      <c r="A37" s="30" t="s">
        <v>136</v>
      </c>
      <c r="B37" s="30" t="s">
        <v>88</v>
      </c>
      <c r="C37" s="9" t="s">
        <v>84</v>
      </c>
      <c r="D37" s="32">
        <v>2024</v>
      </c>
      <c r="E37" s="35" t="s">
        <v>163</v>
      </c>
      <c r="F37" s="33">
        <f t="shared" si="2"/>
        <v>61</v>
      </c>
      <c r="G37" s="33">
        <f t="shared" si="2"/>
        <v>0</v>
      </c>
      <c r="H37" s="33">
        <f t="shared" si="2"/>
        <v>0</v>
      </c>
      <c r="I37" s="40">
        <f t="shared" si="1"/>
        <v>2.2735743570629893E-2</v>
      </c>
      <c r="J37" s="40">
        <f t="shared" si="1"/>
        <v>0</v>
      </c>
      <c r="K37" s="40">
        <f t="shared" si="1"/>
        <v>0</v>
      </c>
      <c r="L37" s="40">
        <f>1000*M37/VLOOKUP(D37,'Normalised Rates'!$A$7:$B$12,2,FALSE)</f>
        <v>2.2735743570629893E-2</v>
      </c>
      <c r="M37" s="34">
        <v>61</v>
      </c>
    </row>
    <row r="38" spans="1:13" ht="15" customHeight="1" x14ac:dyDescent="0.25">
      <c r="A38" s="30" t="s">
        <v>136</v>
      </c>
      <c r="B38" s="30" t="s">
        <v>88</v>
      </c>
      <c r="C38" s="9" t="s">
        <v>84</v>
      </c>
      <c r="D38" s="32">
        <v>2025</v>
      </c>
      <c r="E38" s="33" t="s">
        <v>34</v>
      </c>
      <c r="F38" s="33">
        <f t="shared" si="2"/>
        <v>0</v>
      </c>
      <c r="G38" s="33">
        <f t="shared" si="2"/>
        <v>0</v>
      </c>
      <c r="H38" s="33">
        <f t="shared" si="2"/>
        <v>4</v>
      </c>
      <c r="I38" s="40">
        <f t="shared" si="1"/>
        <v>0</v>
      </c>
      <c r="J38" s="40">
        <f t="shared" si="1"/>
        <v>0</v>
      </c>
      <c r="K38" s="40">
        <f t="shared" si="1"/>
        <v>1.2686330478908975E-3</v>
      </c>
      <c r="L38" s="40">
        <f>1000*M38/VLOOKUP(D38,'Normalised Rates'!$A$7:$B$12,2,FALSE)</f>
        <v>1.2686330478908975E-3</v>
      </c>
      <c r="M38" s="34">
        <v>4</v>
      </c>
    </row>
    <row r="39" spans="1:13" ht="15" customHeight="1" x14ac:dyDescent="0.25">
      <c r="A39" s="30" t="s">
        <v>136</v>
      </c>
      <c r="B39" s="30" t="s">
        <v>88</v>
      </c>
      <c r="C39" s="9" t="s">
        <v>84</v>
      </c>
      <c r="D39" s="32">
        <v>2025</v>
      </c>
      <c r="E39" s="35" t="s">
        <v>163</v>
      </c>
      <c r="F39" s="33">
        <f t="shared" si="2"/>
        <v>136</v>
      </c>
      <c r="G39" s="33">
        <f t="shared" si="2"/>
        <v>0</v>
      </c>
      <c r="H39" s="33">
        <f t="shared" si="2"/>
        <v>0</v>
      </c>
      <c r="I39" s="40">
        <f t="shared" si="1"/>
        <v>4.3133523628290517E-2</v>
      </c>
      <c r="J39" s="40">
        <f t="shared" si="1"/>
        <v>0</v>
      </c>
      <c r="K39" s="40">
        <f t="shared" si="1"/>
        <v>0</v>
      </c>
      <c r="L39" s="40">
        <f>1000*M39/VLOOKUP(D39,'Normalised Rates'!$A$7:$B$12,2,FALSE)</f>
        <v>4.3133523628290517E-2</v>
      </c>
      <c r="M39" s="34">
        <v>136</v>
      </c>
    </row>
    <row r="40" spans="1:13" ht="15" customHeight="1" x14ac:dyDescent="0.25">
      <c r="A40" s="30" t="s">
        <v>136</v>
      </c>
      <c r="B40" s="30" t="s">
        <v>88</v>
      </c>
      <c r="C40" s="9" t="s">
        <v>84</v>
      </c>
      <c r="D40" s="32">
        <v>2026</v>
      </c>
      <c r="E40" s="33" t="s">
        <v>34</v>
      </c>
      <c r="F40" s="33">
        <f t="shared" si="2"/>
        <v>0</v>
      </c>
      <c r="G40" s="33">
        <f t="shared" si="2"/>
        <v>0</v>
      </c>
      <c r="H40" s="33">
        <f t="shared" si="2"/>
        <v>1</v>
      </c>
      <c r="I40" s="40">
        <f t="shared" si="1"/>
        <v>0</v>
      </c>
      <c r="J40" s="40">
        <f t="shared" si="1"/>
        <v>0</v>
      </c>
      <c r="K40" s="40">
        <f t="shared" si="1"/>
        <v>7.6117982873453852E-4</v>
      </c>
      <c r="L40" s="40">
        <f>1000*M40/VLOOKUP(D40,'Normalised Rates'!$A$7:$B$12,2,FALSE)</f>
        <v>7.6117982873453852E-4</v>
      </c>
      <c r="M40" s="34">
        <v>1</v>
      </c>
    </row>
    <row r="41" spans="1:13" ht="15" customHeight="1" x14ac:dyDescent="0.25">
      <c r="A41" s="30" t="s">
        <v>136</v>
      </c>
      <c r="B41" s="30" t="s">
        <v>88</v>
      </c>
      <c r="C41" s="9" t="s">
        <v>84</v>
      </c>
      <c r="D41" s="32">
        <v>2026</v>
      </c>
      <c r="E41" s="35" t="s">
        <v>163</v>
      </c>
      <c r="F41" s="33">
        <f t="shared" si="2"/>
        <v>80</v>
      </c>
      <c r="G41" s="33">
        <f t="shared" si="2"/>
        <v>0</v>
      </c>
      <c r="H41" s="33">
        <f t="shared" si="2"/>
        <v>0</v>
      </c>
      <c r="I41" s="40">
        <f t="shared" si="1"/>
        <v>6.0894386298763085E-2</v>
      </c>
      <c r="J41" s="40">
        <f t="shared" si="1"/>
        <v>0</v>
      </c>
      <c r="K41" s="40">
        <f t="shared" si="1"/>
        <v>0</v>
      </c>
      <c r="L41" s="40">
        <f>1000*M41/VLOOKUP(D41,'Normalised Rates'!$A$7:$B$12,2,FALSE)</f>
        <v>6.0894386298763085E-2</v>
      </c>
      <c r="M41" s="34">
        <v>80</v>
      </c>
    </row>
    <row r="42" spans="1:13" ht="15" customHeight="1" x14ac:dyDescent="0.25">
      <c r="A42" s="30" t="s">
        <v>136</v>
      </c>
      <c r="B42" s="30" t="s">
        <v>75</v>
      </c>
      <c r="C42" s="9" t="s">
        <v>67</v>
      </c>
      <c r="D42" s="32">
        <v>2021</v>
      </c>
      <c r="E42" s="33" t="s">
        <v>34</v>
      </c>
      <c r="F42" s="33">
        <f t="shared" si="2"/>
        <v>0</v>
      </c>
      <c r="G42" s="33">
        <f t="shared" si="2"/>
        <v>0</v>
      </c>
      <c r="H42" s="33">
        <f t="shared" si="2"/>
        <v>6</v>
      </c>
      <c r="I42" s="40">
        <f t="shared" si="1"/>
        <v>0</v>
      </c>
      <c r="J42" s="40">
        <f t="shared" si="1"/>
        <v>0</v>
      </c>
      <c r="K42" s="40">
        <f t="shared" si="1"/>
        <v>3.7641154328732747E-3</v>
      </c>
      <c r="L42" s="40">
        <f>1000*M42/VLOOKUP(D42,'Normalised Rates'!$A$7:$B$12,2,FALSE)</f>
        <v>3.7641154328732747E-3</v>
      </c>
      <c r="M42" s="34">
        <v>6</v>
      </c>
    </row>
    <row r="43" spans="1:13" ht="15" customHeight="1" x14ac:dyDescent="0.25">
      <c r="A43" s="30" t="s">
        <v>136</v>
      </c>
      <c r="B43" s="30" t="s">
        <v>75</v>
      </c>
      <c r="C43" s="9" t="s">
        <v>67</v>
      </c>
      <c r="D43" s="32">
        <v>2021</v>
      </c>
      <c r="E43" s="35" t="s">
        <v>163</v>
      </c>
      <c r="F43" s="33">
        <f t="shared" si="2"/>
        <v>2</v>
      </c>
      <c r="G43" s="33">
        <f t="shared" si="2"/>
        <v>0</v>
      </c>
      <c r="H43" s="33">
        <f t="shared" si="2"/>
        <v>0</v>
      </c>
      <c r="I43" s="40">
        <f t="shared" si="1"/>
        <v>1.2547051442910915E-3</v>
      </c>
      <c r="J43" s="40">
        <f t="shared" si="1"/>
        <v>0</v>
      </c>
      <c r="K43" s="40">
        <f t="shared" si="1"/>
        <v>0</v>
      </c>
      <c r="L43" s="40">
        <f>1000*M43/VLOOKUP(D43,'Normalised Rates'!$A$7:$B$12,2,FALSE)</f>
        <v>1.2547051442910915E-3</v>
      </c>
      <c r="M43" s="34">
        <v>2</v>
      </c>
    </row>
    <row r="44" spans="1:13" ht="15" customHeight="1" x14ac:dyDescent="0.25">
      <c r="A44" s="30" t="s">
        <v>136</v>
      </c>
      <c r="B44" s="30" t="s">
        <v>75</v>
      </c>
      <c r="C44" s="9" t="s">
        <v>67</v>
      </c>
      <c r="D44" s="32">
        <v>2022</v>
      </c>
      <c r="E44" s="33" t="s">
        <v>34</v>
      </c>
      <c r="F44" s="33">
        <f t="shared" si="2"/>
        <v>0</v>
      </c>
      <c r="G44" s="33">
        <f t="shared" si="2"/>
        <v>0</v>
      </c>
      <c r="H44" s="33">
        <f t="shared" si="2"/>
        <v>23</v>
      </c>
      <c r="I44" s="40">
        <f t="shared" si="1"/>
        <v>0</v>
      </c>
      <c r="J44" s="40">
        <f t="shared" si="1"/>
        <v>0</v>
      </c>
      <c r="K44" s="40">
        <f t="shared" si="1"/>
        <v>1.2266666666666667E-2</v>
      </c>
      <c r="L44" s="40">
        <f>1000*M44/VLOOKUP(D44,'Normalised Rates'!$A$7:$B$12,2,FALSE)</f>
        <v>1.2266666666666667E-2</v>
      </c>
      <c r="M44" s="34">
        <v>23</v>
      </c>
    </row>
    <row r="45" spans="1:13" ht="15" customHeight="1" x14ac:dyDescent="0.25">
      <c r="A45" s="30" t="s">
        <v>136</v>
      </c>
      <c r="B45" s="30" t="s">
        <v>75</v>
      </c>
      <c r="C45" s="9" t="s">
        <v>67</v>
      </c>
      <c r="D45" s="32">
        <v>2022</v>
      </c>
      <c r="E45" s="35" t="s">
        <v>163</v>
      </c>
      <c r="F45" s="33">
        <f t="shared" si="2"/>
        <v>18</v>
      </c>
      <c r="G45" s="33">
        <f t="shared" si="2"/>
        <v>0</v>
      </c>
      <c r="H45" s="33">
        <f t="shared" si="2"/>
        <v>0</v>
      </c>
      <c r="I45" s="40">
        <f t="shared" si="1"/>
        <v>9.5999999999999992E-3</v>
      </c>
      <c r="J45" s="40">
        <f t="shared" si="1"/>
        <v>0</v>
      </c>
      <c r="K45" s="40">
        <f t="shared" si="1"/>
        <v>0</v>
      </c>
      <c r="L45" s="40">
        <f>1000*M45/VLOOKUP(D45,'Normalised Rates'!$A$7:$B$12,2,FALSE)</f>
        <v>9.5999999999999992E-3</v>
      </c>
      <c r="M45" s="34">
        <v>18</v>
      </c>
    </row>
    <row r="46" spans="1:13" ht="15" customHeight="1" x14ac:dyDescent="0.25">
      <c r="A46" s="30" t="s">
        <v>136</v>
      </c>
      <c r="B46" s="30" t="s">
        <v>75</v>
      </c>
      <c r="C46" s="9" t="s">
        <v>67</v>
      </c>
      <c r="D46" s="32">
        <v>2023</v>
      </c>
      <c r="E46" s="33" t="s">
        <v>34</v>
      </c>
      <c r="F46" s="33">
        <f t="shared" si="2"/>
        <v>0</v>
      </c>
      <c r="G46" s="33">
        <f t="shared" si="2"/>
        <v>0</v>
      </c>
      <c r="H46" s="33">
        <f t="shared" si="2"/>
        <v>38</v>
      </c>
      <c r="I46" s="40">
        <f t="shared" si="1"/>
        <v>0</v>
      </c>
      <c r="J46" s="40">
        <f t="shared" si="1"/>
        <v>0</v>
      </c>
      <c r="K46" s="40">
        <f t="shared" si="1"/>
        <v>1.6622922134733157E-2</v>
      </c>
      <c r="L46" s="40">
        <f>1000*M46/VLOOKUP(D46,'Normalised Rates'!$A$7:$B$12,2,FALSE)</f>
        <v>1.6622922134733157E-2</v>
      </c>
      <c r="M46" s="34">
        <v>38</v>
      </c>
    </row>
    <row r="47" spans="1:13" ht="15" customHeight="1" x14ac:dyDescent="0.25">
      <c r="A47" s="30" t="s">
        <v>136</v>
      </c>
      <c r="B47" s="30" t="s">
        <v>75</v>
      </c>
      <c r="C47" s="9" t="s">
        <v>67</v>
      </c>
      <c r="D47" s="32">
        <v>2023</v>
      </c>
      <c r="E47" s="35" t="s">
        <v>163</v>
      </c>
      <c r="F47" s="33">
        <f t="shared" si="2"/>
        <v>69</v>
      </c>
      <c r="G47" s="33">
        <f t="shared" si="2"/>
        <v>0</v>
      </c>
      <c r="H47" s="33">
        <f t="shared" si="2"/>
        <v>0</v>
      </c>
      <c r="I47" s="40">
        <f t="shared" si="1"/>
        <v>3.0183727034120734E-2</v>
      </c>
      <c r="J47" s="40">
        <f t="shared" si="1"/>
        <v>0</v>
      </c>
      <c r="K47" s="40">
        <f t="shared" si="1"/>
        <v>0</v>
      </c>
      <c r="L47" s="40">
        <f>1000*M47/VLOOKUP(D47,'Normalised Rates'!$A$7:$B$12,2,FALSE)</f>
        <v>3.0183727034120734E-2</v>
      </c>
      <c r="M47" s="34">
        <v>69</v>
      </c>
    </row>
    <row r="48" spans="1:13" ht="15" customHeight="1" x14ac:dyDescent="0.25">
      <c r="A48" s="30" t="s">
        <v>136</v>
      </c>
      <c r="B48" s="30" t="s">
        <v>75</v>
      </c>
      <c r="C48" s="9" t="s">
        <v>67</v>
      </c>
      <c r="D48" s="32">
        <v>2024</v>
      </c>
      <c r="E48" s="33" t="s">
        <v>34</v>
      </c>
      <c r="F48" s="33">
        <f t="shared" si="2"/>
        <v>0</v>
      </c>
      <c r="G48" s="33">
        <f t="shared" si="2"/>
        <v>0</v>
      </c>
      <c r="H48" s="33">
        <f t="shared" si="2"/>
        <v>34</v>
      </c>
      <c r="I48" s="40">
        <f t="shared" si="1"/>
        <v>0</v>
      </c>
      <c r="J48" s="40">
        <f t="shared" si="1"/>
        <v>0</v>
      </c>
      <c r="K48" s="40">
        <f t="shared" si="1"/>
        <v>1.2672381662318301E-2</v>
      </c>
      <c r="L48" s="40">
        <f>1000*M48/VLOOKUP(D48,'Normalised Rates'!$A$7:$B$12,2,FALSE)</f>
        <v>1.2672381662318301E-2</v>
      </c>
      <c r="M48" s="34">
        <v>34</v>
      </c>
    </row>
    <row r="49" spans="1:13" ht="15" customHeight="1" x14ac:dyDescent="0.25">
      <c r="A49" s="30" t="s">
        <v>136</v>
      </c>
      <c r="B49" s="30" t="s">
        <v>75</v>
      </c>
      <c r="C49" s="9" t="s">
        <v>67</v>
      </c>
      <c r="D49" s="32">
        <v>2024</v>
      </c>
      <c r="E49" s="35" t="s">
        <v>163</v>
      </c>
      <c r="F49" s="33">
        <f t="shared" si="2"/>
        <v>87</v>
      </c>
      <c r="G49" s="33">
        <f t="shared" si="2"/>
        <v>0</v>
      </c>
      <c r="H49" s="33">
        <f t="shared" si="2"/>
        <v>0</v>
      </c>
      <c r="I49" s="40">
        <f t="shared" si="1"/>
        <v>3.2426388371226238E-2</v>
      </c>
      <c r="J49" s="40">
        <f t="shared" si="1"/>
        <v>0</v>
      </c>
      <c r="K49" s="40">
        <f t="shared" si="1"/>
        <v>0</v>
      </c>
      <c r="L49" s="40">
        <f>1000*M49/VLOOKUP(D49,'Normalised Rates'!$A$7:$B$12,2,FALSE)</f>
        <v>3.2426388371226238E-2</v>
      </c>
      <c r="M49" s="34">
        <v>87</v>
      </c>
    </row>
    <row r="50" spans="1:13" ht="15" customHeight="1" x14ac:dyDescent="0.25">
      <c r="A50" s="30" t="s">
        <v>136</v>
      </c>
      <c r="B50" s="30" t="s">
        <v>75</v>
      </c>
      <c r="C50" s="9" t="s">
        <v>67</v>
      </c>
      <c r="D50" s="32">
        <v>2025</v>
      </c>
      <c r="E50" s="33" t="s">
        <v>34</v>
      </c>
      <c r="F50" s="33">
        <f t="shared" si="2"/>
        <v>0</v>
      </c>
      <c r="G50" s="33">
        <f t="shared" si="2"/>
        <v>0</v>
      </c>
      <c r="H50" s="33">
        <f t="shared" si="2"/>
        <v>14</v>
      </c>
      <c r="I50" s="40">
        <f t="shared" si="1"/>
        <v>0</v>
      </c>
      <c r="J50" s="40">
        <f t="shared" si="1"/>
        <v>0</v>
      </c>
      <c r="K50" s="40">
        <f t="shared" si="1"/>
        <v>4.4402156676181413E-3</v>
      </c>
      <c r="L50" s="40">
        <f>1000*M50/VLOOKUP(D50,'Normalised Rates'!$A$7:$B$12,2,FALSE)</f>
        <v>4.4402156676181413E-3</v>
      </c>
      <c r="M50" s="34">
        <v>14</v>
      </c>
    </row>
    <row r="51" spans="1:13" ht="15" customHeight="1" x14ac:dyDescent="0.25">
      <c r="A51" s="30" t="s">
        <v>136</v>
      </c>
      <c r="B51" s="30" t="s">
        <v>75</v>
      </c>
      <c r="C51" s="9" t="s">
        <v>67</v>
      </c>
      <c r="D51" s="32">
        <v>2025</v>
      </c>
      <c r="E51" s="35" t="s">
        <v>163</v>
      </c>
      <c r="F51" s="33">
        <f t="shared" si="2"/>
        <v>96</v>
      </c>
      <c r="G51" s="33">
        <f t="shared" si="2"/>
        <v>0</v>
      </c>
      <c r="H51" s="33">
        <f t="shared" si="2"/>
        <v>0</v>
      </c>
      <c r="I51" s="40">
        <f t="shared" si="1"/>
        <v>3.0447193149381543E-2</v>
      </c>
      <c r="J51" s="40">
        <f t="shared" si="1"/>
        <v>0</v>
      </c>
      <c r="K51" s="40">
        <f t="shared" si="1"/>
        <v>0</v>
      </c>
      <c r="L51" s="40">
        <f>1000*M51/VLOOKUP(D51,'Normalised Rates'!$A$7:$B$12,2,FALSE)</f>
        <v>3.0447193149381543E-2</v>
      </c>
      <c r="M51" s="34">
        <v>96</v>
      </c>
    </row>
    <row r="52" spans="1:13" ht="15" customHeight="1" x14ac:dyDescent="0.25">
      <c r="A52" s="30" t="s">
        <v>136</v>
      </c>
      <c r="B52" s="30" t="s">
        <v>75</v>
      </c>
      <c r="C52" s="9" t="s">
        <v>67</v>
      </c>
      <c r="D52" s="32">
        <v>2026</v>
      </c>
      <c r="E52" s="33" t="s">
        <v>34</v>
      </c>
      <c r="F52" s="33">
        <f t="shared" si="2"/>
        <v>0</v>
      </c>
      <c r="G52" s="33">
        <f t="shared" si="2"/>
        <v>0</v>
      </c>
      <c r="H52" s="33">
        <f t="shared" si="2"/>
        <v>4</v>
      </c>
      <c r="I52" s="40">
        <f t="shared" si="1"/>
        <v>0</v>
      </c>
      <c r="J52" s="40">
        <f t="shared" si="1"/>
        <v>0</v>
      </c>
      <c r="K52" s="40">
        <f t="shared" si="1"/>
        <v>3.0447193149381541E-3</v>
      </c>
      <c r="L52" s="40">
        <f>1000*M52/VLOOKUP(D52,'Normalised Rates'!$A$7:$B$12,2,FALSE)</f>
        <v>3.0447193149381541E-3</v>
      </c>
      <c r="M52" s="34">
        <v>4</v>
      </c>
    </row>
    <row r="53" spans="1:13" ht="15" customHeight="1" x14ac:dyDescent="0.25">
      <c r="A53" s="30" t="s">
        <v>136</v>
      </c>
      <c r="B53" s="30" t="s">
        <v>75</v>
      </c>
      <c r="C53" s="9" t="s">
        <v>67</v>
      </c>
      <c r="D53" s="32">
        <v>2026</v>
      </c>
      <c r="E53" s="35" t="s">
        <v>163</v>
      </c>
      <c r="F53" s="33">
        <f t="shared" si="2"/>
        <v>46</v>
      </c>
      <c r="G53" s="33">
        <f t="shared" si="2"/>
        <v>0</v>
      </c>
      <c r="H53" s="33">
        <f t="shared" si="2"/>
        <v>0</v>
      </c>
      <c r="I53" s="40">
        <f t="shared" si="1"/>
        <v>3.5014272121788773E-2</v>
      </c>
      <c r="J53" s="40">
        <f t="shared" si="1"/>
        <v>0</v>
      </c>
      <c r="K53" s="40">
        <f t="shared" si="1"/>
        <v>0</v>
      </c>
      <c r="L53" s="40">
        <f>1000*M53/VLOOKUP(D53,'Normalised Rates'!$A$7:$B$12,2,FALSE)</f>
        <v>3.5014272121788773E-2</v>
      </c>
      <c r="M53" s="34">
        <v>46</v>
      </c>
    </row>
    <row r="54" spans="1:13" ht="15" customHeight="1" x14ac:dyDescent="0.25">
      <c r="A54" s="30" t="s">
        <v>136</v>
      </c>
      <c r="B54" s="30" t="s">
        <v>86</v>
      </c>
      <c r="C54" s="9" t="s">
        <v>84</v>
      </c>
      <c r="D54" s="32">
        <v>2021</v>
      </c>
      <c r="E54" s="33" t="s">
        <v>34</v>
      </c>
      <c r="F54" s="33">
        <f t="shared" si="2"/>
        <v>0</v>
      </c>
      <c r="G54" s="33">
        <f t="shared" si="2"/>
        <v>0</v>
      </c>
      <c r="H54" s="33">
        <f t="shared" si="2"/>
        <v>22</v>
      </c>
      <c r="I54" s="40">
        <f t="shared" si="1"/>
        <v>0</v>
      </c>
      <c r="J54" s="40">
        <f t="shared" si="1"/>
        <v>0</v>
      </c>
      <c r="K54" s="40">
        <f t="shared" si="1"/>
        <v>1.3801756587202008E-2</v>
      </c>
      <c r="L54" s="40">
        <f>1000*M54/VLOOKUP(D54,'Normalised Rates'!$A$7:$B$12,2,FALSE)</f>
        <v>1.3801756587202008E-2</v>
      </c>
      <c r="M54" s="34">
        <v>22</v>
      </c>
    </row>
    <row r="55" spans="1:13" ht="15" customHeight="1" x14ac:dyDescent="0.25">
      <c r="A55" s="30" t="s">
        <v>136</v>
      </c>
      <c r="B55" s="30" t="s">
        <v>86</v>
      </c>
      <c r="C55" s="9" t="s">
        <v>84</v>
      </c>
      <c r="D55" s="32">
        <v>2021</v>
      </c>
      <c r="E55" s="35" t="s">
        <v>163</v>
      </c>
      <c r="F55" s="33">
        <f t="shared" si="2"/>
        <v>10</v>
      </c>
      <c r="G55" s="33">
        <f t="shared" si="2"/>
        <v>0</v>
      </c>
      <c r="H55" s="33">
        <f t="shared" si="2"/>
        <v>0</v>
      </c>
      <c r="I55" s="40">
        <f t="shared" si="1"/>
        <v>6.2735257214554582E-3</v>
      </c>
      <c r="J55" s="40">
        <f t="shared" si="1"/>
        <v>0</v>
      </c>
      <c r="K55" s="40">
        <f t="shared" si="1"/>
        <v>0</v>
      </c>
      <c r="L55" s="40">
        <f>1000*M55/VLOOKUP(D55,'Normalised Rates'!$A$7:$B$12,2,FALSE)</f>
        <v>6.2735257214554582E-3</v>
      </c>
      <c r="M55" s="34">
        <v>10</v>
      </c>
    </row>
    <row r="56" spans="1:13" ht="15" customHeight="1" x14ac:dyDescent="0.25">
      <c r="A56" s="30" t="s">
        <v>136</v>
      </c>
      <c r="B56" s="30" t="s">
        <v>86</v>
      </c>
      <c r="C56" s="9" t="s">
        <v>84</v>
      </c>
      <c r="D56" s="32">
        <v>2022</v>
      </c>
      <c r="E56" s="33" t="s">
        <v>34</v>
      </c>
      <c r="F56" s="33">
        <f t="shared" si="2"/>
        <v>0</v>
      </c>
      <c r="G56" s="33">
        <f t="shared" si="2"/>
        <v>0</v>
      </c>
      <c r="H56" s="33">
        <f t="shared" si="2"/>
        <v>39</v>
      </c>
      <c r="I56" s="40">
        <f t="shared" si="1"/>
        <v>0</v>
      </c>
      <c r="J56" s="40">
        <f t="shared" si="1"/>
        <v>0</v>
      </c>
      <c r="K56" s="40">
        <f t="shared" si="1"/>
        <v>2.0799999999999999E-2</v>
      </c>
      <c r="L56" s="40">
        <f>1000*M56/VLOOKUP(D56,'Normalised Rates'!$A$7:$B$12,2,FALSE)</f>
        <v>2.0799999999999999E-2</v>
      </c>
      <c r="M56" s="34">
        <v>39</v>
      </c>
    </row>
    <row r="57" spans="1:13" ht="15" customHeight="1" x14ac:dyDescent="0.25">
      <c r="A57" s="30" t="s">
        <v>136</v>
      </c>
      <c r="B57" s="30" t="s">
        <v>86</v>
      </c>
      <c r="C57" s="9" t="s">
        <v>84</v>
      </c>
      <c r="D57" s="32">
        <v>2022</v>
      </c>
      <c r="E57" s="35" t="s">
        <v>163</v>
      </c>
      <c r="F57" s="33">
        <f t="shared" si="2"/>
        <v>23</v>
      </c>
      <c r="G57" s="33">
        <f t="shared" si="2"/>
        <v>0</v>
      </c>
      <c r="H57" s="33">
        <f t="shared" si="2"/>
        <v>0</v>
      </c>
      <c r="I57" s="40">
        <f t="shared" si="1"/>
        <v>1.2266666666666667E-2</v>
      </c>
      <c r="J57" s="40">
        <f t="shared" si="1"/>
        <v>0</v>
      </c>
      <c r="K57" s="40">
        <f t="shared" si="1"/>
        <v>0</v>
      </c>
      <c r="L57" s="40">
        <f>1000*M57/VLOOKUP(D57,'Normalised Rates'!$A$7:$B$12,2,FALSE)</f>
        <v>1.2266666666666667E-2</v>
      </c>
      <c r="M57" s="34">
        <v>23</v>
      </c>
    </row>
    <row r="58" spans="1:13" ht="15" customHeight="1" x14ac:dyDescent="0.25">
      <c r="A58" s="30" t="s">
        <v>136</v>
      </c>
      <c r="B58" s="30" t="s">
        <v>86</v>
      </c>
      <c r="C58" s="9" t="s">
        <v>84</v>
      </c>
      <c r="D58" s="32">
        <v>2023</v>
      </c>
      <c r="E58" s="33" t="s">
        <v>34</v>
      </c>
      <c r="F58" s="33">
        <f t="shared" si="2"/>
        <v>0</v>
      </c>
      <c r="G58" s="33">
        <f t="shared" si="2"/>
        <v>0</v>
      </c>
      <c r="H58" s="33">
        <f t="shared" si="2"/>
        <v>40</v>
      </c>
      <c r="I58" s="40">
        <f t="shared" si="1"/>
        <v>0</v>
      </c>
      <c r="J58" s="40">
        <f t="shared" si="1"/>
        <v>0</v>
      </c>
      <c r="K58" s="40">
        <f t="shared" si="1"/>
        <v>1.7497812773403325E-2</v>
      </c>
      <c r="L58" s="40">
        <f>1000*M58/VLOOKUP(D58,'Normalised Rates'!$A$7:$B$12,2,FALSE)</f>
        <v>1.7497812773403325E-2</v>
      </c>
      <c r="M58" s="34">
        <v>40</v>
      </c>
    </row>
    <row r="59" spans="1:13" ht="15" customHeight="1" x14ac:dyDescent="0.25">
      <c r="A59" s="30" t="s">
        <v>136</v>
      </c>
      <c r="B59" s="30" t="s">
        <v>86</v>
      </c>
      <c r="C59" s="9" t="s">
        <v>84</v>
      </c>
      <c r="D59" s="32">
        <v>2023</v>
      </c>
      <c r="E59" s="35" t="s">
        <v>163</v>
      </c>
      <c r="F59" s="33">
        <f t="shared" si="2"/>
        <v>59</v>
      </c>
      <c r="G59" s="33">
        <f t="shared" si="2"/>
        <v>0</v>
      </c>
      <c r="H59" s="33">
        <f t="shared" si="2"/>
        <v>0</v>
      </c>
      <c r="I59" s="40">
        <f t="shared" si="1"/>
        <v>2.5809273840769902E-2</v>
      </c>
      <c r="J59" s="40">
        <f t="shared" si="1"/>
        <v>0</v>
      </c>
      <c r="K59" s="40">
        <f t="shared" si="1"/>
        <v>0</v>
      </c>
      <c r="L59" s="40">
        <f>1000*M59/VLOOKUP(D59,'Normalised Rates'!$A$7:$B$12,2,FALSE)</f>
        <v>2.5809273840769902E-2</v>
      </c>
      <c r="M59" s="34">
        <v>59</v>
      </c>
    </row>
    <row r="60" spans="1:13" ht="15" customHeight="1" x14ac:dyDescent="0.25">
      <c r="A60" s="30" t="s">
        <v>136</v>
      </c>
      <c r="B60" s="30" t="s">
        <v>86</v>
      </c>
      <c r="C60" s="9" t="s">
        <v>84</v>
      </c>
      <c r="D60" s="32">
        <v>2024</v>
      </c>
      <c r="E60" s="33" t="s">
        <v>34</v>
      </c>
      <c r="F60" s="33">
        <f t="shared" si="2"/>
        <v>0</v>
      </c>
      <c r="G60" s="33">
        <f t="shared" si="2"/>
        <v>0</v>
      </c>
      <c r="H60" s="33">
        <f t="shared" si="2"/>
        <v>26</v>
      </c>
      <c r="I60" s="40">
        <f t="shared" si="1"/>
        <v>0</v>
      </c>
      <c r="J60" s="40">
        <f t="shared" si="1"/>
        <v>0</v>
      </c>
      <c r="K60" s="40">
        <f t="shared" si="1"/>
        <v>9.6906448005963479E-3</v>
      </c>
      <c r="L60" s="40">
        <f>1000*M60/VLOOKUP(D60,'Normalised Rates'!$A$7:$B$12,2,FALSE)</f>
        <v>9.6906448005963479E-3</v>
      </c>
      <c r="M60" s="34">
        <v>26</v>
      </c>
    </row>
    <row r="61" spans="1:13" ht="15" customHeight="1" x14ac:dyDescent="0.25">
      <c r="A61" s="30" t="s">
        <v>136</v>
      </c>
      <c r="B61" s="30" t="s">
        <v>86</v>
      </c>
      <c r="C61" s="9" t="s">
        <v>84</v>
      </c>
      <c r="D61" s="32">
        <v>2024</v>
      </c>
      <c r="E61" s="35" t="s">
        <v>163</v>
      </c>
      <c r="F61" s="33">
        <f t="shared" si="2"/>
        <v>32</v>
      </c>
      <c r="G61" s="33">
        <f t="shared" si="2"/>
        <v>0</v>
      </c>
      <c r="H61" s="33">
        <f t="shared" si="2"/>
        <v>0</v>
      </c>
      <c r="I61" s="40">
        <f t="shared" si="1"/>
        <v>1.1926947446887812E-2</v>
      </c>
      <c r="J61" s="40">
        <f t="shared" si="1"/>
        <v>0</v>
      </c>
      <c r="K61" s="40">
        <f t="shared" si="1"/>
        <v>0</v>
      </c>
      <c r="L61" s="40">
        <f>1000*M61/VLOOKUP(D61,'Normalised Rates'!$A$7:$B$12,2,FALSE)</f>
        <v>1.1926947446887812E-2</v>
      </c>
      <c r="M61" s="34">
        <v>32</v>
      </c>
    </row>
    <row r="62" spans="1:13" ht="15" customHeight="1" x14ac:dyDescent="0.25">
      <c r="A62" s="30" t="s">
        <v>136</v>
      </c>
      <c r="B62" s="30" t="s">
        <v>86</v>
      </c>
      <c r="C62" s="9" t="s">
        <v>84</v>
      </c>
      <c r="D62" s="32">
        <v>2025</v>
      </c>
      <c r="E62" s="33" t="s">
        <v>34</v>
      </c>
      <c r="F62" s="33">
        <f t="shared" si="2"/>
        <v>0</v>
      </c>
      <c r="G62" s="33">
        <f t="shared" si="2"/>
        <v>0</v>
      </c>
      <c r="H62" s="33">
        <f t="shared" si="2"/>
        <v>14</v>
      </c>
      <c r="I62" s="40">
        <f t="shared" si="1"/>
        <v>0</v>
      </c>
      <c r="J62" s="40">
        <f t="shared" si="1"/>
        <v>0</v>
      </c>
      <c r="K62" s="40">
        <f t="shared" si="1"/>
        <v>4.4402156676181413E-3</v>
      </c>
      <c r="L62" s="40">
        <f>1000*M62/VLOOKUP(D62,'Normalised Rates'!$A$7:$B$12,2,FALSE)</f>
        <v>4.4402156676181413E-3</v>
      </c>
      <c r="M62" s="34">
        <v>14</v>
      </c>
    </row>
    <row r="63" spans="1:13" ht="15" customHeight="1" x14ac:dyDescent="0.25">
      <c r="A63" s="30" t="s">
        <v>136</v>
      </c>
      <c r="B63" s="30" t="s">
        <v>86</v>
      </c>
      <c r="C63" s="9" t="s">
        <v>84</v>
      </c>
      <c r="D63" s="32">
        <v>2025</v>
      </c>
      <c r="E63" s="35" t="s">
        <v>163</v>
      </c>
      <c r="F63" s="33">
        <f t="shared" si="2"/>
        <v>64</v>
      </c>
      <c r="G63" s="33">
        <f t="shared" si="2"/>
        <v>0</v>
      </c>
      <c r="H63" s="33">
        <f t="shared" si="2"/>
        <v>0</v>
      </c>
      <c r="I63" s="40">
        <f t="shared" si="1"/>
        <v>2.0298128766254361E-2</v>
      </c>
      <c r="J63" s="40">
        <f t="shared" si="1"/>
        <v>0</v>
      </c>
      <c r="K63" s="40">
        <f t="shared" si="1"/>
        <v>0</v>
      </c>
      <c r="L63" s="40">
        <f>1000*M63/VLOOKUP(D63,'Normalised Rates'!$A$7:$B$12,2,FALSE)</f>
        <v>2.0298128766254361E-2</v>
      </c>
      <c r="M63" s="34">
        <v>64</v>
      </c>
    </row>
    <row r="64" spans="1:13" ht="15" customHeight="1" x14ac:dyDescent="0.25">
      <c r="A64" s="30" t="s">
        <v>136</v>
      </c>
      <c r="B64" s="30" t="s">
        <v>86</v>
      </c>
      <c r="C64" s="9" t="s">
        <v>84</v>
      </c>
      <c r="D64" s="32">
        <v>2026</v>
      </c>
      <c r="E64" s="33" t="s">
        <v>34</v>
      </c>
      <c r="F64" s="33">
        <f t="shared" si="2"/>
        <v>0</v>
      </c>
      <c r="G64" s="33">
        <f t="shared" si="2"/>
        <v>0</v>
      </c>
      <c r="H64" s="33">
        <f t="shared" si="2"/>
        <v>7</v>
      </c>
      <c r="I64" s="40">
        <f t="shared" si="1"/>
        <v>0</v>
      </c>
      <c r="J64" s="40">
        <f t="shared" si="1"/>
        <v>0</v>
      </c>
      <c r="K64" s="40">
        <f t="shared" si="1"/>
        <v>5.3282588011417699E-3</v>
      </c>
      <c r="L64" s="40">
        <f>1000*M64/VLOOKUP(D64,'Normalised Rates'!$A$7:$B$12,2,FALSE)</f>
        <v>5.3282588011417699E-3</v>
      </c>
      <c r="M64" s="34">
        <v>7</v>
      </c>
    </row>
    <row r="65" spans="1:13" ht="15" customHeight="1" x14ac:dyDescent="0.25">
      <c r="A65" s="30" t="s">
        <v>136</v>
      </c>
      <c r="B65" s="30" t="s">
        <v>86</v>
      </c>
      <c r="C65" s="9" t="s">
        <v>84</v>
      </c>
      <c r="D65" s="32">
        <v>2026</v>
      </c>
      <c r="E65" s="35" t="s">
        <v>163</v>
      </c>
      <c r="F65" s="33">
        <f t="shared" si="2"/>
        <v>30</v>
      </c>
      <c r="G65" s="33">
        <f t="shared" si="2"/>
        <v>0</v>
      </c>
      <c r="H65" s="33">
        <f t="shared" si="2"/>
        <v>0</v>
      </c>
      <c r="I65" s="40">
        <f t="shared" si="1"/>
        <v>2.2835394862036156E-2</v>
      </c>
      <c r="J65" s="40">
        <f t="shared" si="1"/>
        <v>0</v>
      </c>
      <c r="K65" s="40">
        <f t="shared" si="1"/>
        <v>0</v>
      </c>
      <c r="L65" s="40">
        <f>1000*M65/VLOOKUP(D65,'Normalised Rates'!$A$7:$B$12,2,FALSE)</f>
        <v>2.2835394862036156E-2</v>
      </c>
      <c r="M65" s="34">
        <v>30</v>
      </c>
    </row>
    <row r="66" spans="1:13" ht="15" customHeight="1" x14ac:dyDescent="0.25">
      <c r="A66" s="30" t="s">
        <v>136</v>
      </c>
      <c r="B66" s="30" t="s">
        <v>81</v>
      </c>
      <c r="C66" s="9" t="s">
        <v>67</v>
      </c>
      <c r="D66" s="32">
        <v>2021</v>
      </c>
      <c r="E66" s="33" t="s">
        <v>34</v>
      </c>
      <c r="F66" s="33">
        <f t="shared" si="2"/>
        <v>0</v>
      </c>
      <c r="G66" s="33">
        <f t="shared" si="2"/>
        <v>0</v>
      </c>
      <c r="H66" s="33">
        <f t="shared" si="2"/>
        <v>8</v>
      </c>
      <c r="I66" s="40">
        <f t="shared" si="1"/>
        <v>0</v>
      </c>
      <c r="J66" s="40">
        <f t="shared" si="1"/>
        <v>0</v>
      </c>
      <c r="K66" s="40">
        <f t="shared" si="1"/>
        <v>5.018820577164366E-3</v>
      </c>
      <c r="L66" s="40">
        <f>1000*M66/VLOOKUP(D66,'Normalised Rates'!$A$7:$B$12,2,FALSE)</f>
        <v>5.018820577164366E-3</v>
      </c>
      <c r="M66" s="34">
        <v>8</v>
      </c>
    </row>
    <row r="67" spans="1:13" ht="15" customHeight="1" x14ac:dyDescent="0.25">
      <c r="A67" s="30" t="s">
        <v>136</v>
      </c>
      <c r="B67" s="30" t="s">
        <v>81</v>
      </c>
      <c r="C67" s="9" t="s">
        <v>67</v>
      </c>
      <c r="D67" s="32">
        <v>2021</v>
      </c>
      <c r="E67" s="35" t="s">
        <v>163</v>
      </c>
      <c r="F67" s="33">
        <f t="shared" si="2"/>
        <v>1</v>
      </c>
      <c r="G67" s="33">
        <f t="shared" si="2"/>
        <v>0</v>
      </c>
      <c r="H67" s="33">
        <f t="shared" si="2"/>
        <v>0</v>
      </c>
      <c r="I67" s="40">
        <f t="shared" si="1"/>
        <v>6.2735257214554575E-4</v>
      </c>
      <c r="J67" s="40">
        <f t="shared" si="1"/>
        <v>0</v>
      </c>
      <c r="K67" s="40">
        <f t="shared" si="1"/>
        <v>0</v>
      </c>
      <c r="L67" s="40">
        <f>1000*M67/VLOOKUP(D67,'Normalised Rates'!$A$7:$B$12,2,FALSE)</f>
        <v>6.2735257214554575E-4</v>
      </c>
      <c r="M67" s="34">
        <v>1</v>
      </c>
    </row>
    <row r="68" spans="1:13" ht="15" customHeight="1" x14ac:dyDescent="0.25">
      <c r="A68" s="30" t="s">
        <v>136</v>
      </c>
      <c r="B68" s="30" t="s">
        <v>81</v>
      </c>
      <c r="C68" s="9" t="s">
        <v>67</v>
      </c>
      <c r="D68" s="32">
        <v>2022</v>
      </c>
      <c r="E68" s="33" t="s">
        <v>34</v>
      </c>
      <c r="F68" s="33">
        <f t="shared" si="2"/>
        <v>0</v>
      </c>
      <c r="G68" s="33">
        <f t="shared" si="2"/>
        <v>0</v>
      </c>
      <c r="H68" s="33">
        <f t="shared" si="2"/>
        <v>6</v>
      </c>
      <c r="I68" s="40">
        <f t="shared" si="1"/>
        <v>0</v>
      </c>
      <c r="J68" s="40">
        <f t="shared" si="1"/>
        <v>0</v>
      </c>
      <c r="K68" s="40">
        <f t="shared" si="1"/>
        <v>3.2000000000000002E-3</v>
      </c>
      <c r="L68" s="40">
        <f>1000*M68/VLOOKUP(D68,'Normalised Rates'!$A$7:$B$12,2,FALSE)</f>
        <v>3.2000000000000002E-3</v>
      </c>
      <c r="M68" s="34">
        <v>6</v>
      </c>
    </row>
    <row r="69" spans="1:13" ht="15" customHeight="1" x14ac:dyDescent="0.25">
      <c r="A69" s="30" t="s">
        <v>136</v>
      </c>
      <c r="B69" s="30" t="s">
        <v>81</v>
      </c>
      <c r="C69" s="9" t="s">
        <v>67</v>
      </c>
      <c r="D69" s="32">
        <v>2022</v>
      </c>
      <c r="E69" s="35" t="s">
        <v>163</v>
      </c>
      <c r="F69" s="33">
        <f t="shared" si="2"/>
        <v>21</v>
      </c>
      <c r="G69" s="33">
        <f t="shared" si="2"/>
        <v>0</v>
      </c>
      <c r="H69" s="33">
        <f t="shared" si="2"/>
        <v>0</v>
      </c>
      <c r="I69" s="40">
        <f t="shared" si="1"/>
        <v>1.12E-2</v>
      </c>
      <c r="J69" s="40">
        <f t="shared" si="1"/>
        <v>0</v>
      </c>
      <c r="K69" s="40">
        <f t="shared" si="1"/>
        <v>0</v>
      </c>
      <c r="L69" s="40">
        <f>1000*M69/VLOOKUP(D69,'Normalised Rates'!$A$7:$B$12,2,FALSE)</f>
        <v>1.12E-2</v>
      </c>
      <c r="M69" s="34">
        <v>21</v>
      </c>
    </row>
    <row r="70" spans="1:13" ht="15" customHeight="1" x14ac:dyDescent="0.25">
      <c r="A70" s="30" t="s">
        <v>136</v>
      </c>
      <c r="B70" s="30" t="s">
        <v>81</v>
      </c>
      <c r="C70" s="9" t="s">
        <v>67</v>
      </c>
      <c r="D70" s="32">
        <v>2023</v>
      </c>
      <c r="E70" s="33" t="s">
        <v>34</v>
      </c>
      <c r="F70" s="33">
        <f t="shared" si="2"/>
        <v>0</v>
      </c>
      <c r="G70" s="33">
        <f t="shared" si="2"/>
        <v>0</v>
      </c>
      <c r="H70" s="33">
        <f t="shared" si="2"/>
        <v>23</v>
      </c>
      <c r="I70" s="40">
        <f t="shared" si="1"/>
        <v>0</v>
      </c>
      <c r="J70" s="40">
        <f t="shared" si="1"/>
        <v>0</v>
      </c>
      <c r="K70" s="40">
        <f t="shared" si="1"/>
        <v>1.0061242344706912E-2</v>
      </c>
      <c r="L70" s="40">
        <f>1000*M70/VLOOKUP(D70,'Normalised Rates'!$A$7:$B$12,2,FALSE)</f>
        <v>1.0061242344706912E-2</v>
      </c>
      <c r="M70" s="34">
        <v>23</v>
      </c>
    </row>
    <row r="71" spans="1:13" ht="15" customHeight="1" x14ac:dyDescent="0.25">
      <c r="A71" s="30" t="s">
        <v>136</v>
      </c>
      <c r="B71" s="30" t="s">
        <v>81</v>
      </c>
      <c r="C71" s="9" t="s">
        <v>67</v>
      </c>
      <c r="D71" s="32">
        <v>2023</v>
      </c>
      <c r="E71" s="35" t="s">
        <v>163</v>
      </c>
      <c r="F71" s="33">
        <f t="shared" si="2"/>
        <v>64</v>
      </c>
      <c r="G71" s="33">
        <f t="shared" si="2"/>
        <v>0</v>
      </c>
      <c r="H71" s="33">
        <f t="shared" si="2"/>
        <v>0</v>
      </c>
      <c r="I71" s="40">
        <f t="shared" ref="I71:K134" si="3">IF(_xlfn.CONCAT($E71,"%")=I$5,$L71,0)</f>
        <v>2.799650043744532E-2</v>
      </c>
      <c r="J71" s="40">
        <f t="shared" si="3"/>
        <v>0</v>
      </c>
      <c r="K71" s="40">
        <f t="shared" si="3"/>
        <v>0</v>
      </c>
      <c r="L71" s="40">
        <f>1000*M71/VLOOKUP(D71,'Normalised Rates'!$A$7:$B$12,2,FALSE)</f>
        <v>2.799650043744532E-2</v>
      </c>
      <c r="M71" s="34">
        <v>64</v>
      </c>
    </row>
    <row r="72" spans="1:13" ht="15" customHeight="1" x14ac:dyDescent="0.25">
      <c r="A72" s="30" t="s">
        <v>136</v>
      </c>
      <c r="B72" s="30" t="s">
        <v>81</v>
      </c>
      <c r="C72" s="9" t="s">
        <v>67</v>
      </c>
      <c r="D72" s="32">
        <v>2024</v>
      </c>
      <c r="E72" s="33" t="s">
        <v>34</v>
      </c>
      <c r="F72" s="33">
        <f t="shared" si="2"/>
        <v>0</v>
      </c>
      <c r="G72" s="33">
        <f t="shared" si="2"/>
        <v>0</v>
      </c>
      <c r="H72" s="33">
        <f t="shared" si="2"/>
        <v>18</v>
      </c>
      <c r="I72" s="40">
        <f t="shared" si="3"/>
        <v>0</v>
      </c>
      <c r="J72" s="40">
        <f t="shared" si="3"/>
        <v>0</v>
      </c>
      <c r="K72" s="40">
        <f t="shared" si="3"/>
        <v>6.7089079388743941E-3</v>
      </c>
      <c r="L72" s="40">
        <f>1000*M72/VLOOKUP(D72,'Normalised Rates'!$A$7:$B$12,2,FALSE)</f>
        <v>6.7089079388743941E-3</v>
      </c>
      <c r="M72" s="34">
        <v>18</v>
      </c>
    </row>
    <row r="73" spans="1:13" ht="15" customHeight="1" x14ac:dyDescent="0.25">
      <c r="A73" s="30" t="s">
        <v>136</v>
      </c>
      <c r="B73" s="30" t="s">
        <v>81</v>
      </c>
      <c r="C73" s="9" t="s">
        <v>67</v>
      </c>
      <c r="D73" s="32">
        <v>2024</v>
      </c>
      <c r="E73" s="35" t="s">
        <v>163</v>
      </c>
      <c r="F73" s="33">
        <f t="shared" ref="F73:H136" si="4">IF($E73=F$5,$M73,0)</f>
        <v>56</v>
      </c>
      <c r="G73" s="33">
        <f t="shared" si="4"/>
        <v>0</v>
      </c>
      <c r="H73" s="33">
        <f t="shared" si="4"/>
        <v>0</v>
      </c>
      <c r="I73" s="40">
        <f t="shared" si="3"/>
        <v>2.0872158032053671E-2</v>
      </c>
      <c r="J73" s="40">
        <f t="shared" si="3"/>
        <v>0</v>
      </c>
      <c r="K73" s="40">
        <f t="shared" si="3"/>
        <v>0</v>
      </c>
      <c r="L73" s="40">
        <f>1000*M73/VLOOKUP(D73,'Normalised Rates'!$A$7:$B$12,2,FALSE)</f>
        <v>2.0872158032053671E-2</v>
      </c>
      <c r="M73" s="34">
        <v>56</v>
      </c>
    </row>
    <row r="74" spans="1:13" ht="15" customHeight="1" x14ac:dyDescent="0.25">
      <c r="A74" s="30" t="s">
        <v>136</v>
      </c>
      <c r="B74" s="30" t="s">
        <v>81</v>
      </c>
      <c r="C74" s="9" t="s">
        <v>67</v>
      </c>
      <c r="D74" s="32">
        <v>2025</v>
      </c>
      <c r="E74" s="33" t="s">
        <v>34</v>
      </c>
      <c r="F74" s="33">
        <f t="shared" si="4"/>
        <v>0</v>
      </c>
      <c r="G74" s="33">
        <f t="shared" si="4"/>
        <v>0</v>
      </c>
      <c r="H74" s="33">
        <f t="shared" si="4"/>
        <v>18</v>
      </c>
      <c r="I74" s="40">
        <f t="shared" si="3"/>
        <v>0</v>
      </c>
      <c r="J74" s="40">
        <f t="shared" si="3"/>
        <v>0</v>
      </c>
      <c r="K74" s="40">
        <f t="shared" si="3"/>
        <v>5.708848715509039E-3</v>
      </c>
      <c r="L74" s="40">
        <f>1000*M74/VLOOKUP(D74,'Normalised Rates'!$A$7:$B$12,2,FALSE)</f>
        <v>5.708848715509039E-3</v>
      </c>
      <c r="M74" s="34">
        <v>18</v>
      </c>
    </row>
    <row r="75" spans="1:13" ht="15" customHeight="1" x14ac:dyDescent="0.25">
      <c r="A75" s="30" t="s">
        <v>136</v>
      </c>
      <c r="B75" s="30" t="s">
        <v>81</v>
      </c>
      <c r="C75" s="9" t="s">
        <v>67</v>
      </c>
      <c r="D75" s="32">
        <v>2025</v>
      </c>
      <c r="E75" s="35" t="s">
        <v>163</v>
      </c>
      <c r="F75" s="33">
        <f t="shared" si="4"/>
        <v>72</v>
      </c>
      <c r="G75" s="33">
        <f t="shared" si="4"/>
        <v>0</v>
      </c>
      <c r="H75" s="33">
        <f t="shared" si="4"/>
        <v>0</v>
      </c>
      <c r="I75" s="40">
        <f t="shared" si="3"/>
        <v>2.2835394862036156E-2</v>
      </c>
      <c r="J75" s="40">
        <f t="shared" si="3"/>
        <v>0</v>
      </c>
      <c r="K75" s="40">
        <f t="shared" si="3"/>
        <v>0</v>
      </c>
      <c r="L75" s="40">
        <f>1000*M75/VLOOKUP(D75,'Normalised Rates'!$A$7:$B$12,2,FALSE)</f>
        <v>2.2835394862036156E-2</v>
      </c>
      <c r="M75" s="34">
        <v>72</v>
      </c>
    </row>
    <row r="76" spans="1:13" ht="15" customHeight="1" x14ac:dyDescent="0.25">
      <c r="A76" s="30" t="s">
        <v>136</v>
      </c>
      <c r="B76" s="30" t="s">
        <v>81</v>
      </c>
      <c r="C76" s="9" t="s">
        <v>67</v>
      </c>
      <c r="D76" s="32">
        <v>2026</v>
      </c>
      <c r="E76" s="33" t="s">
        <v>34</v>
      </c>
      <c r="F76" s="33">
        <f t="shared" si="4"/>
        <v>0</v>
      </c>
      <c r="G76" s="33">
        <f t="shared" si="4"/>
        <v>0</v>
      </c>
      <c r="H76" s="33">
        <f t="shared" si="4"/>
        <v>9</v>
      </c>
      <c r="I76" s="40">
        <f t="shared" si="3"/>
        <v>0</v>
      </c>
      <c r="J76" s="40">
        <f t="shared" si="3"/>
        <v>0</v>
      </c>
      <c r="K76" s="40">
        <f t="shared" si="3"/>
        <v>6.8506184586108465E-3</v>
      </c>
      <c r="L76" s="40">
        <f>1000*M76/VLOOKUP(D76,'Normalised Rates'!$A$7:$B$12,2,FALSE)</f>
        <v>6.8506184586108465E-3</v>
      </c>
      <c r="M76" s="34">
        <v>9</v>
      </c>
    </row>
    <row r="77" spans="1:13" ht="15" customHeight="1" x14ac:dyDescent="0.25">
      <c r="A77" s="30" t="s">
        <v>136</v>
      </c>
      <c r="B77" s="30" t="s">
        <v>81</v>
      </c>
      <c r="C77" s="9" t="s">
        <v>67</v>
      </c>
      <c r="D77" s="32">
        <v>2026</v>
      </c>
      <c r="E77" s="35" t="s">
        <v>163</v>
      </c>
      <c r="F77" s="33">
        <f t="shared" si="4"/>
        <v>70</v>
      </c>
      <c r="G77" s="33">
        <f t="shared" si="4"/>
        <v>0</v>
      </c>
      <c r="H77" s="33">
        <f t="shared" si="4"/>
        <v>0</v>
      </c>
      <c r="I77" s="40">
        <f t="shared" si="3"/>
        <v>5.3282588011417699E-2</v>
      </c>
      <c r="J77" s="40">
        <f t="shared" si="3"/>
        <v>0</v>
      </c>
      <c r="K77" s="40">
        <f t="shared" si="3"/>
        <v>0</v>
      </c>
      <c r="L77" s="40">
        <f>1000*M77/VLOOKUP(D77,'Normalised Rates'!$A$7:$B$12,2,FALSE)</f>
        <v>5.3282588011417699E-2</v>
      </c>
      <c r="M77" s="34">
        <v>70</v>
      </c>
    </row>
    <row r="78" spans="1:13" ht="15" customHeight="1" x14ac:dyDescent="0.25">
      <c r="A78" s="30" t="s">
        <v>136</v>
      </c>
      <c r="B78" s="30" t="s">
        <v>90</v>
      </c>
      <c r="C78" s="9" t="s">
        <v>67</v>
      </c>
      <c r="D78" s="32">
        <v>2021</v>
      </c>
      <c r="E78" s="33" t="s">
        <v>34</v>
      </c>
      <c r="F78" s="33">
        <f t="shared" si="4"/>
        <v>0</v>
      </c>
      <c r="G78" s="33">
        <f t="shared" si="4"/>
        <v>0</v>
      </c>
      <c r="H78" s="33">
        <f t="shared" si="4"/>
        <v>13</v>
      </c>
      <c r="I78" s="40">
        <f t="shared" si="3"/>
        <v>0</v>
      </c>
      <c r="J78" s="40">
        <f t="shared" si="3"/>
        <v>0</v>
      </c>
      <c r="K78" s="40">
        <f t="shared" si="3"/>
        <v>8.1555834378920951E-3</v>
      </c>
      <c r="L78" s="40">
        <f>1000*M78/VLOOKUP(D78,'Normalised Rates'!$A$7:$B$12,2,FALSE)</f>
        <v>8.1555834378920951E-3</v>
      </c>
      <c r="M78" s="34">
        <v>13</v>
      </c>
    </row>
    <row r="79" spans="1:13" ht="15" customHeight="1" x14ac:dyDescent="0.25">
      <c r="A79" s="30" t="s">
        <v>136</v>
      </c>
      <c r="B79" s="30" t="s">
        <v>90</v>
      </c>
      <c r="C79" s="9" t="s">
        <v>67</v>
      </c>
      <c r="D79" s="32">
        <v>2021</v>
      </c>
      <c r="E79" s="35" t="s">
        <v>163</v>
      </c>
      <c r="F79" s="33">
        <f t="shared" si="4"/>
        <v>39</v>
      </c>
      <c r="G79" s="33">
        <f t="shared" si="4"/>
        <v>0</v>
      </c>
      <c r="H79" s="33">
        <f t="shared" si="4"/>
        <v>0</v>
      </c>
      <c r="I79" s="40">
        <f t="shared" si="3"/>
        <v>2.4466750313676285E-2</v>
      </c>
      <c r="J79" s="40">
        <f t="shared" si="3"/>
        <v>0</v>
      </c>
      <c r="K79" s="40">
        <f t="shared" si="3"/>
        <v>0</v>
      </c>
      <c r="L79" s="40">
        <f>1000*M79/VLOOKUP(D79,'Normalised Rates'!$A$7:$B$12,2,FALSE)</f>
        <v>2.4466750313676285E-2</v>
      </c>
      <c r="M79" s="34">
        <v>39</v>
      </c>
    </row>
    <row r="80" spans="1:13" ht="15" customHeight="1" x14ac:dyDescent="0.25">
      <c r="A80" s="30" t="s">
        <v>136</v>
      </c>
      <c r="B80" s="30" t="s">
        <v>90</v>
      </c>
      <c r="C80" s="9" t="s">
        <v>67</v>
      </c>
      <c r="D80" s="32">
        <v>2022</v>
      </c>
      <c r="E80" s="33" t="s">
        <v>34</v>
      </c>
      <c r="F80" s="33">
        <f t="shared" si="4"/>
        <v>0</v>
      </c>
      <c r="G80" s="33">
        <f t="shared" si="4"/>
        <v>0</v>
      </c>
      <c r="H80" s="33">
        <f t="shared" si="4"/>
        <v>12</v>
      </c>
      <c r="I80" s="40">
        <f t="shared" si="3"/>
        <v>0</v>
      </c>
      <c r="J80" s="40">
        <f t="shared" si="3"/>
        <v>0</v>
      </c>
      <c r="K80" s="40">
        <f t="shared" si="3"/>
        <v>6.4000000000000003E-3</v>
      </c>
      <c r="L80" s="40">
        <f>1000*M80/VLOOKUP(D80,'Normalised Rates'!$A$7:$B$12,2,FALSE)</f>
        <v>6.4000000000000003E-3</v>
      </c>
      <c r="M80" s="34">
        <v>12</v>
      </c>
    </row>
    <row r="81" spans="1:13" ht="15" customHeight="1" x14ac:dyDescent="0.25">
      <c r="A81" s="30" t="s">
        <v>136</v>
      </c>
      <c r="B81" s="30" t="s">
        <v>90</v>
      </c>
      <c r="C81" s="9" t="s">
        <v>67</v>
      </c>
      <c r="D81" s="32">
        <v>2022</v>
      </c>
      <c r="E81" s="35" t="s">
        <v>163</v>
      </c>
      <c r="F81" s="33">
        <f t="shared" si="4"/>
        <v>49</v>
      </c>
      <c r="G81" s="33">
        <f t="shared" si="4"/>
        <v>0</v>
      </c>
      <c r="H81" s="33">
        <f t="shared" si="4"/>
        <v>0</v>
      </c>
      <c r="I81" s="40">
        <f t="shared" si="3"/>
        <v>2.6133333333333335E-2</v>
      </c>
      <c r="J81" s="40">
        <f t="shared" si="3"/>
        <v>0</v>
      </c>
      <c r="K81" s="40">
        <f t="shared" si="3"/>
        <v>0</v>
      </c>
      <c r="L81" s="40">
        <f>1000*M81/VLOOKUP(D81,'Normalised Rates'!$A$7:$B$12,2,FALSE)</f>
        <v>2.6133333333333335E-2</v>
      </c>
      <c r="M81" s="34">
        <v>49</v>
      </c>
    </row>
    <row r="82" spans="1:13" ht="15" customHeight="1" x14ac:dyDescent="0.25">
      <c r="A82" s="30" t="s">
        <v>136</v>
      </c>
      <c r="B82" s="30" t="s">
        <v>90</v>
      </c>
      <c r="C82" s="9" t="s">
        <v>67</v>
      </c>
      <c r="D82" s="32">
        <v>2023</v>
      </c>
      <c r="E82" s="33" t="s">
        <v>34</v>
      </c>
      <c r="F82" s="33">
        <f t="shared" si="4"/>
        <v>0</v>
      </c>
      <c r="G82" s="33">
        <f t="shared" si="4"/>
        <v>0</v>
      </c>
      <c r="H82" s="33">
        <f t="shared" si="4"/>
        <v>28</v>
      </c>
      <c r="I82" s="40">
        <f t="shared" si="3"/>
        <v>0</v>
      </c>
      <c r="J82" s="40">
        <f t="shared" si="3"/>
        <v>0</v>
      </c>
      <c r="K82" s="40">
        <f t="shared" si="3"/>
        <v>1.2248468941382326E-2</v>
      </c>
      <c r="L82" s="40">
        <f>1000*M82/VLOOKUP(D82,'Normalised Rates'!$A$7:$B$12,2,FALSE)</f>
        <v>1.2248468941382326E-2</v>
      </c>
      <c r="M82" s="34">
        <v>28</v>
      </c>
    </row>
    <row r="83" spans="1:13" ht="15" customHeight="1" x14ac:dyDescent="0.25">
      <c r="A83" s="30" t="s">
        <v>136</v>
      </c>
      <c r="B83" s="30" t="s">
        <v>90</v>
      </c>
      <c r="C83" s="9" t="s">
        <v>67</v>
      </c>
      <c r="D83" s="32">
        <v>2023</v>
      </c>
      <c r="E83" s="35" t="s">
        <v>163</v>
      </c>
      <c r="F83" s="33">
        <f t="shared" si="4"/>
        <v>71</v>
      </c>
      <c r="G83" s="33">
        <f t="shared" si="4"/>
        <v>0</v>
      </c>
      <c r="H83" s="33">
        <f t="shared" si="4"/>
        <v>0</v>
      </c>
      <c r="I83" s="40">
        <f t="shared" si="3"/>
        <v>3.10586176727909E-2</v>
      </c>
      <c r="J83" s="40">
        <f t="shared" si="3"/>
        <v>0</v>
      </c>
      <c r="K83" s="40">
        <f t="shared" si="3"/>
        <v>0</v>
      </c>
      <c r="L83" s="40">
        <f>1000*M83/VLOOKUP(D83,'Normalised Rates'!$A$7:$B$12,2,FALSE)</f>
        <v>3.10586176727909E-2</v>
      </c>
      <c r="M83" s="34">
        <v>71</v>
      </c>
    </row>
    <row r="84" spans="1:13" ht="15" customHeight="1" x14ac:dyDescent="0.25">
      <c r="A84" s="30" t="s">
        <v>136</v>
      </c>
      <c r="B84" s="30" t="s">
        <v>90</v>
      </c>
      <c r="C84" s="9" t="s">
        <v>67</v>
      </c>
      <c r="D84" s="32">
        <v>2024</v>
      </c>
      <c r="E84" s="33" t="s">
        <v>34</v>
      </c>
      <c r="F84" s="33">
        <f t="shared" si="4"/>
        <v>0</v>
      </c>
      <c r="G84" s="33">
        <f t="shared" si="4"/>
        <v>0</v>
      </c>
      <c r="H84" s="33">
        <f t="shared" si="4"/>
        <v>22</v>
      </c>
      <c r="I84" s="40">
        <f t="shared" si="3"/>
        <v>0</v>
      </c>
      <c r="J84" s="40">
        <f t="shared" si="3"/>
        <v>0</v>
      </c>
      <c r="K84" s="40">
        <f t="shared" si="3"/>
        <v>8.1997763697353714E-3</v>
      </c>
      <c r="L84" s="40">
        <f>1000*M84/VLOOKUP(D84,'Normalised Rates'!$A$7:$B$12,2,FALSE)</f>
        <v>8.1997763697353714E-3</v>
      </c>
      <c r="M84" s="34">
        <v>22</v>
      </c>
    </row>
    <row r="85" spans="1:13" ht="15" customHeight="1" x14ac:dyDescent="0.25">
      <c r="A85" s="30" t="s">
        <v>136</v>
      </c>
      <c r="B85" s="30" t="s">
        <v>90</v>
      </c>
      <c r="C85" s="9" t="s">
        <v>67</v>
      </c>
      <c r="D85" s="32">
        <v>2024</v>
      </c>
      <c r="E85" s="35" t="s">
        <v>163</v>
      </c>
      <c r="F85" s="33">
        <f t="shared" si="4"/>
        <v>40</v>
      </c>
      <c r="G85" s="33">
        <f t="shared" si="4"/>
        <v>0</v>
      </c>
      <c r="H85" s="33">
        <f t="shared" si="4"/>
        <v>0</v>
      </c>
      <c r="I85" s="40">
        <f t="shared" si="3"/>
        <v>1.4908684308609765E-2</v>
      </c>
      <c r="J85" s="40">
        <f t="shared" si="3"/>
        <v>0</v>
      </c>
      <c r="K85" s="40">
        <f t="shared" si="3"/>
        <v>0</v>
      </c>
      <c r="L85" s="40">
        <f>1000*M85/VLOOKUP(D85,'Normalised Rates'!$A$7:$B$12,2,FALSE)</f>
        <v>1.4908684308609765E-2</v>
      </c>
      <c r="M85" s="34">
        <v>40</v>
      </c>
    </row>
    <row r="86" spans="1:13" ht="15" customHeight="1" x14ac:dyDescent="0.25">
      <c r="A86" s="30" t="s">
        <v>136</v>
      </c>
      <c r="B86" s="30" t="s">
        <v>90</v>
      </c>
      <c r="C86" s="9" t="s">
        <v>67</v>
      </c>
      <c r="D86" s="32">
        <v>2025</v>
      </c>
      <c r="E86" s="33" t="s">
        <v>34</v>
      </c>
      <c r="F86" s="33">
        <f t="shared" si="4"/>
        <v>0</v>
      </c>
      <c r="G86" s="33">
        <f t="shared" si="4"/>
        <v>0</v>
      </c>
      <c r="H86" s="33">
        <f t="shared" si="4"/>
        <v>17</v>
      </c>
      <c r="I86" s="40">
        <f t="shared" si="3"/>
        <v>0</v>
      </c>
      <c r="J86" s="40">
        <f t="shared" si="3"/>
        <v>0</v>
      </c>
      <c r="K86" s="40">
        <f t="shared" si="3"/>
        <v>5.3916904535363146E-3</v>
      </c>
      <c r="L86" s="40">
        <f>1000*M86/VLOOKUP(D86,'Normalised Rates'!$A$7:$B$12,2,FALSE)</f>
        <v>5.3916904535363146E-3</v>
      </c>
      <c r="M86" s="34">
        <v>17</v>
      </c>
    </row>
    <row r="87" spans="1:13" ht="15" customHeight="1" x14ac:dyDescent="0.25">
      <c r="A87" s="30" t="s">
        <v>136</v>
      </c>
      <c r="B87" s="30" t="s">
        <v>90</v>
      </c>
      <c r="C87" s="9" t="s">
        <v>67</v>
      </c>
      <c r="D87" s="32">
        <v>2025</v>
      </c>
      <c r="E87" s="35" t="s">
        <v>163</v>
      </c>
      <c r="F87" s="33">
        <f t="shared" si="4"/>
        <v>30</v>
      </c>
      <c r="G87" s="33">
        <f t="shared" si="4"/>
        <v>0</v>
      </c>
      <c r="H87" s="33">
        <f t="shared" si="4"/>
        <v>0</v>
      </c>
      <c r="I87" s="40">
        <f t="shared" si="3"/>
        <v>9.5147478591817315E-3</v>
      </c>
      <c r="J87" s="40">
        <f t="shared" si="3"/>
        <v>0</v>
      </c>
      <c r="K87" s="40">
        <f t="shared" si="3"/>
        <v>0</v>
      </c>
      <c r="L87" s="40">
        <f>1000*M87/VLOOKUP(D87,'Normalised Rates'!$A$7:$B$12,2,FALSE)</f>
        <v>9.5147478591817315E-3</v>
      </c>
      <c r="M87" s="34">
        <v>30</v>
      </c>
    </row>
    <row r="88" spans="1:13" ht="15" customHeight="1" x14ac:dyDescent="0.25">
      <c r="A88" s="30" t="s">
        <v>136</v>
      </c>
      <c r="B88" s="30" t="s">
        <v>90</v>
      </c>
      <c r="C88" s="9" t="s">
        <v>67</v>
      </c>
      <c r="D88" s="32">
        <v>2026</v>
      </c>
      <c r="E88" s="33" t="s">
        <v>34</v>
      </c>
      <c r="F88" s="33">
        <f t="shared" si="4"/>
        <v>0</v>
      </c>
      <c r="G88" s="33">
        <f t="shared" si="4"/>
        <v>0</v>
      </c>
      <c r="H88" s="33">
        <f t="shared" si="4"/>
        <v>4</v>
      </c>
      <c r="I88" s="40">
        <f t="shared" si="3"/>
        <v>0</v>
      </c>
      <c r="J88" s="40">
        <f t="shared" si="3"/>
        <v>0</v>
      </c>
      <c r="K88" s="40">
        <f t="shared" si="3"/>
        <v>3.0447193149381541E-3</v>
      </c>
      <c r="L88" s="40">
        <f>1000*M88/VLOOKUP(D88,'Normalised Rates'!$A$7:$B$12,2,FALSE)</f>
        <v>3.0447193149381541E-3</v>
      </c>
      <c r="M88" s="34">
        <v>4</v>
      </c>
    </row>
    <row r="89" spans="1:13" ht="15" customHeight="1" x14ac:dyDescent="0.25">
      <c r="A89" s="30" t="s">
        <v>136</v>
      </c>
      <c r="B89" s="30" t="s">
        <v>90</v>
      </c>
      <c r="C89" s="9" t="s">
        <v>67</v>
      </c>
      <c r="D89" s="32">
        <v>2026</v>
      </c>
      <c r="E89" s="35" t="s">
        <v>163</v>
      </c>
      <c r="F89" s="33">
        <f t="shared" si="4"/>
        <v>16</v>
      </c>
      <c r="G89" s="33">
        <f t="shared" si="4"/>
        <v>0</v>
      </c>
      <c r="H89" s="33">
        <f t="shared" si="4"/>
        <v>0</v>
      </c>
      <c r="I89" s="40">
        <f t="shared" si="3"/>
        <v>1.2178877259752616E-2</v>
      </c>
      <c r="J89" s="40">
        <f t="shared" si="3"/>
        <v>0</v>
      </c>
      <c r="K89" s="40">
        <f t="shared" si="3"/>
        <v>0</v>
      </c>
      <c r="L89" s="40">
        <f>1000*M89/VLOOKUP(D89,'Normalised Rates'!$A$7:$B$12,2,FALSE)</f>
        <v>1.2178877259752616E-2</v>
      </c>
      <c r="M89" s="34">
        <v>16</v>
      </c>
    </row>
    <row r="90" spans="1:13" ht="15" customHeight="1" x14ac:dyDescent="0.25">
      <c r="A90" s="30" t="s">
        <v>136</v>
      </c>
      <c r="B90" s="30" t="s">
        <v>113</v>
      </c>
      <c r="C90" s="9" t="s">
        <v>84</v>
      </c>
      <c r="D90" s="32">
        <v>2021</v>
      </c>
      <c r="E90" s="33" t="s">
        <v>34</v>
      </c>
      <c r="F90" s="33">
        <f t="shared" si="4"/>
        <v>0</v>
      </c>
      <c r="G90" s="33">
        <f t="shared" si="4"/>
        <v>0</v>
      </c>
      <c r="H90" s="33">
        <f t="shared" si="4"/>
        <v>1</v>
      </c>
      <c r="I90" s="40">
        <f t="shared" si="3"/>
        <v>0</v>
      </c>
      <c r="J90" s="40">
        <f t="shared" si="3"/>
        <v>0</v>
      </c>
      <c r="K90" s="40">
        <f t="shared" si="3"/>
        <v>6.2735257214554575E-4</v>
      </c>
      <c r="L90" s="40">
        <f>1000*M90/VLOOKUP(D90,'Normalised Rates'!$A$7:$B$12,2,FALSE)</f>
        <v>6.2735257214554575E-4</v>
      </c>
      <c r="M90" s="34">
        <v>1</v>
      </c>
    </row>
    <row r="91" spans="1:13" ht="15" customHeight="1" x14ac:dyDescent="0.25">
      <c r="A91" s="30" t="s">
        <v>136</v>
      </c>
      <c r="B91" s="30" t="s">
        <v>113</v>
      </c>
      <c r="C91" s="9" t="s">
        <v>84</v>
      </c>
      <c r="D91" s="32">
        <v>2021</v>
      </c>
      <c r="E91" s="35" t="s">
        <v>163</v>
      </c>
      <c r="F91" s="33">
        <f t="shared" si="4"/>
        <v>105</v>
      </c>
      <c r="G91" s="33">
        <f t="shared" si="4"/>
        <v>0</v>
      </c>
      <c r="H91" s="33">
        <f t="shared" si="4"/>
        <v>0</v>
      </c>
      <c r="I91" s="40">
        <f t="shared" si="3"/>
        <v>6.5872020075282312E-2</v>
      </c>
      <c r="J91" s="40">
        <f t="shared" si="3"/>
        <v>0</v>
      </c>
      <c r="K91" s="40">
        <f t="shared" si="3"/>
        <v>0</v>
      </c>
      <c r="L91" s="40">
        <f>1000*M91/VLOOKUP(D91,'Normalised Rates'!$A$7:$B$12,2,FALSE)</f>
        <v>6.5872020075282312E-2</v>
      </c>
      <c r="M91" s="34">
        <v>105</v>
      </c>
    </row>
    <row r="92" spans="1:13" ht="15" customHeight="1" x14ac:dyDescent="0.25">
      <c r="A92" s="30" t="s">
        <v>136</v>
      </c>
      <c r="B92" s="30" t="s">
        <v>113</v>
      </c>
      <c r="C92" s="9" t="s">
        <v>84</v>
      </c>
      <c r="D92" s="32">
        <v>2022</v>
      </c>
      <c r="E92" s="33" t="s">
        <v>34</v>
      </c>
      <c r="F92" s="33">
        <f t="shared" si="4"/>
        <v>0</v>
      </c>
      <c r="G92" s="33">
        <f t="shared" si="4"/>
        <v>0</v>
      </c>
      <c r="H92" s="33">
        <f t="shared" si="4"/>
        <v>3</v>
      </c>
      <c r="I92" s="40">
        <f t="shared" si="3"/>
        <v>0</v>
      </c>
      <c r="J92" s="40">
        <f t="shared" si="3"/>
        <v>0</v>
      </c>
      <c r="K92" s="40">
        <f t="shared" si="3"/>
        <v>1.6000000000000001E-3</v>
      </c>
      <c r="L92" s="40">
        <f>1000*M92/VLOOKUP(D92,'Normalised Rates'!$A$7:$B$12,2,FALSE)</f>
        <v>1.6000000000000001E-3</v>
      </c>
      <c r="M92" s="34">
        <v>3</v>
      </c>
    </row>
    <row r="93" spans="1:13" ht="15" customHeight="1" x14ac:dyDescent="0.25">
      <c r="A93" s="30" t="s">
        <v>136</v>
      </c>
      <c r="B93" s="30" t="s">
        <v>113</v>
      </c>
      <c r="C93" s="9" t="s">
        <v>84</v>
      </c>
      <c r="D93" s="32">
        <v>2022</v>
      </c>
      <c r="E93" s="35" t="s">
        <v>163</v>
      </c>
      <c r="F93" s="33">
        <f t="shared" si="4"/>
        <v>87</v>
      </c>
      <c r="G93" s="33">
        <f t="shared" si="4"/>
        <v>0</v>
      </c>
      <c r="H93" s="33">
        <f t="shared" si="4"/>
        <v>0</v>
      </c>
      <c r="I93" s="40">
        <f t="shared" si="3"/>
        <v>4.6399999999999997E-2</v>
      </c>
      <c r="J93" s="40">
        <f t="shared" si="3"/>
        <v>0</v>
      </c>
      <c r="K93" s="40">
        <f t="shared" si="3"/>
        <v>0</v>
      </c>
      <c r="L93" s="40">
        <f>1000*M93/VLOOKUP(D93,'Normalised Rates'!$A$7:$B$12,2,FALSE)</f>
        <v>4.6399999999999997E-2</v>
      </c>
      <c r="M93" s="34">
        <v>87</v>
      </c>
    </row>
    <row r="94" spans="1:13" ht="15" customHeight="1" x14ac:dyDescent="0.25">
      <c r="A94" s="30" t="s">
        <v>136</v>
      </c>
      <c r="B94" s="30" t="s">
        <v>113</v>
      </c>
      <c r="C94" s="9" t="s">
        <v>84</v>
      </c>
      <c r="D94" s="32">
        <v>2023</v>
      </c>
      <c r="E94" s="33" t="s">
        <v>34</v>
      </c>
      <c r="F94" s="33">
        <f t="shared" si="4"/>
        <v>0</v>
      </c>
      <c r="G94" s="33">
        <f t="shared" si="4"/>
        <v>0</v>
      </c>
      <c r="H94" s="33">
        <f t="shared" si="4"/>
        <v>2</v>
      </c>
      <c r="I94" s="40">
        <f t="shared" si="3"/>
        <v>0</v>
      </c>
      <c r="J94" s="40">
        <f t="shared" si="3"/>
        <v>0</v>
      </c>
      <c r="K94" s="40">
        <f t="shared" si="3"/>
        <v>8.7489063867016625E-4</v>
      </c>
      <c r="L94" s="40">
        <f>1000*M94/VLOOKUP(D94,'Normalised Rates'!$A$7:$B$12,2,FALSE)</f>
        <v>8.7489063867016625E-4</v>
      </c>
      <c r="M94" s="34">
        <v>2</v>
      </c>
    </row>
    <row r="95" spans="1:13" ht="15" customHeight="1" x14ac:dyDescent="0.25">
      <c r="A95" s="30" t="s">
        <v>136</v>
      </c>
      <c r="B95" s="30" t="s">
        <v>113</v>
      </c>
      <c r="C95" s="9" t="s">
        <v>84</v>
      </c>
      <c r="D95" s="32">
        <v>2023</v>
      </c>
      <c r="E95" s="35" t="s">
        <v>163</v>
      </c>
      <c r="F95" s="33">
        <f t="shared" si="4"/>
        <v>79</v>
      </c>
      <c r="G95" s="33">
        <f t="shared" si="4"/>
        <v>0</v>
      </c>
      <c r="H95" s="33">
        <f t="shared" si="4"/>
        <v>0</v>
      </c>
      <c r="I95" s="40">
        <f t="shared" si="3"/>
        <v>3.4558180227471563E-2</v>
      </c>
      <c r="J95" s="40">
        <f t="shared" si="3"/>
        <v>0</v>
      </c>
      <c r="K95" s="40">
        <f t="shared" si="3"/>
        <v>0</v>
      </c>
      <c r="L95" s="40">
        <f>1000*M95/VLOOKUP(D95,'Normalised Rates'!$A$7:$B$12,2,FALSE)</f>
        <v>3.4558180227471563E-2</v>
      </c>
      <c r="M95" s="34">
        <v>79</v>
      </c>
    </row>
    <row r="96" spans="1:13" ht="15" customHeight="1" x14ac:dyDescent="0.25">
      <c r="A96" s="30" t="s">
        <v>136</v>
      </c>
      <c r="B96" s="30" t="s">
        <v>113</v>
      </c>
      <c r="C96" s="9" t="s">
        <v>84</v>
      </c>
      <c r="D96" s="32">
        <v>2024</v>
      </c>
      <c r="E96" s="33" t="s">
        <v>34</v>
      </c>
      <c r="F96" s="33">
        <f t="shared" si="4"/>
        <v>0</v>
      </c>
      <c r="G96" s="33">
        <f t="shared" si="4"/>
        <v>0</v>
      </c>
      <c r="H96" s="33">
        <f t="shared" si="4"/>
        <v>1</v>
      </c>
      <c r="I96" s="40">
        <f t="shared" si="3"/>
        <v>0</v>
      </c>
      <c r="J96" s="40">
        <f t="shared" si="3"/>
        <v>0</v>
      </c>
      <c r="K96" s="40">
        <f t="shared" si="3"/>
        <v>3.7271710771524412E-4</v>
      </c>
      <c r="L96" s="40">
        <f>1000*M96/VLOOKUP(D96,'Normalised Rates'!$A$7:$B$12,2,FALSE)</f>
        <v>3.7271710771524412E-4</v>
      </c>
      <c r="M96" s="34">
        <v>1</v>
      </c>
    </row>
    <row r="97" spans="1:13" ht="15" customHeight="1" x14ac:dyDescent="0.25">
      <c r="A97" s="30" t="s">
        <v>136</v>
      </c>
      <c r="B97" s="30" t="s">
        <v>113</v>
      </c>
      <c r="C97" s="9" t="s">
        <v>84</v>
      </c>
      <c r="D97" s="32">
        <v>2024</v>
      </c>
      <c r="E97" s="35" t="s">
        <v>163</v>
      </c>
      <c r="F97" s="33">
        <f t="shared" si="4"/>
        <v>31</v>
      </c>
      <c r="G97" s="33">
        <f t="shared" si="4"/>
        <v>0</v>
      </c>
      <c r="H97" s="33">
        <f t="shared" si="4"/>
        <v>0</v>
      </c>
      <c r="I97" s="40">
        <f t="shared" si="3"/>
        <v>1.1554230339172567E-2</v>
      </c>
      <c r="J97" s="40">
        <f t="shared" si="3"/>
        <v>0</v>
      </c>
      <c r="K97" s="40">
        <f t="shared" si="3"/>
        <v>0</v>
      </c>
      <c r="L97" s="40">
        <f>1000*M97/VLOOKUP(D97,'Normalised Rates'!$A$7:$B$12,2,FALSE)</f>
        <v>1.1554230339172567E-2</v>
      </c>
      <c r="M97" s="34">
        <v>31</v>
      </c>
    </row>
    <row r="98" spans="1:13" ht="15" customHeight="1" x14ac:dyDescent="0.25">
      <c r="A98" s="30" t="s">
        <v>136</v>
      </c>
      <c r="B98" s="30" t="s">
        <v>113</v>
      </c>
      <c r="C98" s="9" t="s">
        <v>84</v>
      </c>
      <c r="D98" s="32">
        <v>2025</v>
      </c>
      <c r="E98" s="35" t="s">
        <v>163</v>
      </c>
      <c r="F98" s="33">
        <f t="shared" si="4"/>
        <v>9</v>
      </c>
      <c r="G98" s="33">
        <f t="shared" si="4"/>
        <v>0</v>
      </c>
      <c r="H98" s="33">
        <f t="shared" si="4"/>
        <v>0</v>
      </c>
      <c r="I98" s="40">
        <f t="shared" si="3"/>
        <v>2.8544243577545195E-3</v>
      </c>
      <c r="J98" s="40">
        <f t="shared" si="3"/>
        <v>0</v>
      </c>
      <c r="K98" s="40">
        <f t="shared" si="3"/>
        <v>0</v>
      </c>
      <c r="L98" s="40">
        <f>1000*M98/VLOOKUP(D98,'Normalised Rates'!$A$7:$B$12,2,FALSE)</f>
        <v>2.8544243577545195E-3</v>
      </c>
      <c r="M98" s="34">
        <v>9</v>
      </c>
    </row>
    <row r="99" spans="1:13" ht="15" customHeight="1" x14ac:dyDescent="0.25">
      <c r="A99" s="30" t="s">
        <v>136</v>
      </c>
      <c r="B99" s="30" t="s">
        <v>113</v>
      </c>
      <c r="C99" s="9" t="s">
        <v>84</v>
      </c>
      <c r="D99" s="32">
        <v>2026</v>
      </c>
      <c r="E99" s="35" t="s">
        <v>163</v>
      </c>
      <c r="F99" s="33">
        <f t="shared" si="4"/>
        <v>5</v>
      </c>
      <c r="G99" s="33">
        <f t="shared" si="4"/>
        <v>0</v>
      </c>
      <c r="H99" s="33">
        <f t="shared" si="4"/>
        <v>0</v>
      </c>
      <c r="I99" s="40">
        <f t="shared" si="3"/>
        <v>3.8058991436726928E-3</v>
      </c>
      <c r="J99" s="40">
        <f t="shared" si="3"/>
        <v>0</v>
      </c>
      <c r="K99" s="40">
        <f t="shared" si="3"/>
        <v>0</v>
      </c>
      <c r="L99" s="40">
        <f>1000*M99/VLOOKUP(D99,'Normalised Rates'!$A$7:$B$12,2,FALSE)</f>
        <v>3.8058991436726928E-3</v>
      </c>
      <c r="M99" s="34">
        <v>5</v>
      </c>
    </row>
    <row r="100" spans="1:13" ht="15" customHeight="1" x14ac:dyDescent="0.25">
      <c r="A100" s="30" t="s">
        <v>136</v>
      </c>
      <c r="B100" s="30" t="s">
        <v>83</v>
      </c>
      <c r="C100" s="9" t="s">
        <v>84</v>
      </c>
      <c r="D100" s="32">
        <v>2021</v>
      </c>
      <c r="E100" s="33" t="s">
        <v>34</v>
      </c>
      <c r="F100" s="33">
        <f t="shared" si="4"/>
        <v>0</v>
      </c>
      <c r="G100" s="33">
        <f t="shared" si="4"/>
        <v>0</v>
      </c>
      <c r="H100" s="33">
        <f t="shared" si="4"/>
        <v>3</v>
      </c>
      <c r="I100" s="40">
        <f t="shared" si="3"/>
        <v>0</v>
      </c>
      <c r="J100" s="40">
        <f t="shared" si="3"/>
        <v>0</v>
      </c>
      <c r="K100" s="40">
        <f t="shared" si="3"/>
        <v>1.8820577164366374E-3</v>
      </c>
      <c r="L100" s="40">
        <f>1000*M100/VLOOKUP(D100,'Normalised Rates'!$A$7:$B$12,2,FALSE)</f>
        <v>1.8820577164366374E-3</v>
      </c>
      <c r="M100" s="34">
        <v>3</v>
      </c>
    </row>
    <row r="101" spans="1:13" ht="15" customHeight="1" x14ac:dyDescent="0.25">
      <c r="A101" s="30" t="s">
        <v>136</v>
      </c>
      <c r="B101" s="30" t="s">
        <v>83</v>
      </c>
      <c r="C101" s="9" t="s">
        <v>84</v>
      </c>
      <c r="D101" s="32">
        <v>2021</v>
      </c>
      <c r="E101" s="35" t="s">
        <v>163</v>
      </c>
      <c r="F101" s="33">
        <f t="shared" si="4"/>
        <v>16</v>
      </c>
      <c r="G101" s="33">
        <f t="shared" si="4"/>
        <v>0</v>
      </c>
      <c r="H101" s="33">
        <f t="shared" si="4"/>
        <v>0</v>
      </c>
      <c r="I101" s="40">
        <f t="shared" si="3"/>
        <v>1.0037641154328732E-2</v>
      </c>
      <c r="J101" s="40">
        <f t="shared" si="3"/>
        <v>0</v>
      </c>
      <c r="K101" s="40">
        <f t="shared" si="3"/>
        <v>0</v>
      </c>
      <c r="L101" s="40">
        <f>1000*M101/VLOOKUP(D101,'Normalised Rates'!$A$7:$B$12,2,FALSE)</f>
        <v>1.0037641154328732E-2</v>
      </c>
      <c r="M101" s="34">
        <v>16</v>
      </c>
    </row>
    <row r="102" spans="1:13" ht="15" customHeight="1" x14ac:dyDescent="0.25">
      <c r="A102" s="30" t="s">
        <v>136</v>
      </c>
      <c r="B102" s="30" t="s">
        <v>83</v>
      </c>
      <c r="C102" s="9" t="s">
        <v>84</v>
      </c>
      <c r="D102" s="32">
        <v>2022</v>
      </c>
      <c r="E102" s="33" t="s">
        <v>34</v>
      </c>
      <c r="F102" s="33">
        <f t="shared" si="4"/>
        <v>0</v>
      </c>
      <c r="G102" s="33">
        <f t="shared" si="4"/>
        <v>0</v>
      </c>
      <c r="H102" s="33">
        <f t="shared" si="4"/>
        <v>20</v>
      </c>
      <c r="I102" s="40">
        <f t="shared" si="3"/>
        <v>0</v>
      </c>
      <c r="J102" s="40">
        <f t="shared" si="3"/>
        <v>0</v>
      </c>
      <c r="K102" s="40">
        <f t="shared" si="3"/>
        <v>1.0666666666666666E-2</v>
      </c>
      <c r="L102" s="40">
        <f>1000*M102/VLOOKUP(D102,'Normalised Rates'!$A$7:$B$12,2,FALSE)</f>
        <v>1.0666666666666666E-2</v>
      </c>
      <c r="M102" s="34">
        <v>20</v>
      </c>
    </row>
    <row r="103" spans="1:13" ht="15" customHeight="1" x14ac:dyDescent="0.25">
      <c r="A103" s="30" t="s">
        <v>136</v>
      </c>
      <c r="B103" s="30" t="s">
        <v>83</v>
      </c>
      <c r="C103" s="9" t="s">
        <v>84</v>
      </c>
      <c r="D103" s="32">
        <v>2022</v>
      </c>
      <c r="E103" s="35" t="s">
        <v>163</v>
      </c>
      <c r="F103" s="33">
        <f t="shared" si="4"/>
        <v>17</v>
      </c>
      <c r="G103" s="33">
        <f t="shared" si="4"/>
        <v>0</v>
      </c>
      <c r="H103" s="33">
        <f t="shared" si="4"/>
        <v>0</v>
      </c>
      <c r="I103" s="40">
        <f t="shared" si="3"/>
        <v>9.0666666666666673E-3</v>
      </c>
      <c r="J103" s="40">
        <f t="shared" si="3"/>
        <v>0</v>
      </c>
      <c r="K103" s="40">
        <f t="shared" si="3"/>
        <v>0</v>
      </c>
      <c r="L103" s="40">
        <f>1000*M103/VLOOKUP(D103,'Normalised Rates'!$A$7:$B$12,2,FALSE)</f>
        <v>9.0666666666666673E-3</v>
      </c>
      <c r="M103" s="34">
        <v>17</v>
      </c>
    </row>
    <row r="104" spans="1:13" ht="15" customHeight="1" x14ac:dyDescent="0.25">
      <c r="A104" s="30" t="s">
        <v>136</v>
      </c>
      <c r="B104" s="30" t="s">
        <v>83</v>
      </c>
      <c r="C104" s="9" t="s">
        <v>84</v>
      </c>
      <c r="D104" s="32">
        <v>2023</v>
      </c>
      <c r="E104" s="33" t="s">
        <v>34</v>
      </c>
      <c r="F104" s="33">
        <f t="shared" si="4"/>
        <v>0</v>
      </c>
      <c r="G104" s="33">
        <f t="shared" si="4"/>
        <v>0</v>
      </c>
      <c r="H104" s="33">
        <f t="shared" si="4"/>
        <v>40</v>
      </c>
      <c r="I104" s="40">
        <f t="shared" si="3"/>
        <v>0</v>
      </c>
      <c r="J104" s="40">
        <f t="shared" si="3"/>
        <v>0</v>
      </c>
      <c r="K104" s="40">
        <f t="shared" si="3"/>
        <v>1.7497812773403325E-2</v>
      </c>
      <c r="L104" s="40">
        <f>1000*M104/VLOOKUP(D104,'Normalised Rates'!$A$7:$B$12,2,FALSE)</f>
        <v>1.7497812773403325E-2</v>
      </c>
      <c r="M104" s="34">
        <v>40</v>
      </c>
    </row>
    <row r="105" spans="1:13" ht="15" customHeight="1" x14ac:dyDescent="0.25">
      <c r="A105" s="30" t="s">
        <v>136</v>
      </c>
      <c r="B105" s="30" t="s">
        <v>83</v>
      </c>
      <c r="C105" s="9" t="s">
        <v>84</v>
      </c>
      <c r="D105" s="32">
        <v>2023</v>
      </c>
      <c r="E105" s="35" t="s">
        <v>163</v>
      </c>
      <c r="F105" s="33">
        <f t="shared" si="4"/>
        <v>14</v>
      </c>
      <c r="G105" s="33">
        <f t="shared" si="4"/>
        <v>0</v>
      </c>
      <c r="H105" s="33">
        <f t="shared" si="4"/>
        <v>0</v>
      </c>
      <c r="I105" s="40">
        <f t="shared" si="3"/>
        <v>6.1242344706911632E-3</v>
      </c>
      <c r="J105" s="40">
        <f t="shared" si="3"/>
        <v>0</v>
      </c>
      <c r="K105" s="40">
        <f t="shared" si="3"/>
        <v>0</v>
      </c>
      <c r="L105" s="40">
        <f>1000*M105/VLOOKUP(D105,'Normalised Rates'!$A$7:$B$12,2,FALSE)</f>
        <v>6.1242344706911632E-3</v>
      </c>
      <c r="M105" s="34">
        <v>14</v>
      </c>
    </row>
    <row r="106" spans="1:13" ht="15" customHeight="1" x14ac:dyDescent="0.25">
      <c r="A106" s="30" t="s">
        <v>136</v>
      </c>
      <c r="B106" s="30" t="s">
        <v>83</v>
      </c>
      <c r="C106" s="9" t="s">
        <v>84</v>
      </c>
      <c r="D106" s="32">
        <v>2024</v>
      </c>
      <c r="E106" s="33" t="s">
        <v>34</v>
      </c>
      <c r="F106" s="33">
        <f t="shared" si="4"/>
        <v>0</v>
      </c>
      <c r="G106" s="33">
        <f t="shared" si="4"/>
        <v>0</v>
      </c>
      <c r="H106" s="33">
        <f t="shared" si="4"/>
        <v>31</v>
      </c>
      <c r="I106" s="40">
        <f t="shared" si="3"/>
        <v>0</v>
      </c>
      <c r="J106" s="40">
        <f t="shared" si="3"/>
        <v>0</v>
      </c>
      <c r="K106" s="40">
        <f t="shared" si="3"/>
        <v>1.1554230339172567E-2</v>
      </c>
      <c r="L106" s="40">
        <f>1000*M106/VLOOKUP(D106,'Normalised Rates'!$A$7:$B$12,2,FALSE)</f>
        <v>1.1554230339172567E-2</v>
      </c>
      <c r="M106" s="34">
        <v>31</v>
      </c>
    </row>
    <row r="107" spans="1:13" ht="15" customHeight="1" x14ac:dyDescent="0.25">
      <c r="A107" s="30" t="s">
        <v>136</v>
      </c>
      <c r="B107" s="30" t="s">
        <v>83</v>
      </c>
      <c r="C107" s="9" t="s">
        <v>84</v>
      </c>
      <c r="D107" s="32">
        <v>2024</v>
      </c>
      <c r="E107" s="35" t="s">
        <v>163</v>
      </c>
      <c r="F107" s="33">
        <f t="shared" si="4"/>
        <v>14</v>
      </c>
      <c r="G107" s="33">
        <f t="shared" si="4"/>
        <v>0</v>
      </c>
      <c r="H107" s="33">
        <f t="shared" si="4"/>
        <v>0</v>
      </c>
      <c r="I107" s="40">
        <f t="shared" si="3"/>
        <v>5.2180395080134176E-3</v>
      </c>
      <c r="J107" s="40">
        <f t="shared" si="3"/>
        <v>0</v>
      </c>
      <c r="K107" s="40">
        <f t="shared" si="3"/>
        <v>0</v>
      </c>
      <c r="L107" s="40">
        <f>1000*M107/VLOOKUP(D107,'Normalised Rates'!$A$7:$B$12,2,FALSE)</f>
        <v>5.2180395080134176E-3</v>
      </c>
      <c r="M107" s="34">
        <v>14</v>
      </c>
    </row>
    <row r="108" spans="1:13" ht="15" customHeight="1" x14ac:dyDescent="0.25">
      <c r="A108" s="30" t="s">
        <v>136</v>
      </c>
      <c r="B108" s="30" t="s">
        <v>83</v>
      </c>
      <c r="C108" s="9" t="s">
        <v>84</v>
      </c>
      <c r="D108" s="32">
        <v>2025</v>
      </c>
      <c r="E108" s="33" t="s">
        <v>34</v>
      </c>
      <c r="F108" s="33">
        <f t="shared" si="4"/>
        <v>0</v>
      </c>
      <c r="G108" s="33">
        <f t="shared" si="4"/>
        <v>0</v>
      </c>
      <c r="H108" s="33">
        <f t="shared" si="4"/>
        <v>30</v>
      </c>
      <c r="I108" s="40">
        <f t="shared" si="3"/>
        <v>0</v>
      </c>
      <c r="J108" s="40">
        <f t="shared" si="3"/>
        <v>0</v>
      </c>
      <c r="K108" s="40">
        <f t="shared" si="3"/>
        <v>9.5147478591817315E-3</v>
      </c>
      <c r="L108" s="40">
        <f>1000*M108/VLOOKUP(D108,'Normalised Rates'!$A$7:$B$12,2,FALSE)</f>
        <v>9.5147478591817315E-3</v>
      </c>
      <c r="M108" s="34">
        <v>30</v>
      </c>
    </row>
    <row r="109" spans="1:13" ht="15" customHeight="1" x14ac:dyDescent="0.25">
      <c r="A109" s="30" t="s">
        <v>136</v>
      </c>
      <c r="B109" s="30" t="s">
        <v>83</v>
      </c>
      <c r="C109" s="9" t="s">
        <v>84</v>
      </c>
      <c r="D109" s="32">
        <v>2025</v>
      </c>
      <c r="E109" s="35" t="s">
        <v>163</v>
      </c>
      <c r="F109" s="33">
        <f t="shared" si="4"/>
        <v>29</v>
      </c>
      <c r="G109" s="33">
        <f t="shared" si="4"/>
        <v>0</v>
      </c>
      <c r="H109" s="33">
        <f t="shared" si="4"/>
        <v>0</v>
      </c>
      <c r="I109" s="40">
        <f t="shared" si="3"/>
        <v>9.197589597209007E-3</v>
      </c>
      <c r="J109" s="40">
        <f t="shared" si="3"/>
        <v>0</v>
      </c>
      <c r="K109" s="40">
        <f t="shared" si="3"/>
        <v>0</v>
      </c>
      <c r="L109" s="40">
        <f>1000*M109/VLOOKUP(D109,'Normalised Rates'!$A$7:$B$12,2,FALSE)</f>
        <v>9.197589597209007E-3</v>
      </c>
      <c r="M109" s="34">
        <v>29</v>
      </c>
    </row>
    <row r="110" spans="1:13" ht="15" customHeight="1" x14ac:dyDescent="0.25">
      <c r="A110" s="30" t="s">
        <v>136</v>
      </c>
      <c r="B110" s="30" t="s">
        <v>83</v>
      </c>
      <c r="C110" s="9" t="s">
        <v>84</v>
      </c>
      <c r="D110" s="32">
        <v>2026</v>
      </c>
      <c r="E110" s="33" t="s">
        <v>34</v>
      </c>
      <c r="F110" s="33">
        <f t="shared" si="4"/>
        <v>0</v>
      </c>
      <c r="G110" s="33">
        <f t="shared" si="4"/>
        <v>0</v>
      </c>
      <c r="H110" s="33">
        <f t="shared" si="4"/>
        <v>6</v>
      </c>
      <c r="I110" s="40">
        <f t="shared" si="3"/>
        <v>0</v>
      </c>
      <c r="J110" s="40">
        <f t="shared" si="3"/>
        <v>0</v>
      </c>
      <c r="K110" s="40">
        <f t="shared" si="3"/>
        <v>4.5670789724072316E-3</v>
      </c>
      <c r="L110" s="40">
        <f>1000*M110/VLOOKUP(D110,'Normalised Rates'!$A$7:$B$12,2,FALSE)</f>
        <v>4.5670789724072316E-3</v>
      </c>
      <c r="M110" s="34">
        <v>6</v>
      </c>
    </row>
    <row r="111" spans="1:13" ht="15" customHeight="1" x14ac:dyDescent="0.25">
      <c r="A111" s="30" t="s">
        <v>136</v>
      </c>
      <c r="B111" s="30" t="s">
        <v>83</v>
      </c>
      <c r="C111" s="9" t="s">
        <v>84</v>
      </c>
      <c r="D111" s="32">
        <v>2026</v>
      </c>
      <c r="E111" s="35" t="s">
        <v>163</v>
      </c>
      <c r="F111" s="33">
        <f t="shared" si="4"/>
        <v>11</v>
      </c>
      <c r="G111" s="33">
        <f t="shared" si="4"/>
        <v>0</v>
      </c>
      <c r="H111" s="33">
        <f t="shared" si="4"/>
        <v>0</v>
      </c>
      <c r="I111" s="40">
        <f t="shared" si="3"/>
        <v>8.3729781160799231E-3</v>
      </c>
      <c r="J111" s="40">
        <f t="shared" si="3"/>
        <v>0</v>
      </c>
      <c r="K111" s="40">
        <f t="shared" si="3"/>
        <v>0</v>
      </c>
      <c r="L111" s="40">
        <f>1000*M111/VLOOKUP(D111,'Normalised Rates'!$A$7:$B$12,2,FALSE)</f>
        <v>8.3729781160799231E-3</v>
      </c>
      <c r="M111" s="34">
        <v>11</v>
      </c>
    </row>
    <row r="112" spans="1:13" ht="15" customHeight="1" x14ac:dyDescent="0.25">
      <c r="A112" s="30" t="s">
        <v>136</v>
      </c>
      <c r="B112" s="30" t="s">
        <v>100</v>
      </c>
      <c r="C112" s="9" t="s">
        <v>67</v>
      </c>
      <c r="D112" s="32">
        <v>2021</v>
      </c>
      <c r="E112" s="33" t="s">
        <v>34</v>
      </c>
      <c r="F112" s="33">
        <f t="shared" si="4"/>
        <v>0</v>
      </c>
      <c r="G112" s="33">
        <f t="shared" si="4"/>
        <v>0</v>
      </c>
      <c r="H112" s="33">
        <f t="shared" si="4"/>
        <v>4</v>
      </c>
      <c r="I112" s="40">
        <f t="shared" si="3"/>
        <v>0</v>
      </c>
      <c r="J112" s="40">
        <f t="shared" si="3"/>
        <v>0</v>
      </c>
      <c r="K112" s="40">
        <f t="shared" si="3"/>
        <v>2.509410288582183E-3</v>
      </c>
      <c r="L112" s="40">
        <f>1000*M112/VLOOKUP(D112,'Normalised Rates'!$A$7:$B$12,2,FALSE)</f>
        <v>2.509410288582183E-3</v>
      </c>
      <c r="M112" s="34">
        <v>4</v>
      </c>
    </row>
    <row r="113" spans="1:13" ht="15" customHeight="1" x14ac:dyDescent="0.25">
      <c r="A113" s="30" t="s">
        <v>136</v>
      </c>
      <c r="B113" s="30" t="s">
        <v>100</v>
      </c>
      <c r="C113" s="9" t="s">
        <v>67</v>
      </c>
      <c r="D113" s="32">
        <v>2021</v>
      </c>
      <c r="E113" s="35" t="s">
        <v>163</v>
      </c>
      <c r="F113" s="33">
        <f t="shared" si="4"/>
        <v>3</v>
      </c>
      <c r="G113" s="33">
        <f t="shared" si="4"/>
        <v>0</v>
      </c>
      <c r="H113" s="33">
        <f t="shared" si="4"/>
        <v>0</v>
      </c>
      <c r="I113" s="40">
        <f t="shared" si="3"/>
        <v>1.8820577164366374E-3</v>
      </c>
      <c r="J113" s="40">
        <f t="shared" si="3"/>
        <v>0</v>
      </c>
      <c r="K113" s="40">
        <f t="shared" si="3"/>
        <v>0</v>
      </c>
      <c r="L113" s="40">
        <f>1000*M113/VLOOKUP(D113,'Normalised Rates'!$A$7:$B$12,2,FALSE)</f>
        <v>1.8820577164366374E-3</v>
      </c>
      <c r="M113" s="34">
        <v>3</v>
      </c>
    </row>
    <row r="114" spans="1:13" ht="15" customHeight="1" x14ac:dyDescent="0.25">
      <c r="A114" s="30" t="s">
        <v>136</v>
      </c>
      <c r="B114" s="30" t="s">
        <v>100</v>
      </c>
      <c r="C114" s="9" t="s">
        <v>67</v>
      </c>
      <c r="D114" s="32">
        <v>2022</v>
      </c>
      <c r="E114" s="33" t="s">
        <v>34</v>
      </c>
      <c r="F114" s="33">
        <f t="shared" si="4"/>
        <v>0</v>
      </c>
      <c r="G114" s="33">
        <f t="shared" si="4"/>
        <v>0</v>
      </c>
      <c r="H114" s="33">
        <f t="shared" si="4"/>
        <v>6</v>
      </c>
      <c r="I114" s="40">
        <f t="shared" si="3"/>
        <v>0</v>
      </c>
      <c r="J114" s="40">
        <f t="shared" si="3"/>
        <v>0</v>
      </c>
      <c r="K114" s="40">
        <f t="shared" si="3"/>
        <v>3.2000000000000002E-3</v>
      </c>
      <c r="L114" s="40">
        <f>1000*M114/VLOOKUP(D114,'Normalised Rates'!$A$7:$B$12,2,FALSE)</f>
        <v>3.2000000000000002E-3</v>
      </c>
      <c r="M114" s="34">
        <v>6</v>
      </c>
    </row>
    <row r="115" spans="1:13" ht="15" customHeight="1" x14ac:dyDescent="0.25">
      <c r="A115" s="30" t="s">
        <v>136</v>
      </c>
      <c r="B115" s="30" t="s">
        <v>100</v>
      </c>
      <c r="C115" s="9" t="s">
        <v>67</v>
      </c>
      <c r="D115" s="32">
        <v>2022</v>
      </c>
      <c r="E115" s="35" t="s">
        <v>163</v>
      </c>
      <c r="F115" s="33">
        <f t="shared" si="4"/>
        <v>10</v>
      </c>
      <c r="G115" s="33">
        <f t="shared" si="4"/>
        <v>0</v>
      </c>
      <c r="H115" s="33">
        <f t="shared" si="4"/>
        <v>0</v>
      </c>
      <c r="I115" s="40">
        <f t="shared" si="3"/>
        <v>5.3333333333333332E-3</v>
      </c>
      <c r="J115" s="40">
        <f t="shared" si="3"/>
        <v>0</v>
      </c>
      <c r="K115" s="40">
        <f t="shared" si="3"/>
        <v>0</v>
      </c>
      <c r="L115" s="40">
        <f>1000*M115/VLOOKUP(D115,'Normalised Rates'!$A$7:$B$12,2,FALSE)</f>
        <v>5.3333333333333332E-3</v>
      </c>
      <c r="M115" s="34">
        <v>10</v>
      </c>
    </row>
    <row r="116" spans="1:13" ht="15" customHeight="1" x14ac:dyDescent="0.25">
      <c r="A116" s="30" t="s">
        <v>136</v>
      </c>
      <c r="B116" s="30" t="s">
        <v>100</v>
      </c>
      <c r="C116" s="9" t="s">
        <v>67</v>
      </c>
      <c r="D116" s="32">
        <v>2023</v>
      </c>
      <c r="E116" s="33" t="s">
        <v>34</v>
      </c>
      <c r="F116" s="33">
        <f t="shared" si="4"/>
        <v>0</v>
      </c>
      <c r="G116" s="33">
        <f t="shared" si="4"/>
        <v>0</v>
      </c>
      <c r="H116" s="33">
        <f t="shared" si="4"/>
        <v>12</v>
      </c>
      <c r="I116" s="40">
        <f t="shared" si="3"/>
        <v>0</v>
      </c>
      <c r="J116" s="40">
        <f t="shared" si="3"/>
        <v>0</v>
      </c>
      <c r="K116" s="40">
        <f t="shared" si="3"/>
        <v>5.2493438320209973E-3</v>
      </c>
      <c r="L116" s="40">
        <f>1000*M116/VLOOKUP(D116,'Normalised Rates'!$A$7:$B$12,2,FALSE)</f>
        <v>5.2493438320209973E-3</v>
      </c>
      <c r="M116" s="34">
        <v>12</v>
      </c>
    </row>
    <row r="117" spans="1:13" ht="15" customHeight="1" x14ac:dyDescent="0.25">
      <c r="A117" s="30" t="s">
        <v>136</v>
      </c>
      <c r="B117" s="30" t="s">
        <v>100</v>
      </c>
      <c r="C117" s="9" t="s">
        <v>67</v>
      </c>
      <c r="D117" s="32">
        <v>2023</v>
      </c>
      <c r="E117" s="35" t="s">
        <v>163</v>
      </c>
      <c r="F117" s="33">
        <f t="shared" si="4"/>
        <v>41</v>
      </c>
      <c r="G117" s="33">
        <f t="shared" si="4"/>
        <v>0</v>
      </c>
      <c r="H117" s="33">
        <f t="shared" si="4"/>
        <v>0</v>
      </c>
      <c r="I117" s="40">
        <f t="shared" si="3"/>
        <v>1.7935258092738406E-2</v>
      </c>
      <c r="J117" s="40">
        <f t="shared" si="3"/>
        <v>0</v>
      </c>
      <c r="K117" s="40">
        <f t="shared" si="3"/>
        <v>0</v>
      </c>
      <c r="L117" s="40">
        <f>1000*M117/VLOOKUP(D117,'Normalised Rates'!$A$7:$B$12,2,FALSE)</f>
        <v>1.7935258092738406E-2</v>
      </c>
      <c r="M117" s="34">
        <v>41</v>
      </c>
    </row>
    <row r="118" spans="1:13" ht="15" customHeight="1" x14ac:dyDescent="0.25">
      <c r="A118" s="30" t="s">
        <v>136</v>
      </c>
      <c r="B118" s="30" t="s">
        <v>100</v>
      </c>
      <c r="C118" s="9" t="s">
        <v>67</v>
      </c>
      <c r="D118" s="32">
        <v>2024</v>
      </c>
      <c r="E118" s="33" t="s">
        <v>34</v>
      </c>
      <c r="F118" s="33">
        <f t="shared" si="4"/>
        <v>0</v>
      </c>
      <c r="G118" s="33">
        <f t="shared" si="4"/>
        <v>0</v>
      </c>
      <c r="H118" s="33">
        <f t="shared" si="4"/>
        <v>10</v>
      </c>
      <c r="I118" s="40">
        <f t="shared" si="3"/>
        <v>0</v>
      </c>
      <c r="J118" s="40">
        <f t="shared" si="3"/>
        <v>0</v>
      </c>
      <c r="K118" s="40">
        <f t="shared" si="3"/>
        <v>3.7271710771524412E-3</v>
      </c>
      <c r="L118" s="40">
        <f>1000*M118/VLOOKUP(D118,'Normalised Rates'!$A$7:$B$12,2,FALSE)</f>
        <v>3.7271710771524412E-3</v>
      </c>
      <c r="M118" s="34">
        <v>10</v>
      </c>
    </row>
    <row r="119" spans="1:13" ht="15" customHeight="1" x14ac:dyDescent="0.25">
      <c r="A119" s="30" t="s">
        <v>136</v>
      </c>
      <c r="B119" s="30" t="s">
        <v>100</v>
      </c>
      <c r="C119" s="9" t="s">
        <v>67</v>
      </c>
      <c r="D119" s="32">
        <v>2024</v>
      </c>
      <c r="E119" s="35" t="s">
        <v>163</v>
      </c>
      <c r="F119" s="33">
        <f t="shared" si="4"/>
        <v>29</v>
      </c>
      <c r="G119" s="33">
        <f t="shared" si="4"/>
        <v>0</v>
      </c>
      <c r="H119" s="33">
        <f t="shared" si="4"/>
        <v>0</v>
      </c>
      <c r="I119" s="40">
        <f t="shared" si="3"/>
        <v>1.080879612374208E-2</v>
      </c>
      <c r="J119" s="40">
        <f t="shared" si="3"/>
        <v>0</v>
      </c>
      <c r="K119" s="40">
        <f t="shared" si="3"/>
        <v>0</v>
      </c>
      <c r="L119" s="40">
        <f>1000*M119/VLOOKUP(D119,'Normalised Rates'!$A$7:$B$12,2,FALSE)</f>
        <v>1.080879612374208E-2</v>
      </c>
      <c r="M119" s="34">
        <v>29</v>
      </c>
    </row>
    <row r="120" spans="1:13" ht="15" customHeight="1" x14ac:dyDescent="0.25">
      <c r="A120" s="30" t="s">
        <v>136</v>
      </c>
      <c r="B120" s="30" t="s">
        <v>100</v>
      </c>
      <c r="C120" s="9" t="s">
        <v>67</v>
      </c>
      <c r="D120" s="32">
        <v>2025</v>
      </c>
      <c r="E120" s="33" t="s">
        <v>34</v>
      </c>
      <c r="F120" s="33">
        <f t="shared" si="4"/>
        <v>0</v>
      </c>
      <c r="G120" s="33">
        <f t="shared" si="4"/>
        <v>0</v>
      </c>
      <c r="H120" s="33">
        <f t="shared" si="4"/>
        <v>3</v>
      </c>
      <c r="I120" s="40">
        <f t="shared" si="3"/>
        <v>0</v>
      </c>
      <c r="J120" s="40">
        <f t="shared" si="3"/>
        <v>0</v>
      </c>
      <c r="K120" s="40">
        <f t="shared" si="3"/>
        <v>9.5147478591817321E-4</v>
      </c>
      <c r="L120" s="40">
        <f>1000*M120/VLOOKUP(D120,'Normalised Rates'!$A$7:$B$12,2,FALSE)</f>
        <v>9.5147478591817321E-4</v>
      </c>
      <c r="M120" s="34">
        <v>3</v>
      </c>
    </row>
    <row r="121" spans="1:13" ht="15" customHeight="1" x14ac:dyDescent="0.25">
      <c r="A121" s="30" t="s">
        <v>136</v>
      </c>
      <c r="B121" s="30" t="s">
        <v>100</v>
      </c>
      <c r="C121" s="9" t="s">
        <v>67</v>
      </c>
      <c r="D121" s="32">
        <v>2025</v>
      </c>
      <c r="E121" s="35" t="s">
        <v>163</v>
      </c>
      <c r="F121" s="33">
        <f t="shared" si="4"/>
        <v>72</v>
      </c>
      <c r="G121" s="33">
        <f t="shared" si="4"/>
        <v>0</v>
      </c>
      <c r="H121" s="33">
        <f t="shared" si="4"/>
        <v>0</v>
      </c>
      <c r="I121" s="40">
        <f t="shared" si="3"/>
        <v>2.2835394862036156E-2</v>
      </c>
      <c r="J121" s="40">
        <f t="shared" si="3"/>
        <v>0</v>
      </c>
      <c r="K121" s="40">
        <f t="shared" si="3"/>
        <v>0</v>
      </c>
      <c r="L121" s="40">
        <f>1000*M121/VLOOKUP(D121,'Normalised Rates'!$A$7:$B$12,2,FALSE)</f>
        <v>2.2835394862036156E-2</v>
      </c>
      <c r="M121" s="34">
        <v>72</v>
      </c>
    </row>
    <row r="122" spans="1:13" ht="15" customHeight="1" x14ac:dyDescent="0.25">
      <c r="A122" s="30" t="s">
        <v>136</v>
      </c>
      <c r="B122" s="30" t="s">
        <v>100</v>
      </c>
      <c r="C122" s="9" t="s">
        <v>67</v>
      </c>
      <c r="D122" s="32">
        <v>2026</v>
      </c>
      <c r="E122" s="33" t="s">
        <v>34</v>
      </c>
      <c r="F122" s="33">
        <f t="shared" si="4"/>
        <v>0</v>
      </c>
      <c r="G122" s="33">
        <f t="shared" si="4"/>
        <v>0</v>
      </c>
      <c r="H122" s="33">
        <f t="shared" si="4"/>
        <v>2</v>
      </c>
      <c r="I122" s="40">
        <f t="shared" si="3"/>
        <v>0</v>
      </c>
      <c r="J122" s="40">
        <f t="shared" si="3"/>
        <v>0</v>
      </c>
      <c r="K122" s="40">
        <f t="shared" si="3"/>
        <v>1.522359657469077E-3</v>
      </c>
      <c r="L122" s="40">
        <f>1000*M122/VLOOKUP(D122,'Normalised Rates'!$A$7:$B$12,2,FALSE)</f>
        <v>1.522359657469077E-3</v>
      </c>
      <c r="M122" s="34">
        <v>2</v>
      </c>
    </row>
    <row r="123" spans="1:13" ht="15" customHeight="1" x14ac:dyDescent="0.25">
      <c r="A123" s="30" t="s">
        <v>136</v>
      </c>
      <c r="B123" s="30" t="s">
        <v>100</v>
      </c>
      <c r="C123" s="9" t="s">
        <v>67</v>
      </c>
      <c r="D123" s="32">
        <v>2026</v>
      </c>
      <c r="E123" s="35" t="s">
        <v>163</v>
      </c>
      <c r="F123" s="33">
        <f t="shared" si="4"/>
        <v>30</v>
      </c>
      <c r="G123" s="33">
        <f t="shared" si="4"/>
        <v>0</v>
      </c>
      <c r="H123" s="33">
        <f t="shared" si="4"/>
        <v>0</v>
      </c>
      <c r="I123" s="40">
        <f t="shared" si="3"/>
        <v>2.2835394862036156E-2</v>
      </c>
      <c r="J123" s="40">
        <f t="shared" si="3"/>
        <v>0</v>
      </c>
      <c r="K123" s="40">
        <f t="shared" si="3"/>
        <v>0</v>
      </c>
      <c r="L123" s="40">
        <f>1000*M123/VLOOKUP(D123,'Normalised Rates'!$A$7:$B$12,2,FALSE)</f>
        <v>2.2835394862036156E-2</v>
      </c>
      <c r="M123" s="34">
        <v>30</v>
      </c>
    </row>
    <row r="124" spans="1:13" ht="15" customHeight="1" x14ac:dyDescent="0.25">
      <c r="A124" s="30" t="s">
        <v>136</v>
      </c>
      <c r="B124" s="30" t="s">
        <v>115</v>
      </c>
      <c r="C124" s="9" t="s">
        <v>84</v>
      </c>
      <c r="D124" s="32">
        <v>2021</v>
      </c>
      <c r="E124" s="33" t="s">
        <v>34</v>
      </c>
      <c r="F124" s="33">
        <f t="shared" si="4"/>
        <v>0</v>
      </c>
      <c r="G124" s="33">
        <f t="shared" si="4"/>
        <v>0</v>
      </c>
      <c r="H124" s="33">
        <f t="shared" si="4"/>
        <v>6</v>
      </c>
      <c r="I124" s="40">
        <f t="shared" si="3"/>
        <v>0</v>
      </c>
      <c r="J124" s="40">
        <f t="shared" si="3"/>
        <v>0</v>
      </c>
      <c r="K124" s="40">
        <f t="shared" si="3"/>
        <v>3.7641154328732747E-3</v>
      </c>
      <c r="L124" s="40">
        <f>1000*M124/VLOOKUP(D124,'Normalised Rates'!$A$7:$B$12,2,FALSE)</f>
        <v>3.7641154328732747E-3</v>
      </c>
      <c r="M124" s="34">
        <v>6</v>
      </c>
    </row>
    <row r="125" spans="1:13" ht="15" customHeight="1" x14ac:dyDescent="0.25">
      <c r="A125" s="30" t="s">
        <v>136</v>
      </c>
      <c r="B125" s="30" t="s">
        <v>115</v>
      </c>
      <c r="C125" s="9" t="s">
        <v>84</v>
      </c>
      <c r="D125" s="32">
        <v>2021</v>
      </c>
      <c r="E125" s="35" t="s">
        <v>163</v>
      </c>
      <c r="F125" s="33">
        <f t="shared" si="4"/>
        <v>98</v>
      </c>
      <c r="G125" s="33">
        <f t="shared" si="4"/>
        <v>0</v>
      </c>
      <c r="H125" s="33">
        <f t="shared" si="4"/>
        <v>0</v>
      </c>
      <c r="I125" s="40">
        <f t="shared" si="3"/>
        <v>6.148055207026349E-2</v>
      </c>
      <c r="J125" s="40">
        <f t="shared" si="3"/>
        <v>0</v>
      </c>
      <c r="K125" s="40">
        <f t="shared" si="3"/>
        <v>0</v>
      </c>
      <c r="L125" s="40">
        <f>1000*M125/VLOOKUP(D125,'Normalised Rates'!$A$7:$B$12,2,FALSE)</f>
        <v>6.148055207026349E-2</v>
      </c>
      <c r="M125" s="34">
        <v>98</v>
      </c>
    </row>
    <row r="126" spans="1:13" ht="15" customHeight="1" x14ac:dyDescent="0.25">
      <c r="A126" s="30" t="s">
        <v>136</v>
      </c>
      <c r="B126" s="30" t="s">
        <v>115</v>
      </c>
      <c r="C126" s="9" t="s">
        <v>84</v>
      </c>
      <c r="D126" s="32">
        <v>2022</v>
      </c>
      <c r="E126" s="33" t="s">
        <v>34</v>
      </c>
      <c r="F126" s="33">
        <f t="shared" si="4"/>
        <v>0</v>
      </c>
      <c r="G126" s="33">
        <f t="shared" si="4"/>
        <v>0</v>
      </c>
      <c r="H126" s="33">
        <f t="shared" si="4"/>
        <v>2</v>
      </c>
      <c r="I126" s="40">
        <f t="shared" si="3"/>
        <v>0</v>
      </c>
      <c r="J126" s="40">
        <f t="shared" si="3"/>
        <v>0</v>
      </c>
      <c r="K126" s="40">
        <f t="shared" si="3"/>
        <v>1.0666666666666667E-3</v>
      </c>
      <c r="L126" s="40">
        <f>1000*M126/VLOOKUP(D126,'Normalised Rates'!$A$7:$B$12,2,FALSE)</f>
        <v>1.0666666666666667E-3</v>
      </c>
      <c r="M126" s="34">
        <v>2</v>
      </c>
    </row>
    <row r="127" spans="1:13" ht="15" customHeight="1" x14ac:dyDescent="0.25">
      <c r="A127" s="30" t="s">
        <v>136</v>
      </c>
      <c r="B127" s="30" t="s">
        <v>115</v>
      </c>
      <c r="C127" s="9" t="s">
        <v>84</v>
      </c>
      <c r="D127" s="32">
        <v>2022</v>
      </c>
      <c r="E127" s="35" t="s">
        <v>163</v>
      </c>
      <c r="F127" s="33">
        <f t="shared" si="4"/>
        <v>36</v>
      </c>
      <c r="G127" s="33">
        <f t="shared" si="4"/>
        <v>0</v>
      </c>
      <c r="H127" s="33">
        <f t="shared" si="4"/>
        <v>0</v>
      </c>
      <c r="I127" s="40">
        <f t="shared" si="3"/>
        <v>1.9199999999999998E-2</v>
      </c>
      <c r="J127" s="40">
        <f t="shared" si="3"/>
        <v>0</v>
      </c>
      <c r="K127" s="40">
        <f t="shared" si="3"/>
        <v>0</v>
      </c>
      <c r="L127" s="40">
        <f>1000*M127/VLOOKUP(D127,'Normalised Rates'!$A$7:$B$12,2,FALSE)</f>
        <v>1.9199999999999998E-2</v>
      </c>
      <c r="M127" s="34">
        <v>36</v>
      </c>
    </row>
    <row r="128" spans="1:13" ht="15" customHeight="1" x14ac:dyDescent="0.25">
      <c r="A128" s="30" t="s">
        <v>136</v>
      </c>
      <c r="B128" s="30" t="s">
        <v>115</v>
      </c>
      <c r="C128" s="9" t="s">
        <v>84</v>
      </c>
      <c r="D128" s="32">
        <v>2023</v>
      </c>
      <c r="E128" s="33" t="s">
        <v>34</v>
      </c>
      <c r="F128" s="33">
        <f t="shared" si="4"/>
        <v>0</v>
      </c>
      <c r="G128" s="33">
        <f t="shared" si="4"/>
        <v>0</v>
      </c>
      <c r="H128" s="33">
        <f t="shared" si="4"/>
        <v>4</v>
      </c>
      <c r="I128" s="40">
        <f t="shared" si="3"/>
        <v>0</v>
      </c>
      <c r="J128" s="40">
        <f t="shared" si="3"/>
        <v>0</v>
      </c>
      <c r="K128" s="40">
        <f t="shared" si="3"/>
        <v>1.7497812773403325E-3</v>
      </c>
      <c r="L128" s="40">
        <f>1000*M128/VLOOKUP(D128,'Normalised Rates'!$A$7:$B$12,2,FALSE)</f>
        <v>1.7497812773403325E-3</v>
      </c>
      <c r="M128" s="34">
        <v>4</v>
      </c>
    </row>
    <row r="129" spans="1:13" ht="15" customHeight="1" x14ac:dyDescent="0.25">
      <c r="A129" s="30" t="s">
        <v>136</v>
      </c>
      <c r="B129" s="30" t="s">
        <v>115</v>
      </c>
      <c r="C129" s="9" t="s">
        <v>84</v>
      </c>
      <c r="D129" s="32">
        <v>2023</v>
      </c>
      <c r="E129" s="35" t="s">
        <v>163</v>
      </c>
      <c r="F129" s="33">
        <f t="shared" si="4"/>
        <v>32</v>
      </c>
      <c r="G129" s="33">
        <f t="shared" si="4"/>
        <v>0</v>
      </c>
      <c r="H129" s="33">
        <f t="shared" si="4"/>
        <v>0</v>
      </c>
      <c r="I129" s="40">
        <f t="shared" si="3"/>
        <v>1.399825021872266E-2</v>
      </c>
      <c r="J129" s="40">
        <f t="shared" si="3"/>
        <v>0</v>
      </c>
      <c r="K129" s="40">
        <f t="shared" si="3"/>
        <v>0</v>
      </c>
      <c r="L129" s="40">
        <f>1000*M129/VLOOKUP(D129,'Normalised Rates'!$A$7:$B$12,2,FALSE)</f>
        <v>1.399825021872266E-2</v>
      </c>
      <c r="M129" s="34">
        <v>32</v>
      </c>
    </row>
    <row r="130" spans="1:13" ht="15" customHeight="1" x14ac:dyDescent="0.25">
      <c r="A130" s="30" t="s">
        <v>136</v>
      </c>
      <c r="B130" s="30" t="s">
        <v>115</v>
      </c>
      <c r="C130" s="9" t="s">
        <v>84</v>
      </c>
      <c r="D130" s="32">
        <v>2024</v>
      </c>
      <c r="E130" s="33" t="s">
        <v>34</v>
      </c>
      <c r="F130" s="33">
        <f t="shared" si="4"/>
        <v>0</v>
      </c>
      <c r="G130" s="33">
        <f t="shared" si="4"/>
        <v>0</v>
      </c>
      <c r="H130" s="33">
        <f t="shared" si="4"/>
        <v>5</v>
      </c>
      <c r="I130" s="40">
        <f t="shared" si="3"/>
        <v>0</v>
      </c>
      <c r="J130" s="40">
        <f t="shared" si="3"/>
        <v>0</v>
      </c>
      <c r="K130" s="40">
        <f t="shared" si="3"/>
        <v>1.8635855385762206E-3</v>
      </c>
      <c r="L130" s="40">
        <f>1000*M130/VLOOKUP(D130,'Normalised Rates'!$A$7:$B$12,2,FALSE)</f>
        <v>1.8635855385762206E-3</v>
      </c>
      <c r="M130" s="34">
        <v>5</v>
      </c>
    </row>
    <row r="131" spans="1:13" ht="15" customHeight="1" x14ac:dyDescent="0.25">
      <c r="A131" s="30" t="s">
        <v>136</v>
      </c>
      <c r="B131" s="30" t="s">
        <v>115</v>
      </c>
      <c r="C131" s="9" t="s">
        <v>84</v>
      </c>
      <c r="D131" s="32">
        <v>2024</v>
      </c>
      <c r="E131" s="35" t="s">
        <v>163</v>
      </c>
      <c r="F131" s="33">
        <f t="shared" si="4"/>
        <v>15</v>
      </c>
      <c r="G131" s="33">
        <f t="shared" si="4"/>
        <v>0</v>
      </c>
      <c r="H131" s="33">
        <f t="shared" si="4"/>
        <v>0</v>
      </c>
      <c r="I131" s="40">
        <f t="shared" si="3"/>
        <v>5.5907566157286622E-3</v>
      </c>
      <c r="J131" s="40">
        <f t="shared" si="3"/>
        <v>0</v>
      </c>
      <c r="K131" s="40">
        <f t="shared" si="3"/>
        <v>0</v>
      </c>
      <c r="L131" s="40">
        <f>1000*M131/VLOOKUP(D131,'Normalised Rates'!$A$7:$B$12,2,FALSE)</f>
        <v>5.5907566157286622E-3</v>
      </c>
      <c r="M131" s="34">
        <v>15</v>
      </c>
    </row>
    <row r="132" spans="1:13" ht="15" customHeight="1" x14ac:dyDescent="0.25">
      <c r="A132" s="30" t="s">
        <v>136</v>
      </c>
      <c r="B132" s="30" t="s">
        <v>115</v>
      </c>
      <c r="C132" s="9" t="s">
        <v>84</v>
      </c>
      <c r="D132" s="32">
        <v>2025</v>
      </c>
      <c r="E132" s="33" t="s">
        <v>34</v>
      </c>
      <c r="F132" s="33">
        <f t="shared" si="4"/>
        <v>0</v>
      </c>
      <c r="G132" s="33">
        <f t="shared" si="4"/>
        <v>0</v>
      </c>
      <c r="H132" s="33">
        <f t="shared" si="4"/>
        <v>1</v>
      </c>
      <c r="I132" s="40">
        <f t="shared" si="3"/>
        <v>0</v>
      </c>
      <c r="J132" s="40">
        <f t="shared" si="3"/>
        <v>0</v>
      </c>
      <c r="K132" s="40">
        <f t="shared" si="3"/>
        <v>3.1715826197272439E-4</v>
      </c>
      <c r="L132" s="40">
        <f>1000*M132/VLOOKUP(D132,'Normalised Rates'!$A$7:$B$12,2,FALSE)</f>
        <v>3.1715826197272439E-4</v>
      </c>
      <c r="M132" s="34">
        <v>1</v>
      </c>
    </row>
    <row r="133" spans="1:13" ht="15" customHeight="1" x14ac:dyDescent="0.25">
      <c r="A133" s="30" t="s">
        <v>136</v>
      </c>
      <c r="B133" s="30" t="s">
        <v>115</v>
      </c>
      <c r="C133" s="9" t="s">
        <v>84</v>
      </c>
      <c r="D133" s="32">
        <v>2025</v>
      </c>
      <c r="E133" s="35" t="s">
        <v>163</v>
      </c>
      <c r="F133" s="33">
        <f t="shared" si="4"/>
        <v>14</v>
      </c>
      <c r="G133" s="33">
        <f t="shared" si="4"/>
        <v>0</v>
      </c>
      <c r="H133" s="33">
        <f t="shared" si="4"/>
        <v>0</v>
      </c>
      <c r="I133" s="40">
        <f t="shared" si="3"/>
        <v>4.4402156676181413E-3</v>
      </c>
      <c r="J133" s="40">
        <f t="shared" si="3"/>
        <v>0</v>
      </c>
      <c r="K133" s="40">
        <f t="shared" si="3"/>
        <v>0</v>
      </c>
      <c r="L133" s="40">
        <f>1000*M133/VLOOKUP(D133,'Normalised Rates'!$A$7:$B$12,2,FALSE)</f>
        <v>4.4402156676181413E-3</v>
      </c>
      <c r="M133" s="34">
        <v>14</v>
      </c>
    </row>
    <row r="134" spans="1:13" ht="15" customHeight="1" x14ac:dyDescent="0.25">
      <c r="A134" s="30" t="s">
        <v>136</v>
      </c>
      <c r="B134" s="30" t="s">
        <v>115</v>
      </c>
      <c r="C134" s="9" t="s">
        <v>84</v>
      </c>
      <c r="D134" s="32">
        <v>2026</v>
      </c>
      <c r="E134" s="33" t="s">
        <v>34</v>
      </c>
      <c r="F134" s="33">
        <f t="shared" si="4"/>
        <v>0</v>
      </c>
      <c r="G134" s="33">
        <f t="shared" si="4"/>
        <v>0</v>
      </c>
      <c r="H134" s="33">
        <f t="shared" si="4"/>
        <v>1</v>
      </c>
      <c r="I134" s="40">
        <f t="shared" si="3"/>
        <v>0</v>
      </c>
      <c r="J134" s="40">
        <f t="shared" si="3"/>
        <v>0</v>
      </c>
      <c r="K134" s="40">
        <f t="shared" si="3"/>
        <v>7.6117982873453852E-4</v>
      </c>
      <c r="L134" s="40">
        <f>1000*M134/VLOOKUP(D134,'Normalised Rates'!$A$7:$B$12,2,FALSE)</f>
        <v>7.6117982873453852E-4</v>
      </c>
      <c r="M134" s="34">
        <v>1</v>
      </c>
    </row>
    <row r="135" spans="1:13" ht="15" customHeight="1" x14ac:dyDescent="0.25">
      <c r="A135" s="30" t="s">
        <v>136</v>
      </c>
      <c r="B135" s="30" t="s">
        <v>115</v>
      </c>
      <c r="C135" s="9" t="s">
        <v>84</v>
      </c>
      <c r="D135" s="32">
        <v>2026</v>
      </c>
      <c r="E135" s="35" t="s">
        <v>163</v>
      </c>
      <c r="F135" s="33">
        <f t="shared" si="4"/>
        <v>2</v>
      </c>
      <c r="G135" s="33">
        <f t="shared" si="4"/>
        <v>0</v>
      </c>
      <c r="H135" s="33">
        <f t="shared" si="4"/>
        <v>0</v>
      </c>
      <c r="I135" s="40">
        <f t="shared" ref="I135:K198" si="5">IF(_xlfn.CONCAT($E135,"%")=I$5,$L135,0)</f>
        <v>1.522359657469077E-3</v>
      </c>
      <c r="J135" s="40">
        <f t="shared" si="5"/>
        <v>0</v>
      </c>
      <c r="K135" s="40">
        <f t="shared" si="5"/>
        <v>0</v>
      </c>
      <c r="L135" s="40">
        <f>1000*M135/VLOOKUP(D135,'Normalised Rates'!$A$7:$B$12,2,FALSE)</f>
        <v>1.522359657469077E-3</v>
      </c>
      <c r="M135" s="34">
        <v>2</v>
      </c>
    </row>
    <row r="136" spans="1:13" ht="15" customHeight="1" x14ac:dyDescent="0.25">
      <c r="A136" s="30" t="s">
        <v>136</v>
      </c>
      <c r="B136" s="30" t="s">
        <v>98</v>
      </c>
      <c r="C136" s="9" t="s">
        <v>84</v>
      </c>
      <c r="D136" s="32">
        <v>2021</v>
      </c>
      <c r="E136" s="33" t="s">
        <v>34</v>
      </c>
      <c r="F136" s="33">
        <f t="shared" si="4"/>
        <v>0</v>
      </c>
      <c r="G136" s="33">
        <f t="shared" si="4"/>
        <v>0</v>
      </c>
      <c r="H136" s="33">
        <f t="shared" si="4"/>
        <v>19</v>
      </c>
      <c r="I136" s="40">
        <f t="shared" si="5"/>
        <v>0</v>
      </c>
      <c r="J136" s="40">
        <f t="shared" si="5"/>
        <v>0</v>
      </c>
      <c r="K136" s="40">
        <f t="shared" si="5"/>
        <v>1.1919698870765371E-2</v>
      </c>
      <c r="L136" s="40">
        <f>1000*M136/VLOOKUP(D136,'Normalised Rates'!$A$7:$B$12,2,FALSE)</f>
        <v>1.1919698870765371E-2</v>
      </c>
      <c r="M136" s="34">
        <v>19</v>
      </c>
    </row>
    <row r="137" spans="1:13" ht="15" customHeight="1" x14ac:dyDescent="0.25">
      <c r="A137" s="30" t="s">
        <v>136</v>
      </c>
      <c r="B137" s="30" t="s">
        <v>98</v>
      </c>
      <c r="C137" s="9" t="s">
        <v>84</v>
      </c>
      <c r="D137" s="32">
        <v>2021</v>
      </c>
      <c r="E137" s="35" t="s">
        <v>163</v>
      </c>
      <c r="F137" s="33">
        <f t="shared" ref="F137:H200" si="6">IF($E137=F$5,$M137,0)</f>
        <v>10</v>
      </c>
      <c r="G137" s="33">
        <f t="shared" si="6"/>
        <v>0</v>
      </c>
      <c r="H137" s="33">
        <f t="shared" si="6"/>
        <v>0</v>
      </c>
      <c r="I137" s="40">
        <f t="shared" si="5"/>
        <v>6.2735257214554582E-3</v>
      </c>
      <c r="J137" s="40">
        <f t="shared" si="5"/>
        <v>0</v>
      </c>
      <c r="K137" s="40">
        <f t="shared" si="5"/>
        <v>0</v>
      </c>
      <c r="L137" s="40">
        <f>1000*M137/VLOOKUP(D137,'Normalised Rates'!$A$7:$B$12,2,FALSE)</f>
        <v>6.2735257214554582E-3</v>
      </c>
      <c r="M137" s="34">
        <v>10</v>
      </c>
    </row>
    <row r="138" spans="1:13" ht="15" customHeight="1" x14ac:dyDescent="0.25">
      <c r="A138" s="30" t="s">
        <v>136</v>
      </c>
      <c r="B138" s="30" t="s">
        <v>98</v>
      </c>
      <c r="C138" s="9" t="s">
        <v>84</v>
      </c>
      <c r="D138" s="32">
        <v>2022</v>
      </c>
      <c r="E138" s="33" t="s">
        <v>34</v>
      </c>
      <c r="F138" s="33">
        <f t="shared" si="6"/>
        <v>0</v>
      </c>
      <c r="G138" s="33">
        <f t="shared" si="6"/>
        <v>0</v>
      </c>
      <c r="H138" s="33">
        <f t="shared" si="6"/>
        <v>11</v>
      </c>
      <c r="I138" s="40">
        <f t="shared" si="5"/>
        <v>0</v>
      </c>
      <c r="J138" s="40">
        <f t="shared" si="5"/>
        <v>0</v>
      </c>
      <c r="K138" s="40">
        <f t="shared" si="5"/>
        <v>5.8666666666666667E-3</v>
      </c>
      <c r="L138" s="40">
        <f>1000*M138/VLOOKUP(D138,'Normalised Rates'!$A$7:$B$12,2,FALSE)</f>
        <v>5.8666666666666667E-3</v>
      </c>
      <c r="M138" s="34">
        <v>11</v>
      </c>
    </row>
    <row r="139" spans="1:13" ht="15" customHeight="1" x14ac:dyDescent="0.25">
      <c r="A139" s="30" t="s">
        <v>136</v>
      </c>
      <c r="B139" s="30" t="s">
        <v>98</v>
      </c>
      <c r="C139" s="9" t="s">
        <v>84</v>
      </c>
      <c r="D139" s="32">
        <v>2022</v>
      </c>
      <c r="E139" s="35" t="s">
        <v>163</v>
      </c>
      <c r="F139" s="33">
        <f t="shared" si="6"/>
        <v>8</v>
      </c>
      <c r="G139" s="33">
        <f t="shared" si="6"/>
        <v>0</v>
      </c>
      <c r="H139" s="33">
        <f t="shared" si="6"/>
        <v>0</v>
      </c>
      <c r="I139" s="40">
        <f t="shared" si="5"/>
        <v>4.2666666666666669E-3</v>
      </c>
      <c r="J139" s="40">
        <f t="shared" si="5"/>
        <v>0</v>
      </c>
      <c r="K139" s="40">
        <f t="shared" si="5"/>
        <v>0</v>
      </c>
      <c r="L139" s="40">
        <f>1000*M139/VLOOKUP(D139,'Normalised Rates'!$A$7:$B$12,2,FALSE)</f>
        <v>4.2666666666666669E-3</v>
      </c>
      <c r="M139" s="34">
        <v>8</v>
      </c>
    </row>
    <row r="140" spans="1:13" ht="15" customHeight="1" x14ac:dyDescent="0.25">
      <c r="A140" s="30" t="s">
        <v>136</v>
      </c>
      <c r="B140" s="30" t="s">
        <v>98</v>
      </c>
      <c r="C140" s="9" t="s">
        <v>84</v>
      </c>
      <c r="D140" s="32">
        <v>2023</v>
      </c>
      <c r="E140" s="33" t="s">
        <v>34</v>
      </c>
      <c r="F140" s="33">
        <f t="shared" si="6"/>
        <v>0</v>
      </c>
      <c r="G140" s="33">
        <f t="shared" si="6"/>
        <v>0</v>
      </c>
      <c r="H140" s="33">
        <f t="shared" si="6"/>
        <v>35</v>
      </c>
      <c r="I140" s="40">
        <f t="shared" si="5"/>
        <v>0</v>
      </c>
      <c r="J140" s="40">
        <f t="shared" si="5"/>
        <v>0</v>
      </c>
      <c r="K140" s="40">
        <f t="shared" si="5"/>
        <v>1.5310586176727909E-2</v>
      </c>
      <c r="L140" s="40">
        <f>1000*M140/VLOOKUP(D140,'Normalised Rates'!$A$7:$B$12,2,FALSE)</f>
        <v>1.5310586176727909E-2</v>
      </c>
      <c r="M140" s="34">
        <v>35</v>
      </c>
    </row>
    <row r="141" spans="1:13" ht="15" customHeight="1" x14ac:dyDescent="0.25">
      <c r="A141" s="30" t="s">
        <v>136</v>
      </c>
      <c r="B141" s="30" t="s">
        <v>98</v>
      </c>
      <c r="C141" s="9" t="s">
        <v>84</v>
      </c>
      <c r="D141" s="32">
        <v>2023</v>
      </c>
      <c r="E141" s="35" t="s">
        <v>163</v>
      </c>
      <c r="F141" s="33">
        <f t="shared" si="6"/>
        <v>57</v>
      </c>
      <c r="G141" s="33">
        <f t="shared" si="6"/>
        <v>0</v>
      </c>
      <c r="H141" s="33">
        <f t="shared" si="6"/>
        <v>0</v>
      </c>
      <c r="I141" s="40">
        <f t="shared" si="5"/>
        <v>2.4934383202099737E-2</v>
      </c>
      <c r="J141" s="40">
        <f t="shared" si="5"/>
        <v>0</v>
      </c>
      <c r="K141" s="40">
        <f t="shared" si="5"/>
        <v>0</v>
      </c>
      <c r="L141" s="40">
        <f>1000*M141/VLOOKUP(D141,'Normalised Rates'!$A$7:$B$12,2,FALSE)</f>
        <v>2.4934383202099737E-2</v>
      </c>
      <c r="M141" s="34">
        <v>57</v>
      </c>
    </row>
    <row r="142" spans="1:13" ht="15" customHeight="1" x14ac:dyDescent="0.25">
      <c r="A142" s="30" t="s">
        <v>136</v>
      </c>
      <c r="B142" s="30" t="s">
        <v>98</v>
      </c>
      <c r="C142" s="9" t="s">
        <v>84</v>
      </c>
      <c r="D142" s="32">
        <v>2024</v>
      </c>
      <c r="E142" s="33" t="s">
        <v>34</v>
      </c>
      <c r="F142" s="33">
        <f t="shared" si="6"/>
        <v>0</v>
      </c>
      <c r="G142" s="33">
        <f t="shared" si="6"/>
        <v>0</v>
      </c>
      <c r="H142" s="33">
        <f t="shared" si="6"/>
        <v>5</v>
      </c>
      <c r="I142" s="40">
        <f t="shared" si="5"/>
        <v>0</v>
      </c>
      <c r="J142" s="40">
        <f t="shared" si="5"/>
        <v>0</v>
      </c>
      <c r="K142" s="40">
        <f t="shared" si="5"/>
        <v>1.8635855385762206E-3</v>
      </c>
      <c r="L142" s="40">
        <f>1000*M142/VLOOKUP(D142,'Normalised Rates'!$A$7:$B$12,2,FALSE)</f>
        <v>1.8635855385762206E-3</v>
      </c>
      <c r="M142" s="34">
        <v>5</v>
      </c>
    </row>
    <row r="143" spans="1:13" ht="15" customHeight="1" x14ac:dyDescent="0.25">
      <c r="A143" s="30" t="s">
        <v>136</v>
      </c>
      <c r="B143" s="30" t="s">
        <v>98</v>
      </c>
      <c r="C143" s="9" t="s">
        <v>84</v>
      </c>
      <c r="D143" s="32">
        <v>2024</v>
      </c>
      <c r="E143" s="35" t="s">
        <v>163</v>
      </c>
      <c r="F143" s="33">
        <f t="shared" si="6"/>
        <v>13</v>
      </c>
      <c r="G143" s="33">
        <f t="shared" si="6"/>
        <v>0</v>
      </c>
      <c r="H143" s="33">
        <f t="shared" si="6"/>
        <v>0</v>
      </c>
      <c r="I143" s="40">
        <f t="shared" si="5"/>
        <v>4.8453224002981739E-3</v>
      </c>
      <c r="J143" s="40">
        <f t="shared" si="5"/>
        <v>0</v>
      </c>
      <c r="K143" s="40">
        <f t="shared" si="5"/>
        <v>0</v>
      </c>
      <c r="L143" s="40">
        <f>1000*M143/VLOOKUP(D143,'Normalised Rates'!$A$7:$B$12,2,FALSE)</f>
        <v>4.8453224002981739E-3</v>
      </c>
      <c r="M143" s="34">
        <v>13</v>
      </c>
    </row>
    <row r="144" spans="1:13" ht="15" customHeight="1" x14ac:dyDescent="0.25">
      <c r="A144" s="30" t="s">
        <v>136</v>
      </c>
      <c r="B144" s="30" t="s">
        <v>98</v>
      </c>
      <c r="C144" s="9" t="s">
        <v>84</v>
      </c>
      <c r="D144" s="32">
        <v>2025</v>
      </c>
      <c r="E144" s="33" t="s">
        <v>34</v>
      </c>
      <c r="F144" s="33">
        <f t="shared" si="6"/>
        <v>0</v>
      </c>
      <c r="G144" s="33">
        <f t="shared" si="6"/>
        <v>0</v>
      </c>
      <c r="H144" s="33">
        <f t="shared" si="6"/>
        <v>2</v>
      </c>
      <c r="I144" s="40">
        <f t="shared" si="5"/>
        <v>0</v>
      </c>
      <c r="J144" s="40">
        <f t="shared" si="5"/>
        <v>0</v>
      </c>
      <c r="K144" s="40">
        <f t="shared" si="5"/>
        <v>6.3431652394544877E-4</v>
      </c>
      <c r="L144" s="40">
        <f>1000*M144/VLOOKUP(D144,'Normalised Rates'!$A$7:$B$12,2,FALSE)</f>
        <v>6.3431652394544877E-4</v>
      </c>
      <c r="M144" s="34">
        <v>2</v>
      </c>
    </row>
    <row r="145" spans="1:13" ht="15" customHeight="1" x14ac:dyDescent="0.25">
      <c r="A145" s="30" t="s">
        <v>136</v>
      </c>
      <c r="B145" s="30" t="s">
        <v>98</v>
      </c>
      <c r="C145" s="9" t="s">
        <v>84</v>
      </c>
      <c r="D145" s="32">
        <v>2025</v>
      </c>
      <c r="E145" s="35" t="s">
        <v>163</v>
      </c>
      <c r="F145" s="33">
        <f t="shared" si="6"/>
        <v>37</v>
      </c>
      <c r="G145" s="33">
        <f t="shared" si="6"/>
        <v>0</v>
      </c>
      <c r="H145" s="33">
        <f t="shared" si="6"/>
        <v>0</v>
      </c>
      <c r="I145" s="40">
        <f t="shared" si="5"/>
        <v>1.1734855692990803E-2</v>
      </c>
      <c r="J145" s="40">
        <f t="shared" si="5"/>
        <v>0</v>
      </c>
      <c r="K145" s="40">
        <f t="shared" si="5"/>
        <v>0</v>
      </c>
      <c r="L145" s="40">
        <f>1000*M145/VLOOKUP(D145,'Normalised Rates'!$A$7:$B$12,2,FALSE)</f>
        <v>1.1734855692990803E-2</v>
      </c>
      <c r="M145" s="34">
        <v>37</v>
      </c>
    </row>
    <row r="146" spans="1:13" ht="15" customHeight="1" x14ac:dyDescent="0.25">
      <c r="A146" s="30" t="s">
        <v>136</v>
      </c>
      <c r="B146" s="30" t="s">
        <v>98</v>
      </c>
      <c r="C146" s="9" t="s">
        <v>84</v>
      </c>
      <c r="D146" s="32">
        <v>2026</v>
      </c>
      <c r="E146" s="33" t="s">
        <v>34</v>
      </c>
      <c r="F146" s="33">
        <f t="shared" si="6"/>
        <v>0</v>
      </c>
      <c r="G146" s="33">
        <f t="shared" si="6"/>
        <v>0</v>
      </c>
      <c r="H146" s="33">
        <f t="shared" si="6"/>
        <v>1</v>
      </c>
      <c r="I146" s="40">
        <f t="shared" si="5"/>
        <v>0</v>
      </c>
      <c r="J146" s="40">
        <f t="shared" si="5"/>
        <v>0</v>
      </c>
      <c r="K146" s="40">
        <f t="shared" si="5"/>
        <v>7.6117982873453852E-4</v>
      </c>
      <c r="L146" s="40">
        <f>1000*M146/VLOOKUP(D146,'Normalised Rates'!$A$7:$B$12,2,FALSE)</f>
        <v>7.6117982873453852E-4</v>
      </c>
      <c r="M146" s="34">
        <v>1</v>
      </c>
    </row>
    <row r="147" spans="1:13" ht="15" customHeight="1" x14ac:dyDescent="0.25">
      <c r="A147" s="30" t="s">
        <v>136</v>
      </c>
      <c r="B147" s="30" t="s">
        <v>98</v>
      </c>
      <c r="C147" s="9" t="s">
        <v>84</v>
      </c>
      <c r="D147" s="32">
        <v>2026</v>
      </c>
      <c r="E147" s="35" t="s">
        <v>163</v>
      </c>
      <c r="F147" s="33">
        <f t="shared" si="6"/>
        <v>15</v>
      </c>
      <c r="G147" s="33">
        <f t="shared" si="6"/>
        <v>0</v>
      </c>
      <c r="H147" s="33">
        <f t="shared" si="6"/>
        <v>0</v>
      </c>
      <c r="I147" s="40">
        <f t="shared" si="5"/>
        <v>1.1417697431018078E-2</v>
      </c>
      <c r="J147" s="40">
        <f t="shared" si="5"/>
        <v>0</v>
      </c>
      <c r="K147" s="40">
        <f t="shared" si="5"/>
        <v>0</v>
      </c>
      <c r="L147" s="40">
        <f>1000*M147/VLOOKUP(D147,'Normalised Rates'!$A$7:$B$12,2,FALSE)</f>
        <v>1.1417697431018078E-2</v>
      </c>
      <c r="M147" s="34">
        <v>15</v>
      </c>
    </row>
    <row r="148" spans="1:13" ht="15" customHeight="1" x14ac:dyDescent="0.25">
      <c r="A148" s="30" t="s">
        <v>136</v>
      </c>
      <c r="B148" s="30" t="s">
        <v>102</v>
      </c>
      <c r="C148" s="9" t="s">
        <v>84</v>
      </c>
      <c r="D148" s="32">
        <v>2021</v>
      </c>
      <c r="E148" s="33" t="s">
        <v>34</v>
      </c>
      <c r="F148" s="33">
        <f t="shared" si="6"/>
        <v>0</v>
      </c>
      <c r="G148" s="33">
        <f t="shared" si="6"/>
        <v>0</v>
      </c>
      <c r="H148" s="33">
        <f t="shared" si="6"/>
        <v>3</v>
      </c>
      <c r="I148" s="40">
        <f t="shared" si="5"/>
        <v>0</v>
      </c>
      <c r="J148" s="40">
        <f t="shared" si="5"/>
        <v>0</v>
      </c>
      <c r="K148" s="40">
        <f t="shared" si="5"/>
        <v>1.8820577164366374E-3</v>
      </c>
      <c r="L148" s="40">
        <f>1000*M148/VLOOKUP(D148,'Normalised Rates'!$A$7:$B$12,2,FALSE)</f>
        <v>1.8820577164366374E-3</v>
      </c>
      <c r="M148" s="34">
        <v>3</v>
      </c>
    </row>
    <row r="149" spans="1:13" ht="15" customHeight="1" x14ac:dyDescent="0.25">
      <c r="A149" s="30" t="s">
        <v>136</v>
      </c>
      <c r="B149" s="30" t="s">
        <v>102</v>
      </c>
      <c r="C149" s="9" t="s">
        <v>84</v>
      </c>
      <c r="D149" s="32">
        <v>2021</v>
      </c>
      <c r="E149" s="35" t="s">
        <v>163</v>
      </c>
      <c r="F149" s="33">
        <f t="shared" si="6"/>
        <v>2</v>
      </c>
      <c r="G149" s="33">
        <f t="shared" si="6"/>
        <v>0</v>
      </c>
      <c r="H149" s="33">
        <f t="shared" si="6"/>
        <v>0</v>
      </c>
      <c r="I149" s="40">
        <f t="shared" si="5"/>
        <v>1.2547051442910915E-3</v>
      </c>
      <c r="J149" s="40">
        <f t="shared" si="5"/>
        <v>0</v>
      </c>
      <c r="K149" s="40">
        <f t="shared" si="5"/>
        <v>0</v>
      </c>
      <c r="L149" s="40">
        <f>1000*M149/VLOOKUP(D149,'Normalised Rates'!$A$7:$B$12,2,FALSE)</f>
        <v>1.2547051442910915E-3</v>
      </c>
      <c r="M149" s="34">
        <v>2</v>
      </c>
    </row>
    <row r="150" spans="1:13" ht="15" customHeight="1" x14ac:dyDescent="0.25">
      <c r="A150" s="30" t="s">
        <v>136</v>
      </c>
      <c r="B150" s="30" t="s">
        <v>102</v>
      </c>
      <c r="C150" s="9" t="s">
        <v>84</v>
      </c>
      <c r="D150" s="32">
        <v>2022</v>
      </c>
      <c r="E150" s="33" t="s">
        <v>34</v>
      </c>
      <c r="F150" s="33">
        <f t="shared" si="6"/>
        <v>0</v>
      </c>
      <c r="G150" s="33">
        <f t="shared" si="6"/>
        <v>0</v>
      </c>
      <c r="H150" s="33">
        <f t="shared" si="6"/>
        <v>6</v>
      </c>
      <c r="I150" s="40">
        <f t="shared" si="5"/>
        <v>0</v>
      </c>
      <c r="J150" s="40">
        <f t="shared" si="5"/>
        <v>0</v>
      </c>
      <c r="K150" s="40">
        <f t="shared" si="5"/>
        <v>3.2000000000000002E-3</v>
      </c>
      <c r="L150" s="40">
        <f>1000*M150/VLOOKUP(D150,'Normalised Rates'!$A$7:$B$12,2,FALSE)</f>
        <v>3.2000000000000002E-3</v>
      </c>
      <c r="M150" s="34">
        <v>6</v>
      </c>
    </row>
    <row r="151" spans="1:13" ht="15" customHeight="1" x14ac:dyDescent="0.25">
      <c r="A151" s="30" t="s">
        <v>136</v>
      </c>
      <c r="B151" s="30" t="s">
        <v>102</v>
      </c>
      <c r="C151" s="9" t="s">
        <v>84</v>
      </c>
      <c r="D151" s="32">
        <v>2022</v>
      </c>
      <c r="E151" s="35" t="s">
        <v>163</v>
      </c>
      <c r="F151" s="33">
        <f t="shared" si="6"/>
        <v>35</v>
      </c>
      <c r="G151" s="33">
        <f t="shared" si="6"/>
        <v>0</v>
      </c>
      <c r="H151" s="33">
        <f t="shared" si="6"/>
        <v>0</v>
      </c>
      <c r="I151" s="40">
        <f t="shared" si="5"/>
        <v>1.8666666666666668E-2</v>
      </c>
      <c r="J151" s="40">
        <f t="shared" si="5"/>
        <v>0</v>
      </c>
      <c r="K151" s="40">
        <f t="shared" si="5"/>
        <v>0</v>
      </c>
      <c r="L151" s="40">
        <f>1000*M151/VLOOKUP(D151,'Normalised Rates'!$A$7:$B$12,2,FALSE)</f>
        <v>1.8666666666666668E-2</v>
      </c>
      <c r="M151" s="34">
        <v>35</v>
      </c>
    </row>
    <row r="152" spans="1:13" ht="15" customHeight="1" x14ac:dyDescent="0.25">
      <c r="A152" s="30" t="s">
        <v>136</v>
      </c>
      <c r="B152" s="30" t="s">
        <v>102</v>
      </c>
      <c r="C152" s="9" t="s">
        <v>84</v>
      </c>
      <c r="D152" s="32">
        <v>2023</v>
      </c>
      <c r="E152" s="33" t="s">
        <v>34</v>
      </c>
      <c r="F152" s="33">
        <f t="shared" si="6"/>
        <v>0</v>
      </c>
      <c r="G152" s="33">
        <f t="shared" si="6"/>
        <v>0</v>
      </c>
      <c r="H152" s="33">
        <f t="shared" si="6"/>
        <v>11</v>
      </c>
      <c r="I152" s="40">
        <f t="shared" si="5"/>
        <v>0</v>
      </c>
      <c r="J152" s="40">
        <f t="shared" si="5"/>
        <v>0</v>
      </c>
      <c r="K152" s="40">
        <f t="shared" si="5"/>
        <v>4.8118985126859139E-3</v>
      </c>
      <c r="L152" s="40">
        <f>1000*M152/VLOOKUP(D152,'Normalised Rates'!$A$7:$B$12,2,FALSE)</f>
        <v>4.8118985126859139E-3</v>
      </c>
      <c r="M152" s="34">
        <v>11</v>
      </c>
    </row>
    <row r="153" spans="1:13" ht="15" customHeight="1" x14ac:dyDescent="0.25">
      <c r="A153" s="30" t="s">
        <v>136</v>
      </c>
      <c r="B153" s="30" t="s">
        <v>102</v>
      </c>
      <c r="C153" s="9" t="s">
        <v>84</v>
      </c>
      <c r="D153" s="32">
        <v>2023</v>
      </c>
      <c r="E153" s="35" t="s">
        <v>163</v>
      </c>
      <c r="F153" s="33">
        <f t="shared" si="6"/>
        <v>51</v>
      </c>
      <c r="G153" s="33">
        <f t="shared" si="6"/>
        <v>0</v>
      </c>
      <c r="H153" s="33">
        <f t="shared" si="6"/>
        <v>0</v>
      </c>
      <c r="I153" s="40">
        <f t="shared" si="5"/>
        <v>2.2309711286089239E-2</v>
      </c>
      <c r="J153" s="40">
        <f t="shared" si="5"/>
        <v>0</v>
      </c>
      <c r="K153" s="40">
        <f t="shared" si="5"/>
        <v>0</v>
      </c>
      <c r="L153" s="40">
        <f>1000*M153/VLOOKUP(D153,'Normalised Rates'!$A$7:$B$12,2,FALSE)</f>
        <v>2.2309711286089239E-2</v>
      </c>
      <c r="M153" s="34">
        <v>51</v>
      </c>
    </row>
    <row r="154" spans="1:13" ht="15" customHeight="1" x14ac:dyDescent="0.25">
      <c r="A154" s="30" t="s">
        <v>136</v>
      </c>
      <c r="B154" s="30" t="s">
        <v>102</v>
      </c>
      <c r="C154" s="9" t="s">
        <v>84</v>
      </c>
      <c r="D154" s="32">
        <v>2024</v>
      </c>
      <c r="E154" s="33" t="s">
        <v>34</v>
      </c>
      <c r="F154" s="33">
        <f t="shared" si="6"/>
        <v>0</v>
      </c>
      <c r="G154" s="33">
        <f t="shared" si="6"/>
        <v>0</v>
      </c>
      <c r="H154" s="33">
        <f t="shared" si="6"/>
        <v>6</v>
      </c>
      <c r="I154" s="40">
        <f t="shared" si="5"/>
        <v>0</v>
      </c>
      <c r="J154" s="40">
        <f t="shared" si="5"/>
        <v>0</v>
      </c>
      <c r="K154" s="40">
        <f t="shared" si="5"/>
        <v>2.2363026462914647E-3</v>
      </c>
      <c r="L154" s="40">
        <f>1000*M154/VLOOKUP(D154,'Normalised Rates'!$A$7:$B$12,2,FALSE)</f>
        <v>2.2363026462914647E-3</v>
      </c>
      <c r="M154" s="34">
        <v>6</v>
      </c>
    </row>
    <row r="155" spans="1:13" ht="15" customHeight="1" x14ac:dyDescent="0.25">
      <c r="A155" s="30" t="s">
        <v>136</v>
      </c>
      <c r="B155" s="30" t="s">
        <v>102</v>
      </c>
      <c r="C155" s="9" t="s">
        <v>84</v>
      </c>
      <c r="D155" s="32">
        <v>2024</v>
      </c>
      <c r="E155" s="35" t="s">
        <v>163</v>
      </c>
      <c r="F155" s="33">
        <f t="shared" si="6"/>
        <v>12</v>
      </c>
      <c r="G155" s="33">
        <f t="shared" si="6"/>
        <v>0</v>
      </c>
      <c r="H155" s="33">
        <f t="shared" si="6"/>
        <v>0</v>
      </c>
      <c r="I155" s="40">
        <f t="shared" si="5"/>
        <v>4.4726052925829294E-3</v>
      </c>
      <c r="J155" s="40">
        <f t="shared" si="5"/>
        <v>0</v>
      </c>
      <c r="K155" s="40">
        <f t="shared" si="5"/>
        <v>0</v>
      </c>
      <c r="L155" s="40">
        <f>1000*M155/VLOOKUP(D155,'Normalised Rates'!$A$7:$B$12,2,FALSE)</f>
        <v>4.4726052925829294E-3</v>
      </c>
      <c r="M155" s="34">
        <v>12</v>
      </c>
    </row>
    <row r="156" spans="1:13" ht="15" customHeight="1" x14ac:dyDescent="0.25">
      <c r="A156" s="30" t="s">
        <v>136</v>
      </c>
      <c r="B156" s="30" t="s">
        <v>102</v>
      </c>
      <c r="C156" s="9" t="s">
        <v>84</v>
      </c>
      <c r="D156" s="32">
        <v>2025</v>
      </c>
      <c r="E156" s="33" t="s">
        <v>34</v>
      </c>
      <c r="F156" s="33">
        <f t="shared" si="6"/>
        <v>0</v>
      </c>
      <c r="G156" s="33">
        <f t="shared" si="6"/>
        <v>0</v>
      </c>
      <c r="H156" s="33">
        <f t="shared" si="6"/>
        <v>4</v>
      </c>
      <c r="I156" s="40">
        <f t="shared" si="5"/>
        <v>0</v>
      </c>
      <c r="J156" s="40">
        <f t="shared" si="5"/>
        <v>0</v>
      </c>
      <c r="K156" s="40">
        <f t="shared" si="5"/>
        <v>1.2686330478908975E-3</v>
      </c>
      <c r="L156" s="40">
        <f>1000*M156/VLOOKUP(D156,'Normalised Rates'!$A$7:$B$12,2,FALSE)</f>
        <v>1.2686330478908975E-3</v>
      </c>
      <c r="M156" s="34">
        <v>4</v>
      </c>
    </row>
    <row r="157" spans="1:13" ht="15" customHeight="1" x14ac:dyDescent="0.25">
      <c r="A157" s="30" t="s">
        <v>136</v>
      </c>
      <c r="B157" s="30" t="s">
        <v>102</v>
      </c>
      <c r="C157" s="9" t="s">
        <v>84</v>
      </c>
      <c r="D157" s="32">
        <v>2025</v>
      </c>
      <c r="E157" s="35" t="s">
        <v>163</v>
      </c>
      <c r="F157" s="33">
        <f t="shared" si="6"/>
        <v>26</v>
      </c>
      <c r="G157" s="33">
        <f t="shared" si="6"/>
        <v>0</v>
      </c>
      <c r="H157" s="33">
        <f t="shared" si="6"/>
        <v>0</v>
      </c>
      <c r="I157" s="40">
        <f t="shared" si="5"/>
        <v>8.2461148112908337E-3</v>
      </c>
      <c r="J157" s="40">
        <f t="shared" si="5"/>
        <v>0</v>
      </c>
      <c r="K157" s="40">
        <f t="shared" si="5"/>
        <v>0</v>
      </c>
      <c r="L157" s="40">
        <f>1000*M157/VLOOKUP(D157,'Normalised Rates'!$A$7:$B$12,2,FALSE)</f>
        <v>8.2461148112908337E-3</v>
      </c>
      <c r="M157" s="34">
        <v>26</v>
      </c>
    </row>
    <row r="158" spans="1:13" ht="15" customHeight="1" x14ac:dyDescent="0.25">
      <c r="A158" s="30" t="s">
        <v>136</v>
      </c>
      <c r="B158" s="30" t="s">
        <v>102</v>
      </c>
      <c r="C158" s="9" t="s">
        <v>84</v>
      </c>
      <c r="D158" s="32">
        <v>2026</v>
      </c>
      <c r="E158" s="33" t="s">
        <v>34</v>
      </c>
      <c r="F158" s="33">
        <f t="shared" si="6"/>
        <v>0</v>
      </c>
      <c r="G158" s="33">
        <f t="shared" si="6"/>
        <v>0</v>
      </c>
      <c r="H158" s="33">
        <f t="shared" si="6"/>
        <v>1</v>
      </c>
      <c r="I158" s="40">
        <f t="shared" si="5"/>
        <v>0</v>
      </c>
      <c r="J158" s="40">
        <f t="shared" si="5"/>
        <v>0</v>
      </c>
      <c r="K158" s="40">
        <f t="shared" si="5"/>
        <v>7.6117982873453852E-4</v>
      </c>
      <c r="L158" s="40">
        <f>1000*M158/VLOOKUP(D158,'Normalised Rates'!$A$7:$B$12,2,FALSE)</f>
        <v>7.6117982873453852E-4</v>
      </c>
      <c r="M158" s="34">
        <v>1</v>
      </c>
    </row>
    <row r="159" spans="1:13" ht="15" customHeight="1" x14ac:dyDescent="0.25">
      <c r="A159" s="30" t="s">
        <v>136</v>
      </c>
      <c r="B159" s="30" t="s">
        <v>102</v>
      </c>
      <c r="C159" s="9" t="s">
        <v>84</v>
      </c>
      <c r="D159" s="32">
        <v>2026</v>
      </c>
      <c r="E159" s="35" t="s">
        <v>163</v>
      </c>
      <c r="F159" s="33">
        <f t="shared" si="6"/>
        <v>15</v>
      </c>
      <c r="G159" s="33">
        <f t="shared" si="6"/>
        <v>0</v>
      </c>
      <c r="H159" s="33">
        <f t="shared" si="6"/>
        <v>0</v>
      </c>
      <c r="I159" s="40">
        <f t="shared" si="5"/>
        <v>1.1417697431018078E-2</v>
      </c>
      <c r="J159" s="40">
        <f t="shared" si="5"/>
        <v>0</v>
      </c>
      <c r="K159" s="40">
        <f t="shared" si="5"/>
        <v>0</v>
      </c>
      <c r="L159" s="40">
        <f>1000*M159/VLOOKUP(D159,'Normalised Rates'!$A$7:$B$12,2,FALSE)</f>
        <v>1.1417697431018078E-2</v>
      </c>
      <c r="M159" s="34">
        <v>15</v>
      </c>
    </row>
    <row r="160" spans="1:13" ht="15" customHeight="1" x14ac:dyDescent="0.25">
      <c r="A160" s="30" t="s">
        <v>136</v>
      </c>
      <c r="B160" s="30" t="s">
        <v>109</v>
      </c>
      <c r="C160" s="9" t="s">
        <v>67</v>
      </c>
      <c r="D160" s="32">
        <v>2021</v>
      </c>
      <c r="E160" s="33" t="s">
        <v>34</v>
      </c>
      <c r="F160" s="33">
        <f t="shared" si="6"/>
        <v>0</v>
      </c>
      <c r="G160" s="33">
        <f t="shared" si="6"/>
        <v>0</v>
      </c>
      <c r="H160" s="33">
        <f t="shared" si="6"/>
        <v>2</v>
      </c>
      <c r="I160" s="40">
        <f t="shared" si="5"/>
        <v>0</v>
      </c>
      <c r="J160" s="40">
        <f t="shared" si="5"/>
        <v>0</v>
      </c>
      <c r="K160" s="40">
        <f t="shared" si="5"/>
        <v>1.2547051442910915E-3</v>
      </c>
      <c r="L160" s="40">
        <f>1000*M160/VLOOKUP(D160,'Normalised Rates'!$A$7:$B$12,2,FALSE)</f>
        <v>1.2547051442910915E-3</v>
      </c>
      <c r="M160" s="34">
        <v>2</v>
      </c>
    </row>
    <row r="161" spans="1:13" ht="15" customHeight="1" x14ac:dyDescent="0.25">
      <c r="A161" s="30" t="s">
        <v>136</v>
      </c>
      <c r="B161" s="30" t="s">
        <v>109</v>
      </c>
      <c r="C161" s="9" t="s">
        <v>67</v>
      </c>
      <c r="D161" s="32">
        <v>2021</v>
      </c>
      <c r="E161" s="35" t="s">
        <v>163</v>
      </c>
      <c r="F161" s="33">
        <f t="shared" si="6"/>
        <v>45</v>
      </c>
      <c r="G161" s="33">
        <f t="shared" si="6"/>
        <v>0</v>
      </c>
      <c r="H161" s="33">
        <f t="shared" si="6"/>
        <v>0</v>
      </c>
      <c r="I161" s="40">
        <f t="shared" si="5"/>
        <v>2.8230865746549563E-2</v>
      </c>
      <c r="J161" s="40">
        <f t="shared" si="5"/>
        <v>0</v>
      </c>
      <c r="K161" s="40">
        <f t="shared" si="5"/>
        <v>0</v>
      </c>
      <c r="L161" s="40">
        <f>1000*M161/VLOOKUP(D161,'Normalised Rates'!$A$7:$B$12,2,FALSE)</f>
        <v>2.8230865746549563E-2</v>
      </c>
      <c r="M161" s="34">
        <v>45</v>
      </c>
    </row>
    <row r="162" spans="1:13" ht="15" customHeight="1" x14ac:dyDescent="0.25">
      <c r="A162" s="30" t="s">
        <v>136</v>
      </c>
      <c r="B162" s="30" t="s">
        <v>109</v>
      </c>
      <c r="C162" s="9" t="s">
        <v>67</v>
      </c>
      <c r="D162" s="32">
        <v>2022</v>
      </c>
      <c r="E162" s="33" t="s">
        <v>34</v>
      </c>
      <c r="F162" s="33">
        <f t="shared" si="6"/>
        <v>0</v>
      </c>
      <c r="G162" s="33">
        <f t="shared" si="6"/>
        <v>0</v>
      </c>
      <c r="H162" s="33">
        <f t="shared" si="6"/>
        <v>6</v>
      </c>
      <c r="I162" s="40">
        <f t="shared" si="5"/>
        <v>0</v>
      </c>
      <c r="J162" s="40">
        <f t="shared" si="5"/>
        <v>0</v>
      </c>
      <c r="K162" s="40">
        <f t="shared" si="5"/>
        <v>3.2000000000000002E-3</v>
      </c>
      <c r="L162" s="40">
        <f>1000*M162/VLOOKUP(D162,'Normalised Rates'!$A$7:$B$12,2,FALSE)</f>
        <v>3.2000000000000002E-3</v>
      </c>
      <c r="M162" s="34">
        <v>6</v>
      </c>
    </row>
    <row r="163" spans="1:13" ht="15" customHeight="1" x14ac:dyDescent="0.25">
      <c r="A163" s="30" t="s">
        <v>136</v>
      </c>
      <c r="B163" s="30" t="s">
        <v>109</v>
      </c>
      <c r="C163" s="9" t="s">
        <v>67</v>
      </c>
      <c r="D163" s="32">
        <v>2022</v>
      </c>
      <c r="E163" s="35" t="s">
        <v>163</v>
      </c>
      <c r="F163" s="33">
        <f t="shared" si="6"/>
        <v>42</v>
      </c>
      <c r="G163" s="33">
        <f t="shared" si="6"/>
        <v>0</v>
      </c>
      <c r="H163" s="33">
        <f t="shared" si="6"/>
        <v>0</v>
      </c>
      <c r="I163" s="40">
        <f t="shared" si="5"/>
        <v>2.24E-2</v>
      </c>
      <c r="J163" s="40">
        <f t="shared" si="5"/>
        <v>0</v>
      </c>
      <c r="K163" s="40">
        <f t="shared" si="5"/>
        <v>0</v>
      </c>
      <c r="L163" s="40">
        <f>1000*M163/VLOOKUP(D163,'Normalised Rates'!$A$7:$B$12,2,FALSE)</f>
        <v>2.24E-2</v>
      </c>
      <c r="M163" s="34">
        <v>42</v>
      </c>
    </row>
    <row r="164" spans="1:13" ht="15" customHeight="1" x14ac:dyDescent="0.25">
      <c r="A164" s="30" t="s">
        <v>136</v>
      </c>
      <c r="B164" s="30" t="s">
        <v>109</v>
      </c>
      <c r="C164" s="9" t="s">
        <v>67</v>
      </c>
      <c r="D164" s="32">
        <v>2023</v>
      </c>
      <c r="E164" s="33" t="s">
        <v>34</v>
      </c>
      <c r="F164" s="33">
        <f t="shared" si="6"/>
        <v>0</v>
      </c>
      <c r="G164" s="33">
        <f t="shared" si="6"/>
        <v>0</v>
      </c>
      <c r="H164" s="33">
        <f t="shared" si="6"/>
        <v>9</v>
      </c>
      <c r="I164" s="40">
        <f t="shared" si="5"/>
        <v>0</v>
      </c>
      <c r="J164" s="40">
        <f t="shared" si="5"/>
        <v>0</v>
      </c>
      <c r="K164" s="40">
        <f t="shared" si="5"/>
        <v>3.937007874015748E-3</v>
      </c>
      <c r="L164" s="40">
        <f>1000*M164/VLOOKUP(D164,'Normalised Rates'!$A$7:$B$12,2,FALSE)</f>
        <v>3.937007874015748E-3</v>
      </c>
      <c r="M164" s="34">
        <v>9</v>
      </c>
    </row>
    <row r="165" spans="1:13" ht="15" customHeight="1" x14ac:dyDescent="0.25">
      <c r="A165" s="30" t="s">
        <v>136</v>
      </c>
      <c r="B165" s="30" t="s">
        <v>109</v>
      </c>
      <c r="C165" s="9" t="s">
        <v>67</v>
      </c>
      <c r="D165" s="32">
        <v>2023</v>
      </c>
      <c r="E165" s="35" t="s">
        <v>163</v>
      </c>
      <c r="F165" s="33">
        <f t="shared" si="6"/>
        <v>31</v>
      </c>
      <c r="G165" s="33">
        <f t="shared" si="6"/>
        <v>0</v>
      </c>
      <c r="H165" s="33">
        <f t="shared" si="6"/>
        <v>0</v>
      </c>
      <c r="I165" s="40">
        <f t="shared" si="5"/>
        <v>1.3560804899387576E-2</v>
      </c>
      <c r="J165" s="40">
        <f t="shared" si="5"/>
        <v>0</v>
      </c>
      <c r="K165" s="40">
        <f t="shared" si="5"/>
        <v>0</v>
      </c>
      <c r="L165" s="40">
        <f>1000*M165/VLOOKUP(D165,'Normalised Rates'!$A$7:$B$12,2,FALSE)</f>
        <v>1.3560804899387576E-2</v>
      </c>
      <c r="M165" s="34">
        <v>31</v>
      </c>
    </row>
    <row r="166" spans="1:13" ht="15" customHeight="1" x14ac:dyDescent="0.25">
      <c r="A166" s="30" t="s">
        <v>136</v>
      </c>
      <c r="B166" s="30" t="s">
        <v>109</v>
      </c>
      <c r="C166" s="9" t="s">
        <v>67</v>
      </c>
      <c r="D166" s="32">
        <v>2024</v>
      </c>
      <c r="E166" s="33" t="s">
        <v>34</v>
      </c>
      <c r="F166" s="33">
        <f t="shared" si="6"/>
        <v>0</v>
      </c>
      <c r="G166" s="33">
        <f t="shared" si="6"/>
        <v>0</v>
      </c>
      <c r="H166" s="33">
        <f t="shared" si="6"/>
        <v>6</v>
      </c>
      <c r="I166" s="40">
        <f t="shared" si="5"/>
        <v>0</v>
      </c>
      <c r="J166" s="40">
        <f t="shared" si="5"/>
        <v>0</v>
      </c>
      <c r="K166" s="40">
        <f t="shared" si="5"/>
        <v>2.2363026462914647E-3</v>
      </c>
      <c r="L166" s="40">
        <f>1000*M166/VLOOKUP(D166,'Normalised Rates'!$A$7:$B$12,2,FALSE)</f>
        <v>2.2363026462914647E-3</v>
      </c>
      <c r="M166" s="34">
        <v>6</v>
      </c>
    </row>
    <row r="167" spans="1:13" ht="15" customHeight="1" x14ac:dyDescent="0.25">
      <c r="A167" s="30" t="s">
        <v>136</v>
      </c>
      <c r="B167" s="30" t="s">
        <v>109</v>
      </c>
      <c r="C167" s="9" t="s">
        <v>67</v>
      </c>
      <c r="D167" s="32">
        <v>2024</v>
      </c>
      <c r="E167" s="35" t="s">
        <v>163</v>
      </c>
      <c r="F167" s="33">
        <f t="shared" si="6"/>
        <v>10</v>
      </c>
      <c r="G167" s="33">
        <f t="shared" si="6"/>
        <v>0</v>
      </c>
      <c r="H167" s="33">
        <f t="shared" si="6"/>
        <v>0</v>
      </c>
      <c r="I167" s="40">
        <f t="shared" si="5"/>
        <v>3.7271710771524412E-3</v>
      </c>
      <c r="J167" s="40">
        <f t="shared" si="5"/>
        <v>0</v>
      </c>
      <c r="K167" s="40">
        <f t="shared" si="5"/>
        <v>0</v>
      </c>
      <c r="L167" s="40">
        <f>1000*M167/VLOOKUP(D167,'Normalised Rates'!$A$7:$B$12,2,FALSE)</f>
        <v>3.7271710771524412E-3</v>
      </c>
      <c r="M167" s="34">
        <v>10</v>
      </c>
    </row>
    <row r="168" spans="1:13" ht="15" customHeight="1" x14ac:dyDescent="0.25">
      <c r="A168" s="30" t="s">
        <v>136</v>
      </c>
      <c r="B168" s="30" t="s">
        <v>109</v>
      </c>
      <c r="C168" s="9" t="s">
        <v>67</v>
      </c>
      <c r="D168" s="32">
        <v>2025</v>
      </c>
      <c r="E168" s="33" t="s">
        <v>34</v>
      </c>
      <c r="F168" s="33">
        <f t="shared" si="6"/>
        <v>0</v>
      </c>
      <c r="G168" s="33">
        <f t="shared" si="6"/>
        <v>0</v>
      </c>
      <c r="H168" s="33">
        <f t="shared" si="6"/>
        <v>1</v>
      </c>
      <c r="I168" s="40">
        <f t="shared" si="5"/>
        <v>0</v>
      </c>
      <c r="J168" s="40">
        <f t="shared" si="5"/>
        <v>0</v>
      </c>
      <c r="K168" s="40">
        <f t="shared" si="5"/>
        <v>3.1715826197272439E-4</v>
      </c>
      <c r="L168" s="40">
        <f>1000*M168/VLOOKUP(D168,'Normalised Rates'!$A$7:$B$12,2,FALSE)</f>
        <v>3.1715826197272439E-4</v>
      </c>
      <c r="M168" s="34">
        <v>1</v>
      </c>
    </row>
    <row r="169" spans="1:13" ht="15" customHeight="1" x14ac:dyDescent="0.25">
      <c r="A169" s="30" t="s">
        <v>136</v>
      </c>
      <c r="B169" s="30" t="s">
        <v>109</v>
      </c>
      <c r="C169" s="9" t="s">
        <v>67</v>
      </c>
      <c r="D169" s="32">
        <v>2025</v>
      </c>
      <c r="E169" s="35" t="s">
        <v>163</v>
      </c>
      <c r="F169" s="33">
        <f t="shared" si="6"/>
        <v>14</v>
      </c>
      <c r="G169" s="33">
        <f t="shared" si="6"/>
        <v>0</v>
      </c>
      <c r="H169" s="33">
        <f t="shared" si="6"/>
        <v>0</v>
      </c>
      <c r="I169" s="40">
        <f t="shared" si="5"/>
        <v>4.4402156676181413E-3</v>
      </c>
      <c r="J169" s="40">
        <f t="shared" si="5"/>
        <v>0</v>
      </c>
      <c r="K169" s="40">
        <f t="shared" si="5"/>
        <v>0</v>
      </c>
      <c r="L169" s="40">
        <f>1000*M169/VLOOKUP(D169,'Normalised Rates'!$A$7:$B$12,2,FALSE)</f>
        <v>4.4402156676181413E-3</v>
      </c>
      <c r="M169" s="34">
        <v>14</v>
      </c>
    </row>
    <row r="170" spans="1:13" ht="15" customHeight="1" x14ac:dyDescent="0.25">
      <c r="A170" s="30" t="s">
        <v>136</v>
      </c>
      <c r="B170" s="30" t="s">
        <v>109</v>
      </c>
      <c r="C170" s="9" t="s">
        <v>67</v>
      </c>
      <c r="D170" s="32">
        <v>2026</v>
      </c>
      <c r="E170" s="35" t="s">
        <v>163</v>
      </c>
      <c r="F170" s="33">
        <f t="shared" si="6"/>
        <v>2</v>
      </c>
      <c r="G170" s="33">
        <f t="shared" si="6"/>
        <v>0</v>
      </c>
      <c r="H170" s="33">
        <f t="shared" si="6"/>
        <v>0</v>
      </c>
      <c r="I170" s="40">
        <f t="shared" si="5"/>
        <v>1.522359657469077E-3</v>
      </c>
      <c r="J170" s="40">
        <f t="shared" si="5"/>
        <v>0</v>
      </c>
      <c r="K170" s="40">
        <f t="shared" si="5"/>
        <v>0</v>
      </c>
      <c r="L170" s="40">
        <f>1000*M170/VLOOKUP(D170,'Normalised Rates'!$A$7:$B$12,2,FALSE)</f>
        <v>1.522359657469077E-3</v>
      </c>
      <c r="M170" s="34">
        <v>2</v>
      </c>
    </row>
    <row r="171" spans="1:13" ht="15" customHeight="1" x14ac:dyDescent="0.25">
      <c r="A171" s="30" t="s">
        <v>136</v>
      </c>
      <c r="B171" s="30" t="s">
        <v>79</v>
      </c>
      <c r="C171" s="9" t="s">
        <v>67</v>
      </c>
      <c r="D171" s="32">
        <v>2021</v>
      </c>
      <c r="E171" s="33" t="s">
        <v>34</v>
      </c>
      <c r="F171" s="33">
        <f t="shared" si="6"/>
        <v>0</v>
      </c>
      <c r="G171" s="33">
        <f t="shared" si="6"/>
        <v>0</v>
      </c>
      <c r="H171" s="33">
        <f t="shared" si="6"/>
        <v>13</v>
      </c>
      <c r="I171" s="40">
        <f t="shared" si="5"/>
        <v>0</v>
      </c>
      <c r="J171" s="40">
        <f t="shared" si="5"/>
        <v>0</v>
      </c>
      <c r="K171" s="40">
        <f t="shared" si="5"/>
        <v>8.1555834378920951E-3</v>
      </c>
      <c r="L171" s="40">
        <f>1000*M171/VLOOKUP(D171,'Normalised Rates'!$A$7:$B$12,2,FALSE)</f>
        <v>8.1555834378920951E-3</v>
      </c>
      <c r="M171" s="34">
        <v>13</v>
      </c>
    </row>
    <row r="172" spans="1:13" ht="15" customHeight="1" x14ac:dyDescent="0.25">
      <c r="A172" s="30" t="s">
        <v>136</v>
      </c>
      <c r="B172" s="30" t="s">
        <v>79</v>
      </c>
      <c r="C172" s="9" t="s">
        <v>67</v>
      </c>
      <c r="D172" s="32">
        <v>2022</v>
      </c>
      <c r="E172" s="33" t="s">
        <v>34</v>
      </c>
      <c r="F172" s="33">
        <f t="shared" si="6"/>
        <v>0</v>
      </c>
      <c r="G172" s="33">
        <f t="shared" si="6"/>
        <v>0</v>
      </c>
      <c r="H172" s="33">
        <f t="shared" si="6"/>
        <v>11</v>
      </c>
      <c r="I172" s="40">
        <f t="shared" si="5"/>
        <v>0</v>
      </c>
      <c r="J172" s="40">
        <f t="shared" si="5"/>
        <v>0</v>
      </c>
      <c r="K172" s="40">
        <f t="shared" si="5"/>
        <v>5.8666666666666667E-3</v>
      </c>
      <c r="L172" s="40">
        <f>1000*M172/VLOOKUP(D172,'Normalised Rates'!$A$7:$B$12,2,FALSE)</f>
        <v>5.8666666666666667E-3</v>
      </c>
      <c r="M172" s="34">
        <v>11</v>
      </c>
    </row>
    <row r="173" spans="1:13" ht="15" customHeight="1" x14ac:dyDescent="0.25">
      <c r="A173" s="30" t="s">
        <v>136</v>
      </c>
      <c r="B173" s="30" t="s">
        <v>79</v>
      </c>
      <c r="C173" s="9" t="s">
        <v>67</v>
      </c>
      <c r="D173" s="32">
        <v>2023</v>
      </c>
      <c r="E173" s="33" t="s">
        <v>34</v>
      </c>
      <c r="F173" s="33">
        <f t="shared" si="6"/>
        <v>0</v>
      </c>
      <c r="G173" s="33">
        <f t="shared" si="6"/>
        <v>0</v>
      </c>
      <c r="H173" s="33">
        <f t="shared" si="6"/>
        <v>34</v>
      </c>
      <c r="I173" s="40">
        <f t="shared" si="5"/>
        <v>0</v>
      </c>
      <c r="J173" s="40">
        <f t="shared" si="5"/>
        <v>0</v>
      </c>
      <c r="K173" s="40">
        <f t="shared" si="5"/>
        <v>1.4873140857392825E-2</v>
      </c>
      <c r="L173" s="40">
        <f>1000*M173/VLOOKUP(D173,'Normalised Rates'!$A$7:$B$12,2,FALSE)</f>
        <v>1.4873140857392825E-2</v>
      </c>
      <c r="M173" s="34">
        <v>34</v>
      </c>
    </row>
    <row r="174" spans="1:13" ht="15" customHeight="1" x14ac:dyDescent="0.25">
      <c r="A174" s="30" t="s">
        <v>136</v>
      </c>
      <c r="B174" s="30" t="s">
        <v>79</v>
      </c>
      <c r="C174" s="9" t="s">
        <v>67</v>
      </c>
      <c r="D174" s="32">
        <v>2023</v>
      </c>
      <c r="E174" s="35" t="s">
        <v>163</v>
      </c>
      <c r="F174" s="33">
        <f t="shared" si="6"/>
        <v>12</v>
      </c>
      <c r="G174" s="33">
        <f t="shared" si="6"/>
        <v>0</v>
      </c>
      <c r="H174" s="33">
        <f t="shared" si="6"/>
        <v>0</v>
      </c>
      <c r="I174" s="40">
        <f t="shared" si="5"/>
        <v>5.2493438320209973E-3</v>
      </c>
      <c r="J174" s="40">
        <f t="shared" si="5"/>
        <v>0</v>
      </c>
      <c r="K174" s="40">
        <f t="shared" si="5"/>
        <v>0</v>
      </c>
      <c r="L174" s="40">
        <f>1000*M174/VLOOKUP(D174,'Normalised Rates'!$A$7:$B$12,2,FALSE)</f>
        <v>5.2493438320209973E-3</v>
      </c>
      <c r="M174" s="34">
        <v>12</v>
      </c>
    </row>
    <row r="175" spans="1:13" ht="15" customHeight="1" x14ac:dyDescent="0.25">
      <c r="A175" s="30" t="s">
        <v>136</v>
      </c>
      <c r="B175" s="30" t="s">
        <v>79</v>
      </c>
      <c r="C175" s="9" t="s">
        <v>67</v>
      </c>
      <c r="D175" s="32">
        <v>2024</v>
      </c>
      <c r="E175" s="33" t="s">
        <v>34</v>
      </c>
      <c r="F175" s="33">
        <f t="shared" si="6"/>
        <v>0</v>
      </c>
      <c r="G175" s="33">
        <f t="shared" si="6"/>
        <v>0</v>
      </c>
      <c r="H175" s="33">
        <f t="shared" si="6"/>
        <v>16</v>
      </c>
      <c r="I175" s="40">
        <f t="shared" si="5"/>
        <v>0</v>
      </c>
      <c r="J175" s="40">
        <f t="shared" si="5"/>
        <v>0</v>
      </c>
      <c r="K175" s="40">
        <f t="shared" si="5"/>
        <v>5.9634737234439059E-3</v>
      </c>
      <c r="L175" s="40">
        <f>1000*M175/VLOOKUP(D175,'Normalised Rates'!$A$7:$B$12,2,FALSE)</f>
        <v>5.9634737234439059E-3</v>
      </c>
      <c r="M175" s="34">
        <v>16</v>
      </c>
    </row>
    <row r="176" spans="1:13" ht="15" customHeight="1" x14ac:dyDescent="0.25">
      <c r="A176" s="30" t="s">
        <v>136</v>
      </c>
      <c r="B176" s="30" t="s">
        <v>79</v>
      </c>
      <c r="C176" s="9" t="s">
        <v>67</v>
      </c>
      <c r="D176" s="32">
        <v>2024</v>
      </c>
      <c r="E176" s="35" t="s">
        <v>163</v>
      </c>
      <c r="F176" s="33">
        <f t="shared" si="6"/>
        <v>13</v>
      </c>
      <c r="G176" s="33">
        <f t="shared" si="6"/>
        <v>0</v>
      </c>
      <c r="H176" s="33">
        <f t="shared" si="6"/>
        <v>0</v>
      </c>
      <c r="I176" s="40">
        <f t="shared" si="5"/>
        <v>4.8453224002981739E-3</v>
      </c>
      <c r="J176" s="40">
        <f t="shared" si="5"/>
        <v>0</v>
      </c>
      <c r="K176" s="40">
        <f t="shared" si="5"/>
        <v>0</v>
      </c>
      <c r="L176" s="40">
        <f>1000*M176/VLOOKUP(D176,'Normalised Rates'!$A$7:$B$12,2,FALSE)</f>
        <v>4.8453224002981739E-3</v>
      </c>
      <c r="M176" s="34">
        <v>13</v>
      </c>
    </row>
    <row r="177" spans="1:13" ht="15" customHeight="1" x14ac:dyDescent="0.25">
      <c r="A177" s="30" t="s">
        <v>136</v>
      </c>
      <c r="B177" s="30" t="s">
        <v>79</v>
      </c>
      <c r="C177" s="9" t="s">
        <v>67</v>
      </c>
      <c r="D177" s="32">
        <v>2025</v>
      </c>
      <c r="E177" s="33" t="s">
        <v>34</v>
      </c>
      <c r="F177" s="33">
        <f t="shared" si="6"/>
        <v>0</v>
      </c>
      <c r="G177" s="33">
        <f t="shared" si="6"/>
        <v>0</v>
      </c>
      <c r="H177" s="33">
        <f t="shared" si="6"/>
        <v>23</v>
      </c>
      <c r="I177" s="40">
        <f t="shared" si="5"/>
        <v>0</v>
      </c>
      <c r="J177" s="40">
        <f t="shared" si="5"/>
        <v>0</v>
      </c>
      <c r="K177" s="40">
        <f t="shared" si="5"/>
        <v>7.2946400253726612E-3</v>
      </c>
      <c r="L177" s="40">
        <f>1000*M177/VLOOKUP(D177,'Normalised Rates'!$A$7:$B$12,2,FALSE)</f>
        <v>7.2946400253726612E-3</v>
      </c>
      <c r="M177" s="34">
        <v>23</v>
      </c>
    </row>
    <row r="178" spans="1:13" ht="15" customHeight="1" x14ac:dyDescent="0.25">
      <c r="A178" s="30" t="s">
        <v>136</v>
      </c>
      <c r="B178" s="30" t="s">
        <v>79</v>
      </c>
      <c r="C178" s="9" t="s">
        <v>67</v>
      </c>
      <c r="D178" s="32">
        <v>2025</v>
      </c>
      <c r="E178" s="35" t="s">
        <v>163</v>
      </c>
      <c r="F178" s="33">
        <f t="shared" si="6"/>
        <v>11</v>
      </c>
      <c r="G178" s="33">
        <f t="shared" si="6"/>
        <v>0</v>
      </c>
      <c r="H178" s="33">
        <f t="shared" si="6"/>
        <v>0</v>
      </c>
      <c r="I178" s="40">
        <f t="shared" si="5"/>
        <v>3.4887408816999684E-3</v>
      </c>
      <c r="J178" s="40">
        <f t="shared" si="5"/>
        <v>0</v>
      </c>
      <c r="K178" s="40">
        <f t="shared" si="5"/>
        <v>0</v>
      </c>
      <c r="L178" s="40">
        <f>1000*M178/VLOOKUP(D178,'Normalised Rates'!$A$7:$B$12,2,FALSE)</f>
        <v>3.4887408816999684E-3</v>
      </c>
      <c r="M178" s="34">
        <v>11</v>
      </c>
    </row>
    <row r="179" spans="1:13" ht="15" customHeight="1" x14ac:dyDescent="0.25">
      <c r="A179" s="30" t="s">
        <v>136</v>
      </c>
      <c r="B179" s="30" t="s">
        <v>79</v>
      </c>
      <c r="C179" s="9" t="s">
        <v>67</v>
      </c>
      <c r="D179" s="32">
        <v>2026</v>
      </c>
      <c r="E179" s="33" t="s">
        <v>34</v>
      </c>
      <c r="F179" s="33">
        <f t="shared" si="6"/>
        <v>0</v>
      </c>
      <c r="G179" s="33">
        <f t="shared" si="6"/>
        <v>0</v>
      </c>
      <c r="H179" s="33">
        <f t="shared" si="6"/>
        <v>11</v>
      </c>
      <c r="I179" s="40">
        <f t="shared" si="5"/>
        <v>0</v>
      </c>
      <c r="J179" s="40">
        <f t="shared" si="5"/>
        <v>0</v>
      </c>
      <c r="K179" s="40">
        <f t="shared" si="5"/>
        <v>8.3729781160799231E-3</v>
      </c>
      <c r="L179" s="40">
        <f>1000*M179/VLOOKUP(D179,'Normalised Rates'!$A$7:$B$12,2,FALSE)</f>
        <v>8.3729781160799231E-3</v>
      </c>
      <c r="M179" s="34">
        <v>11</v>
      </c>
    </row>
    <row r="180" spans="1:13" ht="15" customHeight="1" x14ac:dyDescent="0.25">
      <c r="A180" s="30" t="s">
        <v>136</v>
      </c>
      <c r="B180" s="30" t="s">
        <v>79</v>
      </c>
      <c r="C180" s="9" t="s">
        <v>67</v>
      </c>
      <c r="D180" s="32">
        <v>2026</v>
      </c>
      <c r="E180" s="35" t="s">
        <v>163</v>
      </c>
      <c r="F180" s="33">
        <f t="shared" si="6"/>
        <v>9</v>
      </c>
      <c r="G180" s="33">
        <f t="shared" si="6"/>
        <v>0</v>
      </c>
      <c r="H180" s="33">
        <f t="shared" si="6"/>
        <v>0</v>
      </c>
      <c r="I180" s="40">
        <f t="shared" si="5"/>
        <v>6.8506184586108465E-3</v>
      </c>
      <c r="J180" s="40">
        <f t="shared" si="5"/>
        <v>0</v>
      </c>
      <c r="K180" s="40">
        <f t="shared" si="5"/>
        <v>0</v>
      </c>
      <c r="L180" s="40">
        <f>1000*M180/VLOOKUP(D180,'Normalised Rates'!$A$7:$B$12,2,FALSE)</f>
        <v>6.8506184586108465E-3</v>
      </c>
      <c r="M180" s="34">
        <v>9</v>
      </c>
    </row>
    <row r="181" spans="1:13" ht="15" customHeight="1" x14ac:dyDescent="0.25">
      <c r="A181" s="30" t="s">
        <v>136</v>
      </c>
      <c r="B181" s="30" t="s">
        <v>69</v>
      </c>
      <c r="C181" s="9" t="s">
        <v>67</v>
      </c>
      <c r="D181" s="32">
        <v>2021</v>
      </c>
      <c r="E181" s="33" t="s">
        <v>34</v>
      </c>
      <c r="F181" s="33">
        <f t="shared" si="6"/>
        <v>0</v>
      </c>
      <c r="G181" s="33">
        <f t="shared" si="6"/>
        <v>0</v>
      </c>
      <c r="H181" s="33">
        <f t="shared" si="6"/>
        <v>4</v>
      </c>
      <c r="I181" s="40">
        <f t="shared" si="5"/>
        <v>0</v>
      </c>
      <c r="J181" s="40">
        <f t="shared" si="5"/>
        <v>0</v>
      </c>
      <c r="K181" s="40">
        <f t="shared" si="5"/>
        <v>2.509410288582183E-3</v>
      </c>
      <c r="L181" s="40">
        <f>1000*M181/VLOOKUP(D181,'Normalised Rates'!$A$7:$B$12,2,FALSE)</f>
        <v>2.509410288582183E-3</v>
      </c>
      <c r="M181" s="34">
        <v>4</v>
      </c>
    </row>
    <row r="182" spans="1:13" ht="15" customHeight="1" x14ac:dyDescent="0.25">
      <c r="A182" s="30" t="s">
        <v>136</v>
      </c>
      <c r="B182" s="30" t="s">
        <v>69</v>
      </c>
      <c r="C182" s="9" t="s">
        <v>67</v>
      </c>
      <c r="D182" s="32">
        <v>2022</v>
      </c>
      <c r="E182" s="33" t="s">
        <v>34</v>
      </c>
      <c r="F182" s="33">
        <f t="shared" si="6"/>
        <v>0</v>
      </c>
      <c r="G182" s="33">
        <f t="shared" si="6"/>
        <v>0</v>
      </c>
      <c r="H182" s="33">
        <f t="shared" si="6"/>
        <v>5</v>
      </c>
      <c r="I182" s="40">
        <f t="shared" si="5"/>
        <v>0</v>
      </c>
      <c r="J182" s="40">
        <f t="shared" si="5"/>
        <v>0</v>
      </c>
      <c r="K182" s="40">
        <f t="shared" si="5"/>
        <v>2.6666666666666666E-3</v>
      </c>
      <c r="L182" s="40">
        <f>1000*M182/VLOOKUP(D182,'Normalised Rates'!$A$7:$B$12,2,FALSE)</f>
        <v>2.6666666666666666E-3</v>
      </c>
      <c r="M182" s="34">
        <v>5</v>
      </c>
    </row>
    <row r="183" spans="1:13" ht="15" customHeight="1" x14ac:dyDescent="0.25">
      <c r="A183" s="30" t="s">
        <v>136</v>
      </c>
      <c r="B183" s="30" t="s">
        <v>69</v>
      </c>
      <c r="C183" s="9" t="s">
        <v>67</v>
      </c>
      <c r="D183" s="32">
        <v>2022</v>
      </c>
      <c r="E183" s="35" t="s">
        <v>163</v>
      </c>
      <c r="F183" s="33">
        <f t="shared" si="6"/>
        <v>8</v>
      </c>
      <c r="G183" s="33">
        <f t="shared" si="6"/>
        <v>0</v>
      </c>
      <c r="H183" s="33">
        <f t="shared" si="6"/>
        <v>0</v>
      </c>
      <c r="I183" s="40">
        <f t="shared" si="5"/>
        <v>4.2666666666666669E-3</v>
      </c>
      <c r="J183" s="40">
        <f t="shared" si="5"/>
        <v>0</v>
      </c>
      <c r="K183" s="40">
        <f t="shared" si="5"/>
        <v>0</v>
      </c>
      <c r="L183" s="40">
        <f>1000*M183/VLOOKUP(D183,'Normalised Rates'!$A$7:$B$12,2,FALSE)</f>
        <v>4.2666666666666669E-3</v>
      </c>
      <c r="M183" s="34">
        <v>8</v>
      </c>
    </row>
    <row r="184" spans="1:13" ht="15" customHeight="1" x14ac:dyDescent="0.25">
      <c r="A184" s="30" t="s">
        <v>136</v>
      </c>
      <c r="B184" s="30" t="s">
        <v>69</v>
      </c>
      <c r="C184" s="9" t="s">
        <v>67</v>
      </c>
      <c r="D184" s="32">
        <v>2023</v>
      </c>
      <c r="E184" s="33" t="s">
        <v>34</v>
      </c>
      <c r="F184" s="33">
        <f t="shared" si="6"/>
        <v>0</v>
      </c>
      <c r="G184" s="33">
        <f t="shared" si="6"/>
        <v>0</v>
      </c>
      <c r="H184" s="33">
        <f t="shared" si="6"/>
        <v>18</v>
      </c>
      <c r="I184" s="40">
        <f t="shared" si="5"/>
        <v>0</v>
      </c>
      <c r="J184" s="40">
        <f t="shared" si="5"/>
        <v>0</v>
      </c>
      <c r="K184" s="40">
        <f t="shared" si="5"/>
        <v>7.874015748031496E-3</v>
      </c>
      <c r="L184" s="40">
        <f>1000*M184/VLOOKUP(D184,'Normalised Rates'!$A$7:$B$12,2,FALSE)</f>
        <v>7.874015748031496E-3</v>
      </c>
      <c r="M184" s="34">
        <v>18</v>
      </c>
    </row>
    <row r="185" spans="1:13" ht="15" customHeight="1" x14ac:dyDescent="0.25">
      <c r="A185" s="30" t="s">
        <v>136</v>
      </c>
      <c r="B185" s="30" t="s">
        <v>69</v>
      </c>
      <c r="C185" s="9" t="s">
        <v>67</v>
      </c>
      <c r="D185" s="32">
        <v>2023</v>
      </c>
      <c r="E185" s="35" t="s">
        <v>163</v>
      </c>
      <c r="F185" s="33">
        <f t="shared" si="6"/>
        <v>46</v>
      </c>
      <c r="G185" s="33">
        <f t="shared" si="6"/>
        <v>0</v>
      </c>
      <c r="H185" s="33">
        <f t="shared" si="6"/>
        <v>0</v>
      </c>
      <c r="I185" s="40">
        <f t="shared" si="5"/>
        <v>2.0122484689413824E-2</v>
      </c>
      <c r="J185" s="40">
        <f t="shared" si="5"/>
        <v>0</v>
      </c>
      <c r="K185" s="40">
        <f t="shared" si="5"/>
        <v>0</v>
      </c>
      <c r="L185" s="40">
        <f>1000*M185/VLOOKUP(D185,'Normalised Rates'!$A$7:$B$12,2,FALSE)</f>
        <v>2.0122484689413824E-2</v>
      </c>
      <c r="M185" s="34">
        <v>46</v>
      </c>
    </row>
    <row r="186" spans="1:13" ht="15" customHeight="1" x14ac:dyDescent="0.25">
      <c r="A186" s="30" t="s">
        <v>136</v>
      </c>
      <c r="B186" s="30" t="s">
        <v>69</v>
      </c>
      <c r="C186" s="9" t="s">
        <v>67</v>
      </c>
      <c r="D186" s="32">
        <v>2024</v>
      </c>
      <c r="E186" s="33" t="s">
        <v>34</v>
      </c>
      <c r="F186" s="33">
        <f t="shared" si="6"/>
        <v>0</v>
      </c>
      <c r="G186" s="33">
        <f t="shared" si="6"/>
        <v>0</v>
      </c>
      <c r="H186" s="33">
        <f t="shared" si="6"/>
        <v>18</v>
      </c>
      <c r="I186" s="40">
        <f t="shared" si="5"/>
        <v>0</v>
      </c>
      <c r="J186" s="40">
        <f t="shared" si="5"/>
        <v>0</v>
      </c>
      <c r="K186" s="40">
        <f t="shared" si="5"/>
        <v>6.7089079388743941E-3</v>
      </c>
      <c r="L186" s="40">
        <f>1000*M186/VLOOKUP(D186,'Normalised Rates'!$A$7:$B$12,2,FALSE)</f>
        <v>6.7089079388743941E-3</v>
      </c>
      <c r="M186" s="34">
        <v>18</v>
      </c>
    </row>
    <row r="187" spans="1:13" ht="15" customHeight="1" x14ac:dyDescent="0.25">
      <c r="A187" s="30" t="s">
        <v>136</v>
      </c>
      <c r="B187" s="30" t="s">
        <v>69</v>
      </c>
      <c r="C187" s="9" t="s">
        <v>67</v>
      </c>
      <c r="D187" s="32">
        <v>2024</v>
      </c>
      <c r="E187" s="35" t="s">
        <v>163</v>
      </c>
      <c r="F187" s="33">
        <f t="shared" si="6"/>
        <v>7</v>
      </c>
      <c r="G187" s="33">
        <f t="shared" si="6"/>
        <v>0</v>
      </c>
      <c r="H187" s="33">
        <f t="shared" si="6"/>
        <v>0</v>
      </c>
      <c r="I187" s="40">
        <f t="shared" si="5"/>
        <v>2.6090197540067088E-3</v>
      </c>
      <c r="J187" s="40">
        <f t="shared" si="5"/>
        <v>0</v>
      </c>
      <c r="K187" s="40">
        <f t="shared" si="5"/>
        <v>0</v>
      </c>
      <c r="L187" s="40">
        <f>1000*M187/VLOOKUP(D187,'Normalised Rates'!$A$7:$B$12,2,FALSE)</f>
        <v>2.6090197540067088E-3</v>
      </c>
      <c r="M187" s="34">
        <v>7</v>
      </c>
    </row>
    <row r="188" spans="1:13" ht="15" customHeight="1" x14ac:dyDescent="0.25">
      <c r="A188" s="30" t="s">
        <v>136</v>
      </c>
      <c r="B188" s="30" t="s">
        <v>69</v>
      </c>
      <c r="C188" s="9" t="s">
        <v>67</v>
      </c>
      <c r="D188" s="32">
        <v>2025</v>
      </c>
      <c r="E188" s="33" t="s">
        <v>34</v>
      </c>
      <c r="F188" s="33">
        <f t="shared" si="6"/>
        <v>0</v>
      </c>
      <c r="G188" s="33">
        <f t="shared" si="6"/>
        <v>0</v>
      </c>
      <c r="H188" s="33">
        <f t="shared" si="6"/>
        <v>3</v>
      </c>
      <c r="I188" s="40">
        <f t="shared" si="5"/>
        <v>0</v>
      </c>
      <c r="J188" s="40">
        <f t="shared" si="5"/>
        <v>0</v>
      </c>
      <c r="K188" s="40">
        <f t="shared" si="5"/>
        <v>9.5147478591817321E-4</v>
      </c>
      <c r="L188" s="40">
        <f>1000*M188/VLOOKUP(D188,'Normalised Rates'!$A$7:$B$12,2,FALSE)</f>
        <v>9.5147478591817321E-4</v>
      </c>
      <c r="M188" s="34">
        <v>3</v>
      </c>
    </row>
    <row r="189" spans="1:13" ht="15" customHeight="1" x14ac:dyDescent="0.25">
      <c r="A189" s="30" t="s">
        <v>136</v>
      </c>
      <c r="B189" s="30" t="s">
        <v>69</v>
      </c>
      <c r="C189" s="9" t="s">
        <v>67</v>
      </c>
      <c r="D189" s="32">
        <v>2025</v>
      </c>
      <c r="E189" s="35" t="s">
        <v>163</v>
      </c>
      <c r="F189" s="33">
        <f t="shared" si="6"/>
        <v>8</v>
      </c>
      <c r="G189" s="33">
        <f t="shared" si="6"/>
        <v>0</v>
      </c>
      <c r="H189" s="33">
        <f t="shared" si="6"/>
        <v>0</v>
      </c>
      <c r="I189" s="40">
        <f t="shared" si="5"/>
        <v>2.5372660957817951E-3</v>
      </c>
      <c r="J189" s="40">
        <f t="shared" si="5"/>
        <v>0</v>
      </c>
      <c r="K189" s="40">
        <f t="shared" si="5"/>
        <v>0</v>
      </c>
      <c r="L189" s="40">
        <f>1000*M189/VLOOKUP(D189,'Normalised Rates'!$A$7:$B$12,2,FALSE)</f>
        <v>2.5372660957817951E-3</v>
      </c>
      <c r="M189" s="34">
        <v>8</v>
      </c>
    </row>
    <row r="190" spans="1:13" ht="15" customHeight="1" x14ac:dyDescent="0.25">
      <c r="A190" s="30" t="s">
        <v>136</v>
      </c>
      <c r="B190" s="30" t="s">
        <v>69</v>
      </c>
      <c r="C190" s="9" t="s">
        <v>67</v>
      </c>
      <c r="D190" s="32">
        <v>2026</v>
      </c>
      <c r="E190" s="33" t="s">
        <v>34</v>
      </c>
      <c r="F190" s="33">
        <f t="shared" si="6"/>
        <v>0</v>
      </c>
      <c r="G190" s="33">
        <f t="shared" si="6"/>
        <v>0</v>
      </c>
      <c r="H190" s="33">
        <f t="shared" si="6"/>
        <v>2</v>
      </c>
      <c r="I190" s="40">
        <f t="shared" si="5"/>
        <v>0</v>
      </c>
      <c r="J190" s="40">
        <f t="shared" si="5"/>
        <v>0</v>
      </c>
      <c r="K190" s="40">
        <f t="shared" si="5"/>
        <v>1.522359657469077E-3</v>
      </c>
      <c r="L190" s="40">
        <f>1000*M190/VLOOKUP(D190,'Normalised Rates'!$A$7:$B$12,2,FALSE)</f>
        <v>1.522359657469077E-3</v>
      </c>
      <c r="M190" s="34">
        <v>2</v>
      </c>
    </row>
    <row r="191" spans="1:13" ht="15" customHeight="1" x14ac:dyDescent="0.25">
      <c r="A191" s="30" t="s">
        <v>136</v>
      </c>
      <c r="B191" s="30" t="s">
        <v>69</v>
      </c>
      <c r="C191" s="9" t="s">
        <v>67</v>
      </c>
      <c r="D191" s="32">
        <v>2026</v>
      </c>
      <c r="E191" s="35" t="s">
        <v>163</v>
      </c>
      <c r="F191" s="33">
        <f t="shared" si="6"/>
        <v>9</v>
      </c>
      <c r="G191" s="33">
        <f t="shared" si="6"/>
        <v>0</v>
      </c>
      <c r="H191" s="33">
        <f t="shared" si="6"/>
        <v>0</v>
      </c>
      <c r="I191" s="40">
        <f t="shared" si="5"/>
        <v>6.8506184586108465E-3</v>
      </c>
      <c r="J191" s="40">
        <f t="shared" si="5"/>
        <v>0</v>
      </c>
      <c r="K191" s="40">
        <f t="shared" si="5"/>
        <v>0</v>
      </c>
      <c r="L191" s="40">
        <f>1000*M191/VLOOKUP(D191,'Normalised Rates'!$A$7:$B$12,2,FALSE)</f>
        <v>6.8506184586108465E-3</v>
      </c>
      <c r="M191" s="34">
        <v>9</v>
      </c>
    </row>
    <row r="192" spans="1:13" ht="15" customHeight="1" x14ac:dyDescent="0.25">
      <c r="A192" s="30" t="s">
        <v>136</v>
      </c>
      <c r="B192" s="30" t="s">
        <v>63</v>
      </c>
      <c r="C192" s="9" t="s">
        <v>64</v>
      </c>
      <c r="D192" s="32">
        <v>2022</v>
      </c>
      <c r="E192" s="33" t="s">
        <v>34</v>
      </c>
      <c r="F192" s="33">
        <f t="shared" si="6"/>
        <v>0</v>
      </c>
      <c r="G192" s="33">
        <f t="shared" si="6"/>
        <v>0</v>
      </c>
      <c r="H192" s="33">
        <f t="shared" si="6"/>
        <v>1</v>
      </c>
      <c r="I192" s="40">
        <f t="shared" si="5"/>
        <v>0</v>
      </c>
      <c r="J192" s="40">
        <f t="shared" si="5"/>
        <v>0</v>
      </c>
      <c r="K192" s="40">
        <f t="shared" si="5"/>
        <v>5.3333333333333336E-4</v>
      </c>
      <c r="L192" s="40">
        <f>1000*M192/VLOOKUP(D192,'Normalised Rates'!$A$7:$B$12,2,FALSE)</f>
        <v>5.3333333333333336E-4</v>
      </c>
      <c r="M192" s="34">
        <v>1</v>
      </c>
    </row>
    <row r="193" spans="1:13" ht="15" customHeight="1" x14ac:dyDescent="0.25">
      <c r="A193" s="30" t="s">
        <v>136</v>
      </c>
      <c r="B193" s="30" t="s">
        <v>63</v>
      </c>
      <c r="C193" s="9" t="s">
        <v>64</v>
      </c>
      <c r="D193" s="32">
        <v>2022</v>
      </c>
      <c r="E193" s="35" t="s">
        <v>163</v>
      </c>
      <c r="F193" s="33">
        <f t="shared" si="6"/>
        <v>1</v>
      </c>
      <c r="G193" s="33">
        <f t="shared" si="6"/>
        <v>0</v>
      </c>
      <c r="H193" s="33">
        <f t="shared" si="6"/>
        <v>0</v>
      </c>
      <c r="I193" s="40">
        <f t="shared" si="5"/>
        <v>5.3333333333333336E-4</v>
      </c>
      <c r="J193" s="40">
        <f t="shared" si="5"/>
        <v>0</v>
      </c>
      <c r="K193" s="40">
        <f t="shared" si="5"/>
        <v>0</v>
      </c>
      <c r="L193" s="40">
        <f>1000*M193/VLOOKUP(D193,'Normalised Rates'!$A$7:$B$12,2,FALSE)</f>
        <v>5.3333333333333336E-4</v>
      </c>
      <c r="M193" s="34">
        <v>1</v>
      </c>
    </row>
    <row r="194" spans="1:13" ht="15" customHeight="1" x14ac:dyDescent="0.25">
      <c r="A194" s="30" t="s">
        <v>136</v>
      </c>
      <c r="B194" s="30" t="s">
        <v>63</v>
      </c>
      <c r="C194" s="9" t="s">
        <v>64</v>
      </c>
      <c r="D194" s="32">
        <v>2023</v>
      </c>
      <c r="E194" s="33" t="s">
        <v>34</v>
      </c>
      <c r="F194" s="33">
        <f t="shared" si="6"/>
        <v>0</v>
      </c>
      <c r="G194" s="33">
        <f t="shared" si="6"/>
        <v>0</v>
      </c>
      <c r="H194" s="33">
        <f t="shared" si="6"/>
        <v>4</v>
      </c>
      <c r="I194" s="40">
        <f t="shared" si="5"/>
        <v>0</v>
      </c>
      <c r="J194" s="40">
        <f t="shared" si="5"/>
        <v>0</v>
      </c>
      <c r="K194" s="40">
        <f t="shared" si="5"/>
        <v>1.7497812773403325E-3</v>
      </c>
      <c r="L194" s="40">
        <f>1000*M194/VLOOKUP(D194,'Normalised Rates'!$A$7:$B$12,2,FALSE)</f>
        <v>1.7497812773403325E-3</v>
      </c>
      <c r="M194" s="34">
        <v>4</v>
      </c>
    </row>
    <row r="195" spans="1:13" ht="15" customHeight="1" x14ac:dyDescent="0.25">
      <c r="A195" s="30" t="s">
        <v>136</v>
      </c>
      <c r="B195" s="30" t="s">
        <v>63</v>
      </c>
      <c r="C195" s="9" t="s">
        <v>64</v>
      </c>
      <c r="D195" s="32">
        <v>2023</v>
      </c>
      <c r="E195" s="35" t="s">
        <v>163</v>
      </c>
      <c r="F195" s="33">
        <f t="shared" si="6"/>
        <v>5</v>
      </c>
      <c r="G195" s="33">
        <f t="shared" si="6"/>
        <v>0</v>
      </c>
      <c r="H195" s="33">
        <f t="shared" si="6"/>
        <v>0</v>
      </c>
      <c r="I195" s="40">
        <f t="shared" si="5"/>
        <v>2.1872265966754157E-3</v>
      </c>
      <c r="J195" s="40">
        <f t="shared" si="5"/>
        <v>0</v>
      </c>
      <c r="K195" s="40">
        <f t="shared" si="5"/>
        <v>0</v>
      </c>
      <c r="L195" s="40">
        <f>1000*M195/VLOOKUP(D195,'Normalised Rates'!$A$7:$B$12,2,FALSE)</f>
        <v>2.1872265966754157E-3</v>
      </c>
      <c r="M195" s="34">
        <v>5</v>
      </c>
    </row>
    <row r="196" spans="1:13" ht="15" customHeight="1" x14ac:dyDescent="0.25">
      <c r="A196" s="30" t="s">
        <v>136</v>
      </c>
      <c r="B196" s="30" t="s">
        <v>63</v>
      </c>
      <c r="C196" s="9" t="s">
        <v>64</v>
      </c>
      <c r="D196" s="32">
        <v>2024</v>
      </c>
      <c r="E196" s="33" t="s">
        <v>34</v>
      </c>
      <c r="F196" s="33">
        <f t="shared" si="6"/>
        <v>0</v>
      </c>
      <c r="G196" s="33">
        <f t="shared" si="6"/>
        <v>0</v>
      </c>
      <c r="H196" s="33">
        <f t="shared" si="6"/>
        <v>4</v>
      </c>
      <c r="I196" s="40">
        <f t="shared" si="5"/>
        <v>0</v>
      </c>
      <c r="J196" s="40">
        <f t="shared" si="5"/>
        <v>0</v>
      </c>
      <c r="K196" s="40">
        <f t="shared" si="5"/>
        <v>1.4908684308609765E-3</v>
      </c>
      <c r="L196" s="40">
        <f>1000*M196/VLOOKUP(D196,'Normalised Rates'!$A$7:$B$12,2,FALSE)</f>
        <v>1.4908684308609765E-3</v>
      </c>
      <c r="M196" s="34">
        <v>4</v>
      </c>
    </row>
    <row r="197" spans="1:13" ht="15" customHeight="1" x14ac:dyDescent="0.25">
      <c r="A197" s="30" t="s">
        <v>136</v>
      </c>
      <c r="B197" s="30" t="s">
        <v>63</v>
      </c>
      <c r="C197" s="9" t="s">
        <v>64</v>
      </c>
      <c r="D197" s="32">
        <v>2024</v>
      </c>
      <c r="E197" s="35" t="s">
        <v>163</v>
      </c>
      <c r="F197" s="33">
        <f t="shared" si="6"/>
        <v>1</v>
      </c>
      <c r="G197" s="33">
        <f t="shared" si="6"/>
        <v>0</v>
      </c>
      <c r="H197" s="33">
        <f t="shared" si="6"/>
        <v>0</v>
      </c>
      <c r="I197" s="40">
        <f t="shared" si="5"/>
        <v>3.7271710771524412E-4</v>
      </c>
      <c r="J197" s="40">
        <f t="shared" si="5"/>
        <v>0</v>
      </c>
      <c r="K197" s="40">
        <f t="shared" si="5"/>
        <v>0</v>
      </c>
      <c r="L197" s="40">
        <f>1000*M197/VLOOKUP(D197,'Normalised Rates'!$A$7:$B$12,2,FALSE)</f>
        <v>3.7271710771524412E-4</v>
      </c>
      <c r="M197" s="34">
        <v>1</v>
      </c>
    </row>
    <row r="198" spans="1:13" ht="15" customHeight="1" x14ac:dyDescent="0.25">
      <c r="A198" s="30" t="s">
        <v>136</v>
      </c>
      <c r="B198" s="30" t="s">
        <v>63</v>
      </c>
      <c r="C198" s="9" t="s">
        <v>64</v>
      </c>
      <c r="D198" s="32">
        <v>2025</v>
      </c>
      <c r="E198" s="33" t="s">
        <v>34</v>
      </c>
      <c r="F198" s="33">
        <f t="shared" si="6"/>
        <v>0</v>
      </c>
      <c r="G198" s="33">
        <f t="shared" si="6"/>
        <v>0</v>
      </c>
      <c r="H198" s="33">
        <f t="shared" si="6"/>
        <v>3</v>
      </c>
      <c r="I198" s="40">
        <f t="shared" si="5"/>
        <v>0</v>
      </c>
      <c r="J198" s="40">
        <f t="shared" si="5"/>
        <v>0</v>
      </c>
      <c r="K198" s="40">
        <f t="shared" si="5"/>
        <v>9.5147478591817321E-4</v>
      </c>
      <c r="L198" s="40">
        <f>1000*M198/VLOOKUP(D198,'Normalised Rates'!$A$7:$B$12,2,FALSE)</f>
        <v>9.5147478591817321E-4</v>
      </c>
      <c r="M198" s="34">
        <v>3</v>
      </c>
    </row>
    <row r="199" spans="1:13" ht="15" customHeight="1" x14ac:dyDescent="0.25">
      <c r="A199" s="30" t="s">
        <v>136</v>
      </c>
      <c r="B199" s="30" t="s">
        <v>63</v>
      </c>
      <c r="C199" s="9" t="s">
        <v>64</v>
      </c>
      <c r="D199" s="32">
        <v>2025</v>
      </c>
      <c r="E199" s="35" t="s">
        <v>163</v>
      </c>
      <c r="F199" s="33">
        <f t="shared" si="6"/>
        <v>11</v>
      </c>
      <c r="G199" s="33">
        <f t="shared" si="6"/>
        <v>0</v>
      </c>
      <c r="H199" s="33">
        <f t="shared" si="6"/>
        <v>0</v>
      </c>
      <c r="I199" s="40">
        <f t="shared" ref="I199:K262" si="7">IF(_xlfn.CONCAT($E199,"%")=I$5,$L199,0)</f>
        <v>3.4887408816999684E-3</v>
      </c>
      <c r="J199" s="40">
        <f t="shared" si="7"/>
        <v>0</v>
      </c>
      <c r="K199" s="40">
        <f t="shared" si="7"/>
        <v>0</v>
      </c>
      <c r="L199" s="40">
        <f>1000*M199/VLOOKUP(D199,'Normalised Rates'!$A$7:$B$12,2,FALSE)</f>
        <v>3.4887408816999684E-3</v>
      </c>
      <c r="M199" s="34">
        <v>11</v>
      </c>
    </row>
    <row r="200" spans="1:13" ht="15" customHeight="1" x14ac:dyDescent="0.25">
      <c r="A200" s="30" t="s">
        <v>136</v>
      </c>
      <c r="B200" s="30" t="s">
        <v>63</v>
      </c>
      <c r="C200" s="9" t="s">
        <v>64</v>
      </c>
      <c r="D200" s="32">
        <v>2026</v>
      </c>
      <c r="E200" s="35" t="s">
        <v>163</v>
      </c>
      <c r="F200" s="33">
        <f t="shared" si="6"/>
        <v>92</v>
      </c>
      <c r="G200" s="33">
        <f t="shared" si="6"/>
        <v>0</v>
      </c>
      <c r="H200" s="33">
        <f t="shared" si="6"/>
        <v>0</v>
      </c>
      <c r="I200" s="40">
        <f t="shared" si="7"/>
        <v>7.0028544243577545E-2</v>
      </c>
      <c r="J200" s="40">
        <f t="shared" si="7"/>
        <v>0</v>
      </c>
      <c r="K200" s="40">
        <f t="shared" si="7"/>
        <v>0</v>
      </c>
      <c r="L200" s="40">
        <f>1000*M200/VLOOKUP(D200,'Normalised Rates'!$A$7:$B$12,2,FALSE)</f>
        <v>7.0028544243577545E-2</v>
      </c>
      <c r="M200" s="34">
        <v>92</v>
      </c>
    </row>
    <row r="201" spans="1:13" ht="15" customHeight="1" x14ac:dyDescent="0.25">
      <c r="A201" s="30" t="s">
        <v>136</v>
      </c>
      <c r="B201" s="30" t="s">
        <v>96</v>
      </c>
      <c r="C201" s="9" t="s">
        <v>67</v>
      </c>
      <c r="D201" s="32">
        <v>2021</v>
      </c>
      <c r="E201" s="33" t="s">
        <v>34</v>
      </c>
      <c r="F201" s="33">
        <f t="shared" ref="F201:H264" si="8">IF($E201=F$5,$M201,0)</f>
        <v>0</v>
      </c>
      <c r="G201" s="33">
        <f t="shared" si="8"/>
        <v>0</v>
      </c>
      <c r="H201" s="33">
        <f t="shared" si="8"/>
        <v>19</v>
      </c>
      <c r="I201" s="40">
        <f t="shared" si="7"/>
        <v>0</v>
      </c>
      <c r="J201" s="40">
        <f t="shared" si="7"/>
        <v>0</v>
      </c>
      <c r="K201" s="40">
        <f t="shared" si="7"/>
        <v>1.1919698870765371E-2</v>
      </c>
      <c r="L201" s="40">
        <f>1000*M201/VLOOKUP(D201,'Normalised Rates'!$A$7:$B$12,2,FALSE)</f>
        <v>1.1919698870765371E-2</v>
      </c>
      <c r="M201" s="34">
        <v>19</v>
      </c>
    </row>
    <row r="202" spans="1:13" ht="15" customHeight="1" x14ac:dyDescent="0.25">
      <c r="A202" s="30" t="s">
        <v>136</v>
      </c>
      <c r="B202" s="30" t="s">
        <v>96</v>
      </c>
      <c r="C202" s="9" t="s">
        <v>67</v>
      </c>
      <c r="D202" s="32">
        <v>2021</v>
      </c>
      <c r="E202" s="35" t="s">
        <v>163</v>
      </c>
      <c r="F202" s="33">
        <f t="shared" si="8"/>
        <v>1</v>
      </c>
      <c r="G202" s="33">
        <f t="shared" si="8"/>
        <v>0</v>
      </c>
      <c r="H202" s="33">
        <f t="shared" si="8"/>
        <v>0</v>
      </c>
      <c r="I202" s="40">
        <f t="shared" si="7"/>
        <v>6.2735257214554575E-4</v>
      </c>
      <c r="J202" s="40">
        <f t="shared" si="7"/>
        <v>0</v>
      </c>
      <c r="K202" s="40">
        <f t="shared" si="7"/>
        <v>0</v>
      </c>
      <c r="L202" s="40">
        <f>1000*M202/VLOOKUP(D202,'Normalised Rates'!$A$7:$B$12,2,FALSE)</f>
        <v>6.2735257214554575E-4</v>
      </c>
      <c r="M202" s="34">
        <v>1</v>
      </c>
    </row>
    <row r="203" spans="1:13" ht="15" customHeight="1" x14ac:dyDescent="0.25">
      <c r="A203" s="30" t="s">
        <v>136</v>
      </c>
      <c r="B203" s="30" t="s">
        <v>96</v>
      </c>
      <c r="C203" s="9" t="s">
        <v>67</v>
      </c>
      <c r="D203" s="32">
        <v>2022</v>
      </c>
      <c r="E203" s="33" t="s">
        <v>34</v>
      </c>
      <c r="F203" s="33">
        <f t="shared" si="8"/>
        <v>0</v>
      </c>
      <c r="G203" s="33">
        <f t="shared" si="8"/>
        <v>0</v>
      </c>
      <c r="H203" s="33">
        <f t="shared" si="8"/>
        <v>18</v>
      </c>
      <c r="I203" s="40">
        <f t="shared" si="7"/>
        <v>0</v>
      </c>
      <c r="J203" s="40">
        <f t="shared" si="7"/>
        <v>0</v>
      </c>
      <c r="K203" s="40">
        <f t="shared" si="7"/>
        <v>9.5999999999999992E-3</v>
      </c>
      <c r="L203" s="40">
        <f>1000*M203/VLOOKUP(D203,'Normalised Rates'!$A$7:$B$12,2,FALSE)</f>
        <v>9.5999999999999992E-3</v>
      </c>
      <c r="M203" s="34">
        <v>18</v>
      </c>
    </row>
    <row r="204" spans="1:13" ht="15" customHeight="1" x14ac:dyDescent="0.25">
      <c r="A204" s="30" t="s">
        <v>136</v>
      </c>
      <c r="B204" s="30" t="s">
        <v>96</v>
      </c>
      <c r="C204" s="9" t="s">
        <v>67</v>
      </c>
      <c r="D204" s="32">
        <v>2022</v>
      </c>
      <c r="E204" s="35" t="s">
        <v>163</v>
      </c>
      <c r="F204" s="33">
        <f t="shared" si="8"/>
        <v>3</v>
      </c>
      <c r="G204" s="33">
        <f t="shared" si="8"/>
        <v>0</v>
      </c>
      <c r="H204" s="33">
        <f t="shared" si="8"/>
        <v>0</v>
      </c>
      <c r="I204" s="40">
        <f t="shared" si="7"/>
        <v>1.6000000000000001E-3</v>
      </c>
      <c r="J204" s="40">
        <f t="shared" si="7"/>
        <v>0</v>
      </c>
      <c r="K204" s="40">
        <f t="shared" si="7"/>
        <v>0</v>
      </c>
      <c r="L204" s="40">
        <f>1000*M204/VLOOKUP(D204,'Normalised Rates'!$A$7:$B$12,2,FALSE)</f>
        <v>1.6000000000000001E-3</v>
      </c>
      <c r="M204" s="34">
        <v>3</v>
      </c>
    </row>
    <row r="205" spans="1:13" ht="15" customHeight="1" x14ac:dyDescent="0.25">
      <c r="A205" s="30" t="s">
        <v>136</v>
      </c>
      <c r="B205" s="30" t="s">
        <v>96</v>
      </c>
      <c r="C205" s="9" t="s">
        <v>67</v>
      </c>
      <c r="D205" s="32">
        <v>2023</v>
      </c>
      <c r="E205" s="33" t="s">
        <v>34</v>
      </c>
      <c r="F205" s="33">
        <f t="shared" si="8"/>
        <v>0</v>
      </c>
      <c r="G205" s="33">
        <f t="shared" si="8"/>
        <v>0</v>
      </c>
      <c r="H205" s="33">
        <f t="shared" si="8"/>
        <v>25</v>
      </c>
      <c r="I205" s="40">
        <f t="shared" si="7"/>
        <v>0</v>
      </c>
      <c r="J205" s="40">
        <f t="shared" si="7"/>
        <v>0</v>
      </c>
      <c r="K205" s="40">
        <f t="shared" si="7"/>
        <v>1.0936132983377077E-2</v>
      </c>
      <c r="L205" s="40">
        <f>1000*M205/VLOOKUP(D205,'Normalised Rates'!$A$7:$B$12,2,FALSE)</f>
        <v>1.0936132983377077E-2</v>
      </c>
      <c r="M205" s="34">
        <v>25</v>
      </c>
    </row>
    <row r="206" spans="1:13" ht="15" customHeight="1" x14ac:dyDescent="0.25">
      <c r="A206" s="30" t="s">
        <v>136</v>
      </c>
      <c r="B206" s="30" t="s">
        <v>96</v>
      </c>
      <c r="C206" s="9" t="s">
        <v>67</v>
      </c>
      <c r="D206" s="32">
        <v>2023</v>
      </c>
      <c r="E206" s="35" t="s">
        <v>163</v>
      </c>
      <c r="F206" s="33">
        <f t="shared" si="8"/>
        <v>12</v>
      </c>
      <c r="G206" s="33">
        <f t="shared" si="8"/>
        <v>0</v>
      </c>
      <c r="H206" s="33">
        <f t="shared" si="8"/>
        <v>0</v>
      </c>
      <c r="I206" s="40">
        <f t="shared" si="7"/>
        <v>5.2493438320209973E-3</v>
      </c>
      <c r="J206" s="40">
        <f t="shared" si="7"/>
        <v>0</v>
      </c>
      <c r="K206" s="40">
        <f t="shared" si="7"/>
        <v>0</v>
      </c>
      <c r="L206" s="40">
        <f>1000*M206/VLOOKUP(D206,'Normalised Rates'!$A$7:$B$12,2,FALSE)</f>
        <v>5.2493438320209973E-3</v>
      </c>
      <c r="M206" s="34">
        <v>12</v>
      </c>
    </row>
    <row r="207" spans="1:13" ht="15" customHeight="1" x14ac:dyDescent="0.25">
      <c r="A207" s="30" t="s">
        <v>136</v>
      </c>
      <c r="B207" s="30" t="s">
        <v>96</v>
      </c>
      <c r="C207" s="9" t="s">
        <v>67</v>
      </c>
      <c r="D207" s="32">
        <v>2024</v>
      </c>
      <c r="E207" s="33" t="s">
        <v>34</v>
      </c>
      <c r="F207" s="33">
        <f t="shared" si="8"/>
        <v>0</v>
      </c>
      <c r="G207" s="33">
        <f t="shared" si="8"/>
        <v>0</v>
      </c>
      <c r="H207" s="33">
        <f t="shared" si="8"/>
        <v>11</v>
      </c>
      <c r="I207" s="40">
        <f t="shared" si="7"/>
        <v>0</v>
      </c>
      <c r="J207" s="40">
        <f t="shared" si="7"/>
        <v>0</v>
      </c>
      <c r="K207" s="40">
        <f t="shared" si="7"/>
        <v>4.0998881848676857E-3</v>
      </c>
      <c r="L207" s="40">
        <f>1000*M207/VLOOKUP(D207,'Normalised Rates'!$A$7:$B$12,2,FALSE)</f>
        <v>4.0998881848676857E-3</v>
      </c>
      <c r="M207" s="34">
        <v>11</v>
      </c>
    </row>
    <row r="208" spans="1:13" ht="15" customHeight="1" x14ac:dyDescent="0.25">
      <c r="A208" s="30" t="s">
        <v>136</v>
      </c>
      <c r="B208" s="30" t="s">
        <v>96</v>
      </c>
      <c r="C208" s="9" t="s">
        <v>67</v>
      </c>
      <c r="D208" s="32">
        <v>2024</v>
      </c>
      <c r="E208" s="35" t="s">
        <v>163</v>
      </c>
      <c r="F208" s="33">
        <f t="shared" si="8"/>
        <v>6</v>
      </c>
      <c r="G208" s="33">
        <f t="shared" si="8"/>
        <v>0</v>
      </c>
      <c r="H208" s="33">
        <f t="shared" si="8"/>
        <v>0</v>
      </c>
      <c r="I208" s="40">
        <f t="shared" si="7"/>
        <v>2.2363026462914647E-3</v>
      </c>
      <c r="J208" s="40">
        <f t="shared" si="7"/>
        <v>0</v>
      </c>
      <c r="K208" s="40">
        <f t="shared" si="7"/>
        <v>0</v>
      </c>
      <c r="L208" s="40">
        <f>1000*M208/VLOOKUP(D208,'Normalised Rates'!$A$7:$B$12,2,FALSE)</f>
        <v>2.2363026462914647E-3</v>
      </c>
      <c r="M208" s="34">
        <v>6</v>
      </c>
    </row>
    <row r="209" spans="1:13" ht="15" customHeight="1" x14ac:dyDescent="0.25">
      <c r="A209" s="30" t="s">
        <v>136</v>
      </c>
      <c r="B209" s="30" t="s">
        <v>96</v>
      </c>
      <c r="C209" s="9" t="s">
        <v>67</v>
      </c>
      <c r="D209" s="32">
        <v>2025</v>
      </c>
      <c r="E209" s="33" t="s">
        <v>34</v>
      </c>
      <c r="F209" s="33">
        <f t="shared" si="8"/>
        <v>0</v>
      </c>
      <c r="G209" s="33">
        <f t="shared" si="8"/>
        <v>0</v>
      </c>
      <c r="H209" s="33">
        <f t="shared" si="8"/>
        <v>5</v>
      </c>
      <c r="I209" s="40">
        <f t="shared" si="7"/>
        <v>0</v>
      </c>
      <c r="J209" s="40">
        <f t="shared" si="7"/>
        <v>0</v>
      </c>
      <c r="K209" s="40">
        <f t="shared" si="7"/>
        <v>1.585791309863622E-3</v>
      </c>
      <c r="L209" s="40">
        <f>1000*M209/VLOOKUP(D209,'Normalised Rates'!$A$7:$B$12,2,FALSE)</f>
        <v>1.585791309863622E-3</v>
      </c>
      <c r="M209" s="34">
        <v>5</v>
      </c>
    </row>
    <row r="210" spans="1:13" ht="15" customHeight="1" x14ac:dyDescent="0.25">
      <c r="A210" s="30" t="s">
        <v>136</v>
      </c>
      <c r="B210" s="30" t="s">
        <v>96</v>
      </c>
      <c r="C210" s="9" t="s">
        <v>67</v>
      </c>
      <c r="D210" s="32">
        <v>2025</v>
      </c>
      <c r="E210" s="35" t="s">
        <v>163</v>
      </c>
      <c r="F210" s="33">
        <f t="shared" si="8"/>
        <v>5</v>
      </c>
      <c r="G210" s="33">
        <f t="shared" si="8"/>
        <v>0</v>
      </c>
      <c r="H210" s="33">
        <f t="shared" si="8"/>
        <v>0</v>
      </c>
      <c r="I210" s="40">
        <f t="shared" si="7"/>
        <v>1.585791309863622E-3</v>
      </c>
      <c r="J210" s="40">
        <f t="shared" si="7"/>
        <v>0</v>
      </c>
      <c r="K210" s="40">
        <f t="shared" si="7"/>
        <v>0</v>
      </c>
      <c r="L210" s="40">
        <f>1000*M210/VLOOKUP(D210,'Normalised Rates'!$A$7:$B$12,2,FALSE)</f>
        <v>1.585791309863622E-3</v>
      </c>
      <c r="M210" s="34">
        <v>5</v>
      </c>
    </row>
    <row r="211" spans="1:13" ht="15" customHeight="1" x14ac:dyDescent="0.25">
      <c r="A211" s="30" t="s">
        <v>136</v>
      </c>
      <c r="B211" s="30" t="s">
        <v>96</v>
      </c>
      <c r="C211" s="9" t="s">
        <v>67</v>
      </c>
      <c r="D211" s="32">
        <v>2026</v>
      </c>
      <c r="E211" s="33" t="s">
        <v>34</v>
      </c>
      <c r="F211" s="33">
        <f t="shared" si="8"/>
        <v>0</v>
      </c>
      <c r="G211" s="33">
        <f t="shared" si="8"/>
        <v>0</v>
      </c>
      <c r="H211" s="33">
        <f t="shared" si="8"/>
        <v>4</v>
      </c>
      <c r="I211" s="40">
        <f t="shared" si="7"/>
        <v>0</v>
      </c>
      <c r="J211" s="40">
        <f t="shared" si="7"/>
        <v>0</v>
      </c>
      <c r="K211" s="40">
        <f t="shared" si="7"/>
        <v>3.0447193149381541E-3</v>
      </c>
      <c r="L211" s="40">
        <f>1000*M211/VLOOKUP(D211,'Normalised Rates'!$A$7:$B$12,2,FALSE)</f>
        <v>3.0447193149381541E-3</v>
      </c>
      <c r="M211" s="34">
        <v>4</v>
      </c>
    </row>
    <row r="212" spans="1:13" ht="15" customHeight="1" x14ac:dyDescent="0.25">
      <c r="A212" s="30" t="s">
        <v>136</v>
      </c>
      <c r="B212" s="30" t="s">
        <v>96</v>
      </c>
      <c r="C212" s="9" t="s">
        <v>67</v>
      </c>
      <c r="D212" s="32">
        <v>2026</v>
      </c>
      <c r="E212" s="35" t="s">
        <v>163</v>
      </c>
      <c r="F212" s="33">
        <f t="shared" si="8"/>
        <v>4</v>
      </c>
      <c r="G212" s="33">
        <f t="shared" si="8"/>
        <v>0</v>
      </c>
      <c r="H212" s="33">
        <f t="shared" si="8"/>
        <v>0</v>
      </c>
      <c r="I212" s="40">
        <f t="shared" si="7"/>
        <v>3.0447193149381541E-3</v>
      </c>
      <c r="J212" s="40">
        <f t="shared" si="7"/>
        <v>0</v>
      </c>
      <c r="K212" s="40">
        <f t="shared" si="7"/>
        <v>0</v>
      </c>
      <c r="L212" s="40">
        <f>1000*M212/VLOOKUP(D212,'Normalised Rates'!$A$7:$B$12,2,FALSE)</f>
        <v>3.0447193149381541E-3</v>
      </c>
      <c r="M212" s="34">
        <v>4</v>
      </c>
    </row>
    <row r="213" spans="1:13" ht="15" customHeight="1" x14ac:dyDescent="0.25">
      <c r="A213" s="30" t="s">
        <v>136</v>
      </c>
      <c r="B213" s="30" t="s">
        <v>104</v>
      </c>
      <c r="C213" s="9" t="s">
        <v>105</v>
      </c>
      <c r="D213" s="32">
        <v>2021</v>
      </c>
      <c r="E213" s="33" t="s">
        <v>34</v>
      </c>
      <c r="F213" s="33">
        <f t="shared" si="8"/>
        <v>0</v>
      </c>
      <c r="G213" s="33">
        <f t="shared" si="8"/>
        <v>0</v>
      </c>
      <c r="H213" s="33">
        <f t="shared" si="8"/>
        <v>1</v>
      </c>
      <c r="I213" s="40">
        <f t="shared" si="7"/>
        <v>0</v>
      </c>
      <c r="J213" s="40">
        <f t="shared" si="7"/>
        <v>0</v>
      </c>
      <c r="K213" s="40">
        <f t="shared" si="7"/>
        <v>6.2735257214554575E-4</v>
      </c>
      <c r="L213" s="40">
        <f>1000*M213/VLOOKUP(D213,'Normalised Rates'!$A$7:$B$12,2,FALSE)</f>
        <v>6.2735257214554575E-4</v>
      </c>
      <c r="M213" s="34">
        <v>1</v>
      </c>
    </row>
    <row r="214" spans="1:13" ht="15" customHeight="1" x14ac:dyDescent="0.25">
      <c r="A214" s="30" t="s">
        <v>136</v>
      </c>
      <c r="B214" s="30" t="s">
        <v>104</v>
      </c>
      <c r="C214" s="9" t="s">
        <v>105</v>
      </c>
      <c r="D214" s="32">
        <v>2022</v>
      </c>
      <c r="E214" s="33" t="s">
        <v>34</v>
      </c>
      <c r="F214" s="33">
        <f t="shared" si="8"/>
        <v>0</v>
      </c>
      <c r="G214" s="33">
        <f t="shared" si="8"/>
        <v>0</v>
      </c>
      <c r="H214" s="33">
        <f t="shared" si="8"/>
        <v>8</v>
      </c>
      <c r="I214" s="40">
        <f t="shared" si="7"/>
        <v>0</v>
      </c>
      <c r="J214" s="40">
        <f t="shared" si="7"/>
        <v>0</v>
      </c>
      <c r="K214" s="40">
        <f t="shared" si="7"/>
        <v>4.2666666666666669E-3</v>
      </c>
      <c r="L214" s="40">
        <f>1000*M214/VLOOKUP(D214,'Normalised Rates'!$A$7:$B$12,2,FALSE)</f>
        <v>4.2666666666666669E-3</v>
      </c>
      <c r="M214" s="34">
        <v>8</v>
      </c>
    </row>
    <row r="215" spans="1:13" ht="15" customHeight="1" x14ac:dyDescent="0.25">
      <c r="A215" s="30" t="s">
        <v>136</v>
      </c>
      <c r="B215" s="30" t="s">
        <v>104</v>
      </c>
      <c r="C215" s="9" t="s">
        <v>105</v>
      </c>
      <c r="D215" s="32">
        <v>2022</v>
      </c>
      <c r="E215" s="35" t="s">
        <v>163</v>
      </c>
      <c r="F215" s="33">
        <f t="shared" si="8"/>
        <v>1</v>
      </c>
      <c r="G215" s="33">
        <f t="shared" si="8"/>
        <v>0</v>
      </c>
      <c r="H215" s="33">
        <f t="shared" si="8"/>
        <v>0</v>
      </c>
      <c r="I215" s="40">
        <f t="shared" si="7"/>
        <v>5.3333333333333336E-4</v>
      </c>
      <c r="J215" s="40">
        <f t="shared" si="7"/>
        <v>0</v>
      </c>
      <c r="K215" s="40">
        <f t="shared" si="7"/>
        <v>0</v>
      </c>
      <c r="L215" s="40">
        <f>1000*M215/VLOOKUP(D215,'Normalised Rates'!$A$7:$B$12,2,FALSE)</f>
        <v>5.3333333333333336E-4</v>
      </c>
      <c r="M215" s="34">
        <v>1</v>
      </c>
    </row>
    <row r="216" spans="1:13" ht="15" customHeight="1" x14ac:dyDescent="0.25">
      <c r="A216" s="30" t="s">
        <v>136</v>
      </c>
      <c r="B216" s="30" t="s">
        <v>104</v>
      </c>
      <c r="C216" s="9" t="s">
        <v>105</v>
      </c>
      <c r="D216" s="32">
        <v>2023</v>
      </c>
      <c r="E216" s="33" t="s">
        <v>34</v>
      </c>
      <c r="F216" s="33">
        <f t="shared" si="8"/>
        <v>0</v>
      </c>
      <c r="G216" s="33">
        <f t="shared" si="8"/>
        <v>0</v>
      </c>
      <c r="H216" s="33">
        <f t="shared" si="8"/>
        <v>15</v>
      </c>
      <c r="I216" s="40">
        <f t="shared" si="7"/>
        <v>0</v>
      </c>
      <c r="J216" s="40">
        <f t="shared" si="7"/>
        <v>0</v>
      </c>
      <c r="K216" s="40">
        <f t="shared" si="7"/>
        <v>6.5616797900262466E-3</v>
      </c>
      <c r="L216" s="40">
        <f>1000*M216/VLOOKUP(D216,'Normalised Rates'!$A$7:$B$12,2,FALSE)</f>
        <v>6.5616797900262466E-3</v>
      </c>
      <c r="M216" s="34">
        <v>15</v>
      </c>
    </row>
    <row r="217" spans="1:13" ht="15" customHeight="1" x14ac:dyDescent="0.25">
      <c r="A217" s="30" t="s">
        <v>136</v>
      </c>
      <c r="B217" s="30" t="s">
        <v>104</v>
      </c>
      <c r="C217" s="9" t="s">
        <v>105</v>
      </c>
      <c r="D217" s="32">
        <v>2023</v>
      </c>
      <c r="E217" s="35" t="s">
        <v>163</v>
      </c>
      <c r="F217" s="33">
        <f t="shared" si="8"/>
        <v>11</v>
      </c>
      <c r="G217" s="33">
        <f t="shared" si="8"/>
        <v>0</v>
      </c>
      <c r="H217" s="33">
        <f t="shared" si="8"/>
        <v>0</v>
      </c>
      <c r="I217" s="40">
        <f t="shared" si="7"/>
        <v>4.8118985126859139E-3</v>
      </c>
      <c r="J217" s="40">
        <f t="shared" si="7"/>
        <v>0</v>
      </c>
      <c r="K217" s="40">
        <f t="shared" si="7"/>
        <v>0</v>
      </c>
      <c r="L217" s="40">
        <f>1000*M217/VLOOKUP(D217,'Normalised Rates'!$A$7:$B$12,2,FALSE)</f>
        <v>4.8118985126859139E-3</v>
      </c>
      <c r="M217" s="34">
        <v>11</v>
      </c>
    </row>
    <row r="218" spans="1:13" ht="15" customHeight="1" x14ac:dyDescent="0.25">
      <c r="A218" s="30" t="s">
        <v>136</v>
      </c>
      <c r="B218" s="30" t="s">
        <v>104</v>
      </c>
      <c r="C218" s="9" t="s">
        <v>105</v>
      </c>
      <c r="D218" s="32">
        <v>2024</v>
      </c>
      <c r="E218" s="33" t="s">
        <v>34</v>
      </c>
      <c r="F218" s="33">
        <f t="shared" si="8"/>
        <v>0</v>
      </c>
      <c r="G218" s="33">
        <f t="shared" si="8"/>
        <v>0</v>
      </c>
      <c r="H218" s="33">
        <f t="shared" si="8"/>
        <v>13</v>
      </c>
      <c r="I218" s="40">
        <f t="shared" si="7"/>
        <v>0</v>
      </c>
      <c r="J218" s="40">
        <f t="shared" si="7"/>
        <v>0</v>
      </c>
      <c r="K218" s="40">
        <f t="shared" si="7"/>
        <v>4.8453224002981739E-3</v>
      </c>
      <c r="L218" s="40">
        <f>1000*M218/VLOOKUP(D218,'Normalised Rates'!$A$7:$B$12,2,FALSE)</f>
        <v>4.8453224002981739E-3</v>
      </c>
      <c r="M218" s="34">
        <v>13</v>
      </c>
    </row>
    <row r="219" spans="1:13" ht="15" customHeight="1" x14ac:dyDescent="0.25">
      <c r="A219" s="30" t="s">
        <v>136</v>
      </c>
      <c r="B219" s="30" t="s">
        <v>104</v>
      </c>
      <c r="C219" s="9" t="s">
        <v>105</v>
      </c>
      <c r="D219" s="32">
        <v>2024</v>
      </c>
      <c r="E219" s="35" t="s">
        <v>163</v>
      </c>
      <c r="F219" s="33">
        <f t="shared" si="8"/>
        <v>9</v>
      </c>
      <c r="G219" s="33">
        <f t="shared" si="8"/>
        <v>0</v>
      </c>
      <c r="H219" s="33">
        <f t="shared" si="8"/>
        <v>0</v>
      </c>
      <c r="I219" s="40">
        <f t="shared" si="7"/>
        <v>3.354453969437197E-3</v>
      </c>
      <c r="J219" s="40">
        <f t="shared" si="7"/>
        <v>0</v>
      </c>
      <c r="K219" s="40">
        <f t="shared" si="7"/>
        <v>0</v>
      </c>
      <c r="L219" s="40">
        <f>1000*M219/VLOOKUP(D219,'Normalised Rates'!$A$7:$B$12,2,FALSE)</f>
        <v>3.354453969437197E-3</v>
      </c>
      <c r="M219" s="34">
        <v>9</v>
      </c>
    </row>
    <row r="220" spans="1:13" ht="15" customHeight="1" x14ac:dyDescent="0.25">
      <c r="A220" s="30" t="s">
        <v>136</v>
      </c>
      <c r="B220" s="30" t="s">
        <v>104</v>
      </c>
      <c r="C220" s="9" t="s">
        <v>105</v>
      </c>
      <c r="D220" s="32">
        <v>2025</v>
      </c>
      <c r="E220" s="33" t="s">
        <v>34</v>
      </c>
      <c r="F220" s="33">
        <f t="shared" si="8"/>
        <v>0</v>
      </c>
      <c r="G220" s="33">
        <f t="shared" si="8"/>
        <v>0</v>
      </c>
      <c r="H220" s="33">
        <f t="shared" si="8"/>
        <v>5</v>
      </c>
      <c r="I220" s="40">
        <f t="shared" si="7"/>
        <v>0</v>
      </c>
      <c r="J220" s="40">
        <f t="shared" si="7"/>
        <v>0</v>
      </c>
      <c r="K220" s="40">
        <f t="shared" si="7"/>
        <v>1.585791309863622E-3</v>
      </c>
      <c r="L220" s="40">
        <f>1000*M220/VLOOKUP(D220,'Normalised Rates'!$A$7:$B$12,2,FALSE)</f>
        <v>1.585791309863622E-3</v>
      </c>
      <c r="M220" s="34">
        <v>5</v>
      </c>
    </row>
    <row r="221" spans="1:13" ht="15" customHeight="1" x14ac:dyDescent="0.25">
      <c r="A221" s="30" t="s">
        <v>136</v>
      </c>
      <c r="B221" s="30" t="s">
        <v>104</v>
      </c>
      <c r="C221" s="9" t="s">
        <v>105</v>
      </c>
      <c r="D221" s="32">
        <v>2025</v>
      </c>
      <c r="E221" s="35" t="s">
        <v>163</v>
      </c>
      <c r="F221" s="33">
        <f t="shared" si="8"/>
        <v>4</v>
      </c>
      <c r="G221" s="33">
        <f t="shared" si="8"/>
        <v>0</v>
      </c>
      <c r="H221" s="33">
        <f t="shared" si="8"/>
        <v>0</v>
      </c>
      <c r="I221" s="40">
        <f t="shared" si="7"/>
        <v>1.2686330478908975E-3</v>
      </c>
      <c r="J221" s="40">
        <f t="shared" si="7"/>
        <v>0</v>
      </c>
      <c r="K221" s="40">
        <f t="shared" si="7"/>
        <v>0</v>
      </c>
      <c r="L221" s="40">
        <f>1000*M221/VLOOKUP(D221,'Normalised Rates'!$A$7:$B$12,2,FALSE)</f>
        <v>1.2686330478908975E-3</v>
      </c>
      <c r="M221" s="34">
        <v>4</v>
      </c>
    </row>
    <row r="222" spans="1:13" ht="15" customHeight="1" x14ac:dyDescent="0.25">
      <c r="A222" s="30" t="s">
        <v>136</v>
      </c>
      <c r="B222" s="30" t="s">
        <v>104</v>
      </c>
      <c r="C222" s="9" t="s">
        <v>105</v>
      </c>
      <c r="D222" s="32">
        <v>2026</v>
      </c>
      <c r="E222" s="33" t="s">
        <v>34</v>
      </c>
      <c r="F222" s="33">
        <f t="shared" si="8"/>
        <v>0</v>
      </c>
      <c r="G222" s="33">
        <f t="shared" si="8"/>
        <v>0</v>
      </c>
      <c r="H222" s="33">
        <f t="shared" si="8"/>
        <v>1</v>
      </c>
      <c r="I222" s="40">
        <f t="shared" si="7"/>
        <v>0</v>
      </c>
      <c r="J222" s="40">
        <f t="shared" si="7"/>
        <v>0</v>
      </c>
      <c r="K222" s="40">
        <f t="shared" si="7"/>
        <v>7.6117982873453852E-4</v>
      </c>
      <c r="L222" s="40">
        <f>1000*M222/VLOOKUP(D222,'Normalised Rates'!$A$7:$B$12,2,FALSE)</f>
        <v>7.6117982873453852E-4</v>
      </c>
      <c r="M222" s="34">
        <v>1</v>
      </c>
    </row>
    <row r="223" spans="1:13" ht="15" customHeight="1" x14ac:dyDescent="0.25">
      <c r="A223" s="30" t="s">
        <v>136</v>
      </c>
      <c r="B223" s="30" t="s">
        <v>104</v>
      </c>
      <c r="C223" s="9" t="s">
        <v>105</v>
      </c>
      <c r="D223" s="32">
        <v>2026</v>
      </c>
      <c r="E223" s="35" t="s">
        <v>163</v>
      </c>
      <c r="F223" s="33">
        <f t="shared" si="8"/>
        <v>1</v>
      </c>
      <c r="G223" s="33">
        <f t="shared" si="8"/>
        <v>0</v>
      </c>
      <c r="H223" s="33">
        <f t="shared" si="8"/>
        <v>0</v>
      </c>
      <c r="I223" s="40">
        <f t="shared" si="7"/>
        <v>7.6117982873453852E-4</v>
      </c>
      <c r="J223" s="40">
        <f t="shared" si="7"/>
        <v>0</v>
      </c>
      <c r="K223" s="40">
        <f t="shared" si="7"/>
        <v>0</v>
      </c>
      <c r="L223" s="40">
        <f>1000*M223/VLOOKUP(D223,'Normalised Rates'!$A$7:$B$12,2,FALSE)</f>
        <v>7.6117982873453852E-4</v>
      </c>
      <c r="M223" s="34">
        <v>1</v>
      </c>
    </row>
    <row r="224" spans="1:13" ht="15" customHeight="1" x14ac:dyDescent="0.25">
      <c r="A224" s="30" t="s">
        <v>136</v>
      </c>
      <c r="B224" s="30" t="s">
        <v>107</v>
      </c>
      <c r="C224" s="9" t="s">
        <v>67</v>
      </c>
      <c r="D224" s="32">
        <v>2021</v>
      </c>
      <c r="E224" s="33" t="s">
        <v>34</v>
      </c>
      <c r="F224" s="33">
        <f t="shared" si="8"/>
        <v>0</v>
      </c>
      <c r="G224" s="33">
        <f t="shared" si="8"/>
        <v>0</v>
      </c>
      <c r="H224" s="33">
        <f t="shared" si="8"/>
        <v>3</v>
      </c>
      <c r="I224" s="40">
        <f t="shared" si="7"/>
        <v>0</v>
      </c>
      <c r="J224" s="40">
        <f t="shared" si="7"/>
        <v>0</v>
      </c>
      <c r="K224" s="40">
        <f t="shared" si="7"/>
        <v>1.8820577164366374E-3</v>
      </c>
      <c r="L224" s="40">
        <f>1000*M224/VLOOKUP(D224,'Normalised Rates'!$A$7:$B$12,2,FALSE)</f>
        <v>1.8820577164366374E-3</v>
      </c>
      <c r="M224" s="34">
        <v>3</v>
      </c>
    </row>
    <row r="225" spans="1:13" ht="15" customHeight="1" x14ac:dyDescent="0.25">
      <c r="A225" s="30" t="s">
        <v>136</v>
      </c>
      <c r="B225" s="30" t="s">
        <v>107</v>
      </c>
      <c r="C225" s="9" t="s">
        <v>67</v>
      </c>
      <c r="D225" s="32">
        <v>2022</v>
      </c>
      <c r="E225" s="33" t="s">
        <v>34</v>
      </c>
      <c r="F225" s="33">
        <f t="shared" si="8"/>
        <v>0</v>
      </c>
      <c r="G225" s="33">
        <f t="shared" si="8"/>
        <v>0</v>
      </c>
      <c r="H225" s="33">
        <f t="shared" si="8"/>
        <v>2</v>
      </c>
      <c r="I225" s="40">
        <f t="shared" si="7"/>
        <v>0</v>
      </c>
      <c r="J225" s="40">
        <f t="shared" si="7"/>
        <v>0</v>
      </c>
      <c r="K225" s="40">
        <f t="shared" si="7"/>
        <v>1.0666666666666667E-3</v>
      </c>
      <c r="L225" s="40">
        <f>1000*M225/VLOOKUP(D225,'Normalised Rates'!$A$7:$B$12,2,FALSE)</f>
        <v>1.0666666666666667E-3</v>
      </c>
      <c r="M225" s="34">
        <v>2</v>
      </c>
    </row>
    <row r="226" spans="1:13" ht="15" customHeight="1" x14ac:dyDescent="0.25">
      <c r="A226" s="30" t="s">
        <v>136</v>
      </c>
      <c r="B226" s="30" t="s">
        <v>107</v>
      </c>
      <c r="C226" s="9" t="s">
        <v>67</v>
      </c>
      <c r="D226" s="32">
        <v>2022</v>
      </c>
      <c r="E226" s="35" t="s">
        <v>163</v>
      </c>
      <c r="F226" s="33">
        <f t="shared" si="8"/>
        <v>3</v>
      </c>
      <c r="G226" s="33">
        <f t="shared" si="8"/>
        <v>0</v>
      </c>
      <c r="H226" s="33">
        <f t="shared" si="8"/>
        <v>0</v>
      </c>
      <c r="I226" s="40">
        <f t="shared" si="7"/>
        <v>1.6000000000000001E-3</v>
      </c>
      <c r="J226" s="40">
        <f t="shared" si="7"/>
        <v>0</v>
      </c>
      <c r="K226" s="40">
        <f t="shared" si="7"/>
        <v>0</v>
      </c>
      <c r="L226" s="40">
        <f>1000*M226/VLOOKUP(D226,'Normalised Rates'!$A$7:$B$12,2,FALSE)</f>
        <v>1.6000000000000001E-3</v>
      </c>
      <c r="M226" s="34">
        <v>3</v>
      </c>
    </row>
    <row r="227" spans="1:13" ht="15" customHeight="1" x14ac:dyDescent="0.25">
      <c r="A227" s="30" t="s">
        <v>136</v>
      </c>
      <c r="B227" s="30" t="s">
        <v>107</v>
      </c>
      <c r="C227" s="9" t="s">
        <v>67</v>
      </c>
      <c r="D227" s="32">
        <v>2023</v>
      </c>
      <c r="E227" s="33" t="s">
        <v>34</v>
      </c>
      <c r="F227" s="33">
        <f t="shared" si="8"/>
        <v>0</v>
      </c>
      <c r="G227" s="33">
        <f t="shared" si="8"/>
        <v>0</v>
      </c>
      <c r="H227" s="33">
        <f t="shared" si="8"/>
        <v>12</v>
      </c>
      <c r="I227" s="40">
        <f t="shared" si="7"/>
        <v>0</v>
      </c>
      <c r="J227" s="40">
        <f t="shared" si="7"/>
        <v>0</v>
      </c>
      <c r="K227" s="40">
        <f t="shared" si="7"/>
        <v>5.2493438320209973E-3</v>
      </c>
      <c r="L227" s="40">
        <f>1000*M227/VLOOKUP(D227,'Normalised Rates'!$A$7:$B$12,2,FALSE)</f>
        <v>5.2493438320209973E-3</v>
      </c>
      <c r="M227" s="34">
        <v>12</v>
      </c>
    </row>
    <row r="228" spans="1:13" ht="15" customHeight="1" x14ac:dyDescent="0.25">
      <c r="A228" s="30" t="s">
        <v>136</v>
      </c>
      <c r="B228" s="30" t="s">
        <v>107</v>
      </c>
      <c r="C228" s="9" t="s">
        <v>67</v>
      </c>
      <c r="D228" s="32">
        <v>2023</v>
      </c>
      <c r="E228" s="35" t="s">
        <v>163</v>
      </c>
      <c r="F228" s="33">
        <f t="shared" si="8"/>
        <v>25</v>
      </c>
      <c r="G228" s="33">
        <f t="shared" si="8"/>
        <v>0</v>
      </c>
      <c r="H228" s="33">
        <f t="shared" si="8"/>
        <v>0</v>
      </c>
      <c r="I228" s="40">
        <f t="shared" si="7"/>
        <v>1.0936132983377077E-2</v>
      </c>
      <c r="J228" s="40">
        <f t="shared" si="7"/>
        <v>0</v>
      </c>
      <c r="K228" s="40">
        <f t="shared" si="7"/>
        <v>0</v>
      </c>
      <c r="L228" s="40">
        <f>1000*M228/VLOOKUP(D228,'Normalised Rates'!$A$7:$B$12,2,FALSE)</f>
        <v>1.0936132983377077E-2</v>
      </c>
      <c r="M228" s="34">
        <v>25</v>
      </c>
    </row>
    <row r="229" spans="1:13" ht="15" customHeight="1" x14ac:dyDescent="0.25">
      <c r="A229" s="30" t="s">
        <v>136</v>
      </c>
      <c r="B229" s="30" t="s">
        <v>107</v>
      </c>
      <c r="C229" s="9" t="s">
        <v>67</v>
      </c>
      <c r="D229" s="32">
        <v>2024</v>
      </c>
      <c r="E229" s="33" t="s">
        <v>34</v>
      </c>
      <c r="F229" s="33">
        <f t="shared" si="8"/>
        <v>0</v>
      </c>
      <c r="G229" s="33">
        <f t="shared" si="8"/>
        <v>0</v>
      </c>
      <c r="H229" s="33">
        <f t="shared" si="8"/>
        <v>4</v>
      </c>
      <c r="I229" s="40">
        <f t="shared" si="7"/>
        <v>0</v>
      </c>
      <c r="J229" s="40">
        <f t="shared" si="7"/>
        <v>0</v>
      </c>
      <c r="K229" s="40">
        <f t="shared" si="7"/>
        <v>1.4908684308609765E-3</v>
      </c>
      <c r="L229" s="40">
        <f>1000*M229/VLOOKUP(D229,'Normalised Rates'!$A$7:$B$12,2,FALSE)</f>
        <v>1.4908684308609765E-3</v>
      </c>
      <c r="M229" s="34">
        <v>4</v>
      </c>
    </row>
    <row r="230" spans="1:13" ht="15" customHeight="1" x14ac:dyDescent="0.25">
      <c r="A230" s="30" t="s">
        <v>136</v>
      </c>
      <c r="B230" s="30" t="s">
        <v>107</v>
      </c>
      <c r="C230" s="9" t="s">
        <v>67</v>
      </c>
      <c r="D230" s="32">
        <v>2024</v>
      </c>
      <c r="E230" s="35" t="s">
        <v>163</v>
      </c>
      <c r="F230" s="33">
        <f t="shared" si="8"/>
        <v>6</v>
      </c>
      <c r="G230" s="33">
        <f t="shared" si="8"/>
        <v>0</v>
      </c>
      <c r="H230" s="33">
        <f t="shared" si="8"/>
        <v>0</v>
      </c>
      <c r="I230" s="40">
        <f t="shared" si="7"/>
        <v>2.2363026462914647E-3</v>
      </c>
      <c r="J230" s="40">
        <f t="shared" si="7"/>
        <v>0</v>
      </c>
      <c r="K230" s="40">
        <f t="shared" si="7"/>
        <v>0</v>
      </c>
      <c r="L230" s="40">
        <f>1000*M230/VLOOKUP(D230,'Normalised Rates'!$A$7:$B$12,2,FALSE)</f>
        <v>2.2363026462914647E-3</v>
      </c>
      <c r="M230" s="34">
        <v>6</v>
      </c>
    </row>
    <row r="231" spans="1:13" ht="15" customHeight="1" x14ac:dyDescent="0.25">
      <c r="A231" s="30" t="s">
        <v>136</v>
      </c>
      <c r="B231" s="30" t="s">
        <v>107</v>
      </c>
      <c r="C231" s="9" t="s">
        <v>67</v>
      </c>
      <c r="D231" s="32">
        <v>2025</v>
      </c>
      <c r="E231" s="35" t="s">
        <v>163</v>
      </c>
      <c r="F231" s="33">
        <f t="shared" si="8"/>
        <v>6</v>
      </c>
      <c r="G231" s="33">
        <f t="shared" si="8"/>
        <v>0</v>
      </c>
      <c r="H231" s="33">
        <f t="shared" si="8"/>
        <v>0</v>
      </c>
      <c r="I231" s="40">
        <f t="shared" si="7"/>
        <v>1.9029495718363464E-3</v>
      </c>
      <c r="J231" s="40">
        <f t="shared" si="7"/>
        <v>0</v>
      </c>
      <c r="K231" s="40">
        <f t="shared" si="7"/>
        <v>0</v>
      </c>
      <c r="L231" s="40">
        <f>1000*M231/VLOOKUP(D231,'Normalised Rates'!$A$7:$B$12,2,FALSE)</f>
        <v>1.9029495718363464E-3</v>
      </c>
      <c r="M231" s="34">
        <v>6</v>
      </c>
    </row>
    <row r="232" spans="1:13" ht="15" customHeight="1" x14ac:dyDescent="0.25">
      <c r="A232" s="30" t="s">
        <v>136</v>
      </c>
      <c r="B232" s="30" t="s">
        <v>107</v>
      </c>
      <c r="C232" s="9" t="s">
        <v>67</v>
      </c>
      <c r="D232" s="32">
        <v>2026</v>
      </c>
      <c r="E232" s="33" t="s">
        <v>34</v>
      </c>
      <c r="F232" s="33">
        <f t="shared" si="8"/>
        <v>0</v>
      </c>
      <c r="G232" s="33">
        <f t="shared" si="8"/>
        <v>0</v>
      </c>
      <c r="H232" s="33">
        <f t="shared" si="8"/>
        <v>1</v>
      </c>
      <c r="I232" s="40">
        <f t="shared" si="7"/>
        <v>0</v>
      </c>
      <c r="J232" s="40">
        <f t="shared" si="7"/>
        <v>0</v>
      </c>
      <c r="K232" s="40">
        <f t="shared" si="7"/>
        <v>7.6117982873453852E-4</v>
      </c>
      <c r="L232" s="40">
        <f>1000*M232/VLOOKUP(D232,'Normalised Rates'!$A$7:$B$12,2,FALSE)</f>
        <v>7.6117982873453852E-4</v>
      </c>
      <c r="M232" s="34">
        <v>1</v>
      </c>
    </row>
    <row r="233" spans="1:13" ht="15" customHeight="1" x14ac:dyDescent="0.25">
      <c r="A233" s="30" t="s">
        <v>136</v>
      </c>
      <c r="B233" s="30" t="s">
        <v>107</v>
      </c>
      <c r="C233" s="9" t="s">
        <v>67</v>
      </c>
      <c r="D233" s="32">
        <v>2026</v>
      </c>
      <c r="E233" s="35" t="s">
        <v>163</v>
      </c>
      <c r="F233" s="33">
        <f t="shared" si="8"/>
        <v>7</v>
      </c>
      <c r="G233" s="33">
        <f t="shared" si="8"/>
        <v>0</v>
      </c>
      <c r="H233" s="33">
        <f t="shared" si="8"/>
        <v>0</v>
      </c>
      <c r="I233" s="40">
        <f t="shared" si="7"/>
        <v>5.3282588011417699E-3</v>
      </c>
      <c r="J233" s="40">
        <f t="shared" si="7"/>
        <v>0</v>
      </c>
      <c r="K233" s="40">
        <f t="shared" si="7"/>
        <v>0</v>
      </c>
      <c r="L233" s="40">
        <f>1000*M233/VLOOKUP(D233,'Normalised Rates'!$A$7:$B$12,2,FALSE)</f>
        <v>5.3282588011417699E-3</v>
      </c>
      <c r="M233" s="34">
        <v>7</v>
      </c>
    </row>
    <row r="234" spans="1:13" ht="15" customHeight="1" x14ac:dyDescent="0.25">
      <c r="A234" s="30" t="s">
        <v>136</v>
      </c>
      <c r="B234" s="30" t="s">
        <v>92</v>
      </c>
      <c r="C234" s="9" t="s">
        <v>84</v>
      </c>
      <c r="D234" s="32">
        <v>2021</v>
      </c>
      <c r="E234" s="33" t="s">
        <v>34</v>
      </c>
      <c r="F234" s="33">
        <f t="shared" si="8"/>
        <v>0</v>
      </c>
      <c r="G234" s="33">
        <f t="shared" si="8"/>
        <v>0</v>
      </c>
      <c r="H234" s="33">
        <f t="shared" si="8"/>
        <v>6</v>
      </c>
      <c r="I234" s="40">
        <f t="shared" si="7"/>
        <v>0</v>
      </c>
      <c r="J234" s="40">
        <f t="shared" si="7"/>
        <v>0</v>
      </c>
      <c r="K234" s="40">
        <f t="shared" si="7"/>
        <v>3.7641154328732747E-3</v>
      </c>
      <c r="L234" s="40">
        <f>1000*M234/VLOOKUP(D234,'Normalised Rates'!$A$7:$B$12,2,FALSE)</f>
        <v>3.7641154328732747E-3</v>
      </c>
      <c r="M234" s="34">
        <v>6</v>
      </c>
    </row>
    <row r="235" spans="1:13" ht="15" customHeight="1" x14ac:dyDescent="0.25">
      <c r="A235" s="30" t="s">
        <v>136</v>
      </c>
      <c r="B235" s="30" t="s">
        <v>92</v>
      </c>
      <c r="C235" s="9" t="s">
        <v>84</v>
      </c>
      <c r="D235" s="32">
        <v>2021</v>
      </c>
      <c r="E235" s="35" t="s">
        <v>163</v>
      </c>
      <c r="F235" s="33">
        <f t="shared" si="8"/>
        <v>1</v>
      </c>
      <c r="G235" s="33">
        <f t="shared" si="8"/>
        <v>0</v>
      </c>
      <c r="H235" s="33">
        <f t="shared" si="8"/>
        <v>0</v>
      </c>
      <c r="I235" s="40">
        <f t="shared" si="7"/>
        <v>6.2735257214554575E-4</v>
      </c>
      <c r="J235" s="40">
        <f t="shared" si="7"/>
        <v>0</v>
      </c>
      <c r="K235" s="40">
        <f t="shared" si="7"/>
        <v>0</v>
      </c>
      <c r="L235" s="40">
        <f>1000*M235/VLOOKUP(D235,'Normalised Rates'!$A$7:$B$12,2,FALSE)</f>
        <v>6.2735257214554575E-4</v>
      </c>
      <c r="M235" s="34">
        <v>1</v>
      </c>
    </row>
    <row r="236" spans="1:13" ht="15" customHeight="1" x14ac:dyDescent="0.25">
      <c r="A236" s="30" t="s">
        <v>136</v>
      </c>
      <c r="B236" s="30" t="s">
        <v>92</v>
      </c>
      <c r="C236" s="9" t="s">
        <v>84</v>
      </c>
      <c r="D236" s="32">
        <v>2022</v>
      </c>
      <c r="E236" s="33" t="s">
        <v>34</v>
      </c>
      <c r="F236" s="33">
        <f t="shared" si="8"/>
        <v>0</v>
      </c>
      <c r="G236" s="33">
        <f t="shared" si="8"/>
        <v>0</v>
      </c>
      <c r="H236" s="33">
        <f t="shared" si="8"/>
        <v>7</v>
      </c>
      <c r="I236" s="40">
        <f t="shared" si="7"/>
        <v>0</v>
      </c>
      <c r="J236" s="40">
        <f t="shared" si="7"/>
        <v>0</v>
      </c>
      <c r="K236" s="40">
        <f t="shared" si="7"/>
        <v>3.7333333333333333E-3</v>
      </c>
      <c r="L236" s="40">
        <f>1000*M236/VLOOKUP(D236,'Normalised Rates'!$A$7:$B$12,2,FALSE)</f>
        <v>3.7333333333333333E-3</v>
      </c>
      <c r="M236" s="34">
        <v>7</v>
      </c>
    </row>
    <row r="237" spans="1:13" ht="15" customHeight="1" x14ac:dyDescent="0.25">
      <c r="A237" s="30" t="s">
        <v>136</v>
      </c>
      <c r="B237" s="30" t="s">
        <v>92</v>
      </c>
      <c r="C237" s="9" t="s">
        <v>84</v>
      </c>
      <c r="D237" s="32">
        <v>2022</v>
      </c>
      <c r="E237" s="35" t="s">
        <v>163</v>
      </c>
      <c r="F237" s="33">
        <f t="shared" si="8"/>
        <v>4</v>
      </c>
      <c r="G237" s="33">
        <f t="shared" si="8"/>
        <v>0</v>
      </c>
      <c r="H237" s="33">
        <f t="shared" si="8"/>
        <v>0</v>
      </c>
      <c r="I237" s="40">
        <f t="shared" si="7"/>
        <v>2.1333333333333334E-3</v>
      </c>
      <c r="J237" s="40">
        <f t="shared" si="7"/>
        <v>0</v>
      </c>
      <c r="K237" s="40">
        <f t="shared" si="7"/>
        <v>0</v>
      </c>
      <c r="L237" s="40">
        <f>1000*M237/VLOOKUP(D237,'Normalised Rates'!$A$7:$B$12,2,FALSE)</f>
        <v>2.1333333333333334E-3</v>
      </c>
      <c r="M237" s="34">
        <v>4</v>
      </c>
    </row>
    <row r="238" spans="1:13" ht="15" customHeight="1" x14ac:dyDescent="0.25">
      <c r="A238" s="30" t="s">
        <v>136</v>
      </c>
      <c r="B238" s="30" t="s">
        <v>92</v>
      </c>
      <c r="C238" s="9" t="s">
        <v>84</v>
      </c>
      <c r="D238" s="32">
        <v>2023</v>
      </c>
      <c r="E238" s="33" t="s">
        <v>34</v>
      </c>
      <c r="F238" s="33">
        <f t="shared" si="8"/>
        <v>0</v>
      </c>
      <c r="G238" s="33">
        <f t="shared" si="8"/>
        <v>0</v>
      </c>
      <c r="H238" s="33">
        <f t="shared" si="8"/>
        <v>10</v>
      </c>
      <c r="I238" s="40">
        <f t="shared" si="7"/>
        <v>0</v>
      </c>
      <c r="J238" s="40">
        <f t="shared" si="7"/>
        <v>0</v>
      </c>
      <c r="K238" s="40">
        <f t="shared" si="7"/>
        <v>4.3744531933508314E-3</v>
      </c>
      <c r="L238" s="40">
        <f>1000*M238/VLOOKUP(D238,'Normalised Rates'!$A$7:$B$12,2,FALSE)</f>
        <v>4.3744531933508314E-3</v>
      </c>
      <c r="M238" s="34">
        <v>10</v>
      </c>
    </row>
    <row r="239" spans="1:13" ht="15" customHeight="1" x14ac:dyDescent="0.25">
      <c r="A239" s="30" t="s">
        <v>136</v>
      </c>
      <c r="B239" s="30" t="s">
        <v>92</v>
      </c>
      <c r="C239" s="9" t="s">
        <v>84</v>
      </c>
      <c r="D239" s="32">
        <v>2023</v>
      </c>
      <c r="E239" s="35" t="s">
        <v>163</v>
      </c>
      <c r="F239" s="33">
        <f t="shared" si="8"/>
        <v>19</v>
      </c>
      <c r="G239" s="33">
        <f t="shared" si="8"/>
        <v>0</v>
      </c>
      <c r="H239" s="33">
        <f t="shared" si="8"/>
        <v>0</v>
      </c>
      <c r="I239" s="40">
        <f t="shared" si="7"/>
        <v>8.3114610673665785E-3</v>
      </c>
      <c r="J239" s="40">
        <f t="shared" si="7"/>
        <v>0</v>
      </c>
      <c r="K239" s="40">
        <f t="shared" si="7"/>
        <v>0</v>
      </c>
      <c r="L239" s="40">
        <f>1000*M239/VLOOKUP(D239,'Normalised Rates'!$A$7:$B$12,2,FALSE)</f>
        <v>8.3114610673665785E-3</v>
      </c>
      <c r="M239" s="34">
        <v>19</v>
      </c>
    </row>
    <row r="240" spans="1:13" ht="15" customHeight="1" x14ac:dyDescent="0.25">
      <c r="A240" s="30" t="s">
        <v>136</v>
      </c>
      <c r="B240" s="30" t="s">
        <v>92</v>
      </c>
      <c r="C240" s="9" t="s">
        <v>84</v>
      </c>
      <c r="D240" s="32">
        <v>2024</v>
      </c>
      <c r="E240" s="33" t="s">
        <v>34</v>
      </c>
      <c r="F240" s="33">
        <f t="shared" si="8"/>
        <v>0</v>
      </c>
      <c r="G240" s="33">
        <f t="shared" si="8"/>
        <v>0</v>
      </c>
      <c r="H240" s="33">
        <f t="shared" si="8"/>
        <v>2</v>
      </c>
      <c r="I240" s="40">
        <f t="shared" si="7"/>
        <v>0</v>
      </c>
      <c r="J240" s="40">
        <f t="shared" si="7"/>
        <v>0</v>
      </c>
      <c r="K240" s="40">
        <f t="shared" si="7"/>
        <v>7.4543421543048823E-4</v>
      </c>
      <c r="L240" s="40">
        <f>1000*M240/VLOOKUP(D240,'Normalised Rates'!$A$7:$B$12,2,FALSE)</f>
        <v>7.4543421543048823E-4</v>
      </c>
      <c r="M240" s="34">
        <v>2</v>
      </c>
    </row>
    <row r="241" spans="1:13" ht="15" customHeight="1" x14ac:dyDescent="0.25">
      <c r="A241" s="30" t="s">
        <v>136</v>
      </c>
      <c r="B241" s="30" t="s">
        <v>92</v>
      </c>
      <c r="C241" s="9" t="s">
        <v>84</v>
      </c>
      <c r="D241" s="32">
        <v>2024</v>
      </c>
      <c r="E241" s="35" t="s">
        <v>163</v>
      </c>
      <c r="F241" s="33">
        <f t="shared" si="8"/>
        <v>6</v>
      </c>
      <c r="G241" s="33">
        <f t="shared" si="8"/>
        <v>0</v>
      </c>
      <c r="H241" s="33">
        <f t="shared" si="8"/>
        <v>0</v>
      </c>
      <c r="I241" s="40">
        <f t="shared" si="7"/>
        <v>2.2363026462914647E-3</v>
      </c>
      <c r="J241" s="40">
        <f t="shared" si="7"/>
        <v>0</v>
      </c>
      <c r="K241" s="40">
        <f t="shared" si="7"/>
        <v>0</v>
      </c>
      <c r="L241" s="40">
        <f>1000*M241/VLOOKUP(D241,'Normalised Rates'!$A$7:$B$12,2,FALSE)</f>
        <v>2.2363026462914647E-3</v>
      </c>
      <c r="M241" s="34">
        <v>6</v>
      </c>
    </row>
    <row r="242" spans="1:13" ht="15" customHeight="1" x14ac:dyDescent="0.25">
      <c r="A242" s="30" t="s">
        <v>136</v>
      </c>
      <c r="B242" s="30" t="s">
        <v>92</v>
      </c>
      <c r="C242" s="9" t="s">
        <v>84</v>
      </c>
      <c r="D242" s="32">
        <v>2025</v>
      </c>
      <c r="E242" s="33" t="s">
        <v>34</v>
      </c>
      <c r="F242" s="33">
        <f t="shared" si="8"/>
        <v>0</v>
      </c>
      <c r="G242" s="33">
        <f t="shared" si="8"/>
        <v>0</v>
      </c>
      <c r="H242" s="33">
        <f t="shared" si="8"/>
        <v>2</v>
      </c>
      <c r="I242" s="40">
        <f t="shared" si="7"/>
        <v>0</v>
      </c>
      <c r="J242" s="40">
        <f t="shared" si="7"/>
        <v>0</v>
      </c>
      <c r="K242" s="40">
        <f t="shared" si="7"/>
        <v>6.3431652394544877E-4</v>
      </c>
      <c r="L242" s="40">
        <f>1000*M242/VLOOKUP(D242,'Normalised Rates'!$A$7:$B$12,2,FALSE)</f>
        <v>6.3431652394544877E-4</v>
      </c>
      <c r="M242" s="34">
        <v>2</v>
      </c>
    </row>
    <row r="243" spans="1:13" ht="15" customHeight="1" x14ac:dyDescent="0.25">
      <c r="A243" s="30" t="s">
        <v>136</v>
      </c>
      <c r="B243" s="30" t="s">
        <v>92</v>
      </c>
      <c r="C243" s="9" t="s">
        <v>84</v>
      </c>
      <c r="D243" s="32">
        <v>2025</v>
      </c>
      <c r="E243" s="35" t="s">
        <v>163</v>
      </c>
      <c r="F243" s="33">
        <f t="shared" si="8"/>
        <v>8</v>
      </c>
      <c r="G243" s="33">
        <f t="shared" si="8"/>
        <v>0</v>
      </c>
      <c r="H243" s="33">
        <f t="shared" si="8"/>
        <v>0</v>
      </c>
      <c r="I243" s="40">
        <f t="shared" si="7"/>
        <v>2.5372660957817951E-3</v>
      </c>
      <c r="J243" s="40">
        <f t="shared" si="7"/>
        <v>0</v>
      </c>
      <c r="K243" s="40">
        <f t="shared" si="7"/>
        <v>0</v>
      </c>
      <c r="L243" s="40">
        <f>1000*M243/VLOOKUP(D243,'Normalised Rates'!$A$7:$B$12,2,FALSE)</f>
        <v>2.5372660957817951E-3</v>
      </c>
      <c r="M243" s="34">
        <v>8</v>
      </c>
    </row>
    <row r="244" spans="1:13" ht="15" customHeight="1" x14ac:dyDescent="0.25">
      <c r="A244" s="30" t="s">
        <v>136</v>
      </c>
      <c r="B244" s="30" t="s">
        <v>92</v>
      </c>
      <c r="C244" s="9" t="s">
        <v>84</v>
      </c>
      <c r="D244" s="32">
        <v>2026</v>
      </c>
      <c r="E244" s="35" t="s">
        <v>163</v>
      </c>
      <c r="F244" s="33">
        <f t="shared" si="8"/>
        <v>1</v>
      </c>
      <c r="G244" s="33">
        <f t="shared" si="8"/>
        <v>0</v>
      </c>
      <c r="H244" s="33">
        <f t="shared" si="8"/>
        <v>0</v>
      </c>
      <c r="I244" s="40">
        <f t="shared" si="7"/>
        <v>7.6117982873453852E-4</v>
      </c>
      <c r="J244" s="40">
        <f t="shared" si="7"/>
        <v>0</v>
      </c>
      <c r="K244" s="40">
        <f t="shared" si="7"/>
        <v>0</v>
      </c>
      <c r="L244" s="40">
        <f>1000*M244/VLOOKUP(D244,'Normalised Rates'!$A$7:$B$12,2,FALSE)</f>
        <v>7.6117982873453852E-4</v>
      </c>
      <c r="M244" s="34">
        <v>1</v>
      </c>
    </row>
    <row r="245" spans="1:13" ht="15" customHeight="1" x14ac:dyDescent="0.25">
      <c r="A245" s="30" t="s">
        <v>136</v>
      </c>
      <c r="B245" s="30" t="s">
        <v>77</v>
      </c>
      <c r="C245" s="9" t="s">
        <v>64</v>
      </c>
      <c r="D245" s="32">
        <v>2021</v>
      </c>
      <c r="E245" s="33" t="s">
        <v>34</v>
      </c>
      <c r="F245" s="33">
        <f t="shared" si="8"/>
        <v>0</v>
      </c>
      <c r="G245" s="33">
        <f t="shared" si="8"/>
        <v>0</v>
      </c>
      <c r="H245" s="33">
        <f t="shared" si="8"/>
        <v>3</v>
      </c>
      <c r="I245" s="40">
        <f t="shared" si="7"/>
        <v>0</v>
      </c>
      <c r="J245" s="40">
        <f t="shared" si="7"/>
        <v>0</v>
      </c>
      <c r="K245" s="40">
        <f t="shared" si="7"/>
        <v>1.8820577164366374E-3</v>
      </c>
      <c r="L245" s="40">
        <f>1000*M245/VLOOKUP(D245,'Normalised Rates'!$A$7:$B$12,2,FALSE)</f>
        <v>1.8820577164366374E-3</v>
      </c>
      <c r="M245" s="34">
        <v>3</v>
      </c>
    </row>
    <row r="246" spans="1:13" ht="15" customHeight="1" x14ac:dyDescent="0.25">
      <c r="A246" s="30" t="s">
        <v>136</v>
      </c>
      <c r="B246" s="30" t="s">
        <v>77</v>
      </c>
      <c r="C246" s="9" t="s">
        <v>64</v>
      </c>
      <c r="D246" s="32">
        <v>2021</v>
      </c>
      <c r="E246" s="35" t="s">
        <v>163</v>
      </c>
      <c r="F246" s="33">
        <f t="shared" si="8"/>
        <v>14</v>
      </c>
      <c r="G246" s="33">
        <f t="shared" si="8"/>
        <v>0</v>
      </c>
      <c r="H246" s="33">
        <f t="shared" si="8"/>
        <v>0</v>
      </c>
      <c r="I246" s="40">
        <f t="shared" si="7"/>
        <v>8.7829360100376407E-3</v>
      </c>
      <c r="J246" s="40">
        <f t="shared" si="7"/>
        <v>0</v>
      </c>
      <c r="K246" s="40">
        <f t="shared" si="7"/>
        <v>0</v>
      </c>
      <c r="L246" s="40">
        <f>1000*M246/VLOOKUP(D246,'Normalised Rates'!$A$7:$B$12,2,FALSE)</f>
        <v>8.7829360100376407E-3</v>
      </c>
      <c r="M246" s="34">
        <v>14</v>
      </c>
    </row>
    <row r="247" spans="1:13" ht="15" customHeight="1" x14ac:dyDescent="0.25">
      <c r="A247" s="30" t="s">
        <v>136</v>
      </c>
      <c r="B247" s="30" t="s">
        <v>77</v>
      </c>
      <c r="C247" s="9" t="s">
        <v>64</v>
      </c>
      <c r="D247" s="32">
        <v>2022</v>
      </c>
      <c r="E247" s="33" t="s">
        <v>34</v>
      </c>
      <c r="F247" s="33">
        <f t="shared" si="8"/>
        <v>0</v>
      </c>
      <c r="G247" s="33">
        <f t="shared" si="8"/>
        <v>0</v>
      </c>
      <c r="H247" s="33">
        <f t="shared" si="8"/>
        <v>3</v>
      </c>
      <c r="I247" s="40">
        <f t="shared" si="7"/>
        <v>0</v>
      </c>
      <c r="J247" s="40">
        <f t="shared" si="7"/>
        <v>0</v>
      </c>
      <c r="K247" s="40">
        <f t="shared" si="7"/>
        <v>1.6000000000000001E-3</v>
      </c>
      <c r="L247" s="40">
        <f>1000*M247/VLOOKUP(D247,'Normalised Rates'!$A$7:$B$12,2,FALSE)</f>
        <v>1.6000000000000001E-3</v>
      </c>
      <c r="M247" s="34">
        <v>3</v>
      </c>
    </row>
    <row r="248" spans="1:13" ht="15" customHeight="1" x14ac:dyDescent="0.25">
      <c r="A248" s="30" t="s">
        <v>136</v>
      </c>
      <c r="B248" s="30" t="s">
        <v>77</v>
      </c>
      <c r="C248" s="9" t="s">
        <v>64</v>
      </c>
      <c r="D248" s="32">
        <v>2022</v>
      </c>
      <c r="E248" s="35" t="s">
        <v>163</v>
      </c>
      <c r="F248" s="33">
        <f t="shared" si="8"/>
        <v>10</v>
      </c>
      <c r="G248" s="33">
        <f t="shared" si="8"/>
        <v>0</v>
      </c>
      <c r="H248" s="33">
        <f t="shared" si="8"/>
        <v>0</v>
      </c>
      <c r="I248" s="40">
        <f t="shared" si="7"/>
        <v>5.3333333333333332E-3</v>
      </c>
      <c r="J248" s="40">
        <f t="shared" si="7"/>
        <v>0</v>
      </c>
      <c r="K248" s="40">
        <f t="shared" si="7"/>
        <v>0</v>
      </c>
      <c r="L248" s="40">
        <f>1000*M248/VLOOKUP(D248,'Normalised Rates'!$A$7:$B$12,2,FALSE)</f>
        <v>5.3333333333333332E-3</v>
      </c>
      <c r="M248" s="34">
        <v>10</v>
      </c>
    </row>
    <row r="249" spans="1:13" ht="15" customHeight="1" x14ac:dyDescent="0.25">
      <c r="A249" s="30" t="s">
        <v>136</v>
      </c>
      <c r="B249" s="30" t="s">
        <v>77</v>
      </c>
      <c r="C249" s="9" t="s">
        <v>64</v>
      </c>
      <c r="D249" s="32">
        <v>2023</v>
      </c>
      <c r="E249" s="33" t="s">
        <v>34</v>
      </c>
      <c r="F249" s="33">
        <f t="shared" si="8"/>
        <v>0</v>
      </c>
      <c r="G249" s="33">
        <f t="shared" si="8"/>
        <v>0</v>
      </c>
      <c r="H249" s="33">
        <f t="shared" si="8"/>
        <v>5</v>
      </c>
      <c r="I249" s="40">
        <f t="shared" si="7"/>
        <v>0</v>
      </c>
      <c r="J249" s="40">
        <f t="shared" si="7"/>
        <v>0</v>
      </c>
      <c r="K249" s="40">
        <f t="shared" si="7"/>
        <v>2.1872265966754157E-3</v>
      </c>
      <c r="L249" s="40">
        <f>1000*M249/VLOOKUP(D249,'Normalised Rates'!$A$7:$B$12,2,FALSE)</f>
        <v>2.1872265966754157E-3</v>
      </c>
      <c r="M249" s="34">
        <v>5</v>
      </c>
    </row>
    <row r="250" spans="1:13" ht="15" customHeight="1" x14ac:dyDescent="0.25">
      <c r="A250" s="30" t="s">
        <v>136</v>
      </c>
      <c r="B250" s="30" t="s">
        <v>77</v>
      </c>
      <c r="C250" s="9" t="s">
        <v>64</v>
      </c>
      <c r="D250" s="32">
        <v>2023</v>
      </c>
      <c r="E250" s="35" t="s">
        <v>163</v>
      </c>
      <c r="F250" s="33">
        <f t="shared" si="8"/>
        <v>6</v>
      </c>
      <c r="G250" s="33">
        <f t="shared" si="8"/>
        <v>0</v>
      </c>
      <c r="H250" s="33">
        <f t="shared" si="8"/>
        <v>0</v>
      </c>
      <c r="I250" s="40">
        <f t="shared" si="7"/>
        <v>2.6246719160104987E-3</v>
      </c>
      <c r="J250" s="40">
        <f t="shared" si="7"/>
        <v>0</v>
      </c>
      <c r="K250" s="40">
        <f t="shared" si="7"/>
        <v>0</v>
      </c>
      <c r="L250" s="40">
        <f>1000*M250/VLOOKUP(D250,'Normalised Rates'!$A$7:$B$12,2,FALSE)</f>
        <v>2.6246719160104987E-3</v>
      </c>
      <c r="M250" s="34">
        <v>6</v>
      </c>
    </row>
    <row r="251" spans="1:13" ht="15" customHeight="1" x14ac:dyDescent="0.25">
      <c r="A251" s="30" t="s">
        <v>136</v>
      </c>
      <c r="B251" s="30" t="s">
        <v>77</v>
      </c>
      <c r="C251" s="9" t="s">
        <v>64</v>
      </c>
      <c r="D251" s="32">
        <v>2024</v>
      </c>
      <c r="E251" s="33" t="s">
        <v>34</v>
      </c>
      <c r="F251" s="33">
        <f t="shared" si="8"/>
        <v>0</v>
      </c>
      <c r="G251" s="33">
        <f t="shared" si="8"/>
        <v>0</v>
      </c>
      <c r="H251" s="33">
        <f t="shared" si="8"/>
        <v>1</v>
      </c>
      <c r="I251" s="40">
        <f t="shared" si="7"/>
        <v>0</v>
      </c>
      <c r="J251" s="40">
        <f t="shared" si="7"/>
        <v>0</v>
      </c>
      <c r="K251" s="40">
        <f t="shared" si="7"/>
        <v>3.7271710771524412E-4</v>
      </c>
      <c r="L251" s="40">
        <f>1000*M251/VLOOKUP(D251,'Normalised Rates'!$A$7:$B$12,2,FALSE)</f>
        <v>3.7271710771524412E-4</v>
      </c>
      <c r="M251" s="34">
        <v>1</v>
      </c>
    </row>
    <row r="252" spans="1:13" ht="15" customHeight="1" x14ac:dyDescent="0.25">
      <c r="A252" s="30" t="s">
        <v>136</v>
      </c>
      <c r="B252" s="30" t="s">
        <v>77</v>
      </c>
      <c r="C252" s="9" t="s">
        <v>64</v>
      </c>
      <c r="D252" s="32">
        <v>2025</v>
      </c>
      <c r="E252" s="33" t="s">
        <v>34</v>
      </c>
      <c r="F252" s="33">
        <f t="shared" si="8"/>
        <v>0</v>
      </c>
      <c r="G252" s="33">
        <f t="shared" si="8"/>
        <v>0</v>
      </c>
      <c r="H252" s="33">
        <f t="shared" si="8"/>
        <v>4</v>
      </c>
      <c r="I252" s="40">
        <f t="shared" si="7"/>
        <v>0</v>
      </c>
      <c r="J252" s="40">
        <f t="shared" si="7"/>
        <v>0</v>
      </c>
      <c r="K252" s="40">
        <f t="shared" si="7"/>
        <v>1.2686330478908975E-3</v>
      </c>
      <c r="L252" s="40">
        <f>1000*M252/VLOOKUP(D252,'Normalised Rates'!$A$7:$B$12,2,FALSE)</f>
        <v>1.2686330478908975E-3</v>
      </c>
      <c r="M252" s="34">
        <v>4</v>
      </c>
    </row>
    <row r="253" spans="1:13" ht="15" customHeight="1" x14ac:dyDescent="0.25">
      <c r="A253" s="30" t="s">
        <v>136</v>
      </c>
      <c r="B253" s="30" t="s">
        <v>77</v>
      </c>
      <c r="C253" s="9" t="s">
        <v>64</v>
      </c>
      <c r="D253" s="32">
        <v>2025</v>
      </c>
      <c r="E253" s="35" t="s">
        <v>163</v>
      </c>
      <c r="F253" s="33">
        <f t="shared" si="8"/>
        <v>5</v>
      </c>
      <c r="G253" s="33">
        <f t="shared" si="8"/>
        <v>0</v>
      </c>
      <c r="H253" s="33">
        <f t="shared" si="8"/>
        <v>0</v>
      </c>
      <c r="I253" s="40">
        <f t="shared" si="7"/>
        <v>1.585791309863622E-3</v>
      </c>
      <c r="J253" s="40">
        <f t="shared" si="7"/>
        <v>0</v>
      </c>
      <c r="K253" s="40">
        <f t="shared" si="7"/>
        <v>0</v>
      </c>
      <c r="L253" s="40">
        <f>1000*M253/VLOOKUP(D253,'Normalised Rates'!$A$7:$B$12,2,FALSE)</f>
        <v>1.585791309863622E-3</v>
      </c>
      <c r="M253" s="34">
        <v>5</v>
      </c>
    </row>
    <row r="254" spans="1:13" ht="15" customHeight="1" x14ac:dyDescent="0.25">
      <c r="A254" s="30" t="s">
        <v>136</v>
      </c>
      <c r="B254" s="30" t="s">
        <v>77</v>
      </c>
      <c r="C254" s="9" t="s">
        <v>64</v>
      </c>
      <c r="D254" s="32">
        <v>2026</v>
      </c>
      <c r="E254" s="33" t="s">
        <v>34</v>
      </c>
      <c r="F254" s="33">
        <f t="shared" si="8"/>
        <v>0</v>
      </c>
      <c r="G254" s="33">
        <f t="shared" si="8"/>
        <v>0</v>
      </c>
      <c r="H254" s="33">
        <f t="shared" si="8"/>
        <v>2</v>
      </c>
      <c r="I254" s="40">
        <f t="shared" si="7"/>
        <v>0</v>
      </c>
      <c r="J254" s="40">
        <f t="shared" si="7"/>
        <v>0</v>
      </c>
      <c r="K254" s="40">
        <f t="shared" si="7"/>
        <v>1.522359657469077E-3</v>
      </c>
      <c r="L254" s="40">
        <f>1000*M254/VLOOKUP(D254,'Normalised Rates'!$A$7:$B$12,2,FALSE)</f>
        <v>1.522359657469077E-3</v>
      </c>
      <c r="M254" s="34">
        <v>2</v>
      </c>
    </row>
    <row r="255" spans="1:13" ht="15" customHeight="1" x14ac:dyDescent="0.25">
      <c r="A255" s="30" t="s">
        <v>136</v>
      </c>
      <c r="B255" s="30" t="s">
        <v>77</v>
      </c>
      <c r="C255" s="9" t="s">
        <v>64</v>
      </c>
      <c r="D255" s="32">
        <v>2026</v>
      </c>
      <c r="E255" s="35" t="s">
        <v>163</v>
      </c>
      <c r="F255" s="33">
        <f t="shared" si="8"/>
        <v>7</v>
      </c>
      <c r="G255" s="33">
        <f t="shared" si="8"/>
        <v>0</v>
      </c>
      <c r="H255" s="33">
        <f t="shared" si="8"/>
        <v>0</v>
      </c>
      <c r="I255" s="40">
        <f t="shared" si="7"/>
        <v>5.3282588011417699E-3</v>
      </c>
      <c r="J255" s="40">
        <f t="shared" si="7"/>
        <v>0</v>
      </c>
      <c r="K255" s="40">
        <f t="shared" si="7"/>
        <v>0</v>
      </c>
      <c r="L255" s="40">
        <f>1000*M255/VLOOKUP(D255,'Normalised Rates'!$A$7:$B$12,2,FALSE)</f>
        <v>5.3282588011417699E-3</v>
      </c>
      <c r="M255" s="34">
        <v>7</v>
      </c>
    </row>
    <row r="256" spans="1:13" ht="15" customHeight="1" x14ac:dyDescent="0.25">
      <c r="A256" s="30" t="s">
        <v>136</v>
      </c>
      <c r="B256" s="30" t="s">
        <v>111</v>
      </c>
      <c r="C256" s="9" t="s">
        <v>105</v>
      </c>
      <c r="D256" s="32">
        <v>2021</v>
      </c>
      <c r="E256" s="33" t="s">
        <v>34</v>
      </c>
      <c r="F256" s="33">
        <f t="shared" si="8"/>
        <v>0</v>
      </c>
      <c r="G256" s="33">
        <f t="shared" si="8"/>
        <v>0</v>
      </c>
      <c r="H256" s="33">
        <f t="shared" si="8"/>
        <v>10</v>
      </c>
      <c r="I256" s="40">
        <f t="shared" si="7"/>
        <v>0</v>
      </c>
      <c r="J256" s="40">
        <f t="shared" si="7"/>
        <v>0</v>
      </c>
      <c r="K256" s="40">
        <f t="shared" si="7"/>
        <v>6.2735257214554582E-3</v>
      </c>
      <c r="L256" s="40">
        <f>1000*M256/VLOOKUP(D256,'Normalised Rates'!$A$7:$B$12,2,FALSE)</f>
        <v>6.2735257214554582E-3</v>
      </c>
      <c r="M256" s="34">
        <v>10</v>
      </c>
    </row>
    <row r="257" spans="1:13" ht="15" customHeight="1" x14ac:dyDescent="0.25">
      <c r="A257" s="30" t="s">
        <v>136</v>
      </c>
      <c r="B257" s="30" t="s">
        <v>111</v>
      </c>
      <c r="C257" s="9" t="s">
        <v>105</v>
      </c>
      <c r="D257" s="32">
        <v>2022</v>
      </c>
      <c r="E257" s="33" t="s">
        <v>34</v>
      </c>
      <c r="F257" s="33">
        <f t="shared" si="8"/>
        <v>0</v>
      </c>
      <c r="G257" s="33">
        <f t="shared" si="8"/>
        <v>0</v>
      </c>
      <c r="H257" s="33">
        <f t="shared" si="8"/>
        <v>3</v>
      </c>
      <c r="I257" s="40">
        <f t="shared" si="7"/>
        <v>0</v>
      </c>
      <c r="J257" s="40">
        <f t="shared" si="7"/>
        <v>0</v>
      </c>
      <c r="K257" s="40">
        <f t="shared" si="7"/>
        <v>1.6000000000000001E-3</v>
      </c>
      <c r="L257" s="40">
        <f>1000*M257/VLOOKUP(D257,'Normalised Rates'!$A$7:$B$12,2,FALSE)</f>
        <v>1.6000000000000001E-3</v>
      </c>
      <c r="M257" s="34">
        <v>3</v>
      </c>
    </row>
    <row r="258" spans="1:13" ht="15" customHeight="1" x14ac:dyDescent="0.25">
      <c r="A258" s="30" t="s">
        <v>136</v>
      </c>
      <c r="B258" s="30" t="s">
        <v>111</v>
      </c>
      <c r="C258" s="9" t="s">
        <v>105</v>
      </c>
      <c r="D258" s="32">
        <v>2022</v>
      </c>
      <c r="E258" s="35" t="s">
        <v>163</v>
      </c>
      <c r="F258" s="33">
        <f t="shared" si="8"/>
        <v>1</v>
      </c>
      <c r="G258" s="33">
        <f t="shared" si="8"/>
        <v>0</v>
      </c>
      <c r="H258" s="33">
        <f t="shared" si="8"/>
        <v>0</v>
      </c>
      <c r="I258" s="40">
        <f t="shared" si="7"/>
        <v>5.3333333333333336E-4</v>
      </c>
      <c r="J258" s="40">
        <f t="shared" si="7"/>
        <v>0</v>
      </c>
      <c r="K258" s="40">
        <f t="shared" si="7"/>
        <v>0</v>
      </c>
      <c r="L258" s="40">
        <f>1000*M258/VLOOKUP(D258,'Normalised Rates'!$A$7:$B$12,2,FALSE)</f>
        <v>5.3333333333333336E-4</v>
      </c>
      <c r="M258" s="34">
        <v>1</v>
      </c>
    </row>
    <row r="259" spans="1:13" ht="15" customHeight="1" x14ac:dyDescent="0.25">
      <c r="A259" s="30" t="s">
        <v>136</v>
      </c>
      <c r="B259" s="30" t="s">
        <v>111</v>
      </c>
      <c r="C259" s="9" t="s">
        <v>105</v>
      </c>
      <c r="D259" s="32">
        <v>2023</v>
      </c>
      <c r="E259" s="33" t="s">
        <v>34</v>
      </c>
      <c r="F259" s="33">
        <f t="shared" si="8"/>
        <v>0</v>
      </c>
      <c r="G259" s="33">
        <f t="shared" si="8"/>
        <v>0</v>
      </c>
      <c r="H259" s="33">
        <f t="shared" si="8"/>
        <v>4</v>
      </c>
      <c r="I259" s="40">
        <f t="shared" si="7"/>
        <v>0</v>
      </c>
      <c r="J259" s="40">
        <f t="shared" si="7"/>
        <v>0</v>
      </c>
      <c r="K259" s="40">
        <f t="shared" si="7"/>
        <v>1.7497812773403325E-3</v>
      </c>
      <c r="L259" s="40">
        <f>1000*M259/VLOOKUP(D259,'Normalised Rates'!$A$7:$B$12,2,FALSE)</f>
        <v>1.7497812773403325E-3</v>
      </c>
      <c r="M259" s="34">
        <v>4</v>
      </c>
    </row>
    <row r="260" spans="1:13" ht="15" customHeight="1" x14ac:dyDescent="0.25">
      <c r="A260" s="30" t="s">
        <v>136</v>
      </c>
      <c r="B260" s="30" t="s">
        <v>111</v>
      </c>
      <c r="C260" s="9" t="s">
        <v>105</v>
      </c>
      <c r="D260" s="32">
        <v>2023</v>
      </c>
      <c r="E260" s="35" t="s">
        <v>163</v>
      </c>
      <c r="F260" s="33">
        <f t="shared" si="8"/>
        <v>1</v>
      </c>
      <c r="G260" s="33">
        <f t="shared" si="8"/>
        <v>0</v>
      </c>
      <c r="H260" s="33">
        <f t="shared" si="8"/>
        <v>0</v>
      </c>
      <c r="I260" s="40">
        <f t="shared" si="7"/>
        <v>4.3744531933508313E-4</v>
      </c>
      <c r="J260" s="40">
        <f t="shared" si="7"/>
        <v>0</v>
      </c>
      <c r="K260" s="40">
        <f t="shared" si="7"/>
        <v>0</v>
      </c>
      <c r="L260" s="40">
        <f>1000*M260/VLOOKUP(D260,'Normalised Rates'!$A$7:$B$12,2,FALSE)</f>
        <v>4.3744531933508313E-4</v>
      </c>
      <c r="M260" s="34">
        <v>1</v>
      </c>
    </row>
    <row r="261" spans="1:13" ht="15" customHeight="1" x14ac:dyDescent="0.25">
      <c r="A261" s="30" t="s">
        <v>136</v>
      </c>
      <c r="B261" s="30" t="s">
        <v>111</v>
      </c>
      <c r="C261" s="9" t="s">
        <v>105</v>
      </c>
      <c r="D261" s="32">
        <v>2024</v>
      </c>
      <c r="E261" s="33" t="s">
        <v>34</v>
      </c>
      <c r="F261" s="33">
        <f t="shared" si="8"/>
        <v>0</v>
      </c>
      <c r="G261" s="33">
        <f t="shared" si="8"/>
        <v>0</v>
      </c>
      <c r="H261" s="33">
        <f t="shared" si="8"/>
        <v>8</v>
      </c>
      <c r="I261" s="40">
        <f t="shared" si="7"/>
        <v>0</v>
      </c>
      <c r="J261" s="40">
        <f t="shared" si="7"/>
        <v>0</v>
      </c>
      <c r="K261" s="40">
        <f t="shared" si="7"/>
        <v>2.9817368617219529E-3</v>
      </c>
      <c r="L261" s="40">
        <f>1000*M261/VLOOKUP(D261,'Normalised Rates'!$A$7:$B$12,2,FALSE)</f>
        <v>2.9817368617219529E-3</v>
      </c>
      <c r="M261" s="34">
        <v>8</v>
      </c>
    </row>
    <row r="262" spans="1:13" ht="15" customHeight="1" x14ac:dyDescent="0.25">
      <c r="A262" s="30" t="s">
        <v>136</v>
      </c>
      <c r="B262" s="30" t="s">
        <v>111</v>
      </c>
      <c r="C262" s="9" t="s">
        <v>105</v>
      </c>
      <c r="D262" s="32">
        <v>2024</v>
      </c>
      <c r="E262" s="35" t="s">
        <v>163</v>
      </c>
      <c r="F262" s="33">
        <f t="shared" si="8"/>
        <v>3</v>
      </c>
      <c r="G262" s="33">
        <f t="shared" si="8"/>
        <v>0</v>
      </c>
      <c r="H262" s="33">
        <f t="shared" si="8"/>
        <v>0</v>
      </c>
      <c r="I262" s="40">
        <f t="shared" si="7"/>
        <v>1.1181513231457323E-3</v>
      </c>
      <c r="J262" s="40">
        <f t="shared" si="7"/>
        <v>0</v>
      </c>
      <c r="K262" s="40">
        <f t="shared" si="7"/>
        <v>0</v>
      </c>
      <c r="L262" s="40">
        <f>1000*M262/VLOOKUP(D262,'Normalised Rates'!$A$7:$B$12,2,FALSE)</f>
        <v>1.1181513231457323E-3</v>
      </c>
      <c r="M262" s="34">
        <v>3</v>
      </c>
    </row>
    <row r="263" spans="1:13" ht="15" customHeight="1" x14ac:dyDescent="0.25">
      <c r="A263" s="30" t="s">
        <v>136</v>
      </c>
      <c r="B263" s="30" t="s">
        <v>111</v>
      </c>
      <c r="C263" s="9" t="s">
        <v>105</v>
      </c>
      <c r="D263" s="32">
        <v>2025</v>
      </c>
      <c r="E263" s="33" t="s">
        <v>34</v>
      </c>
      <c r="F263" s="33">
        <f t="shared" si="8"/>
        <v>0</v>
      </c>
      <c r="G263" s="33">
        <f t="shared" si="8"/>
        <v>0</v>
      </c>
      <c r="H263" s="33">
        <f t="shared" si="8"/>
        <v>1</v>
      </c>
      <c r="I263" s="40">
        <f t="shared" ref="I263:K326" si="9">IF(_xlfn.CONCAT($E263,"%")=I$5,$L263,0)</f>
        <v>0</v>
      </c>
      <c r="J263" s="40">
        <f t="shared" si="9"/>
        <v>0</v>
      </c>
      <c r="K263" s="40">
        <f t="shared" si="9"/>
        <v>3.1715826197272439E-4</v>
      </c>
      <c r="L263" s="40">
        <f>1000*M263/VLOOKUP(D263,'Normalised Rates'!$A$7:$B$12,2,FALSE)</f>
        <v>3.1715826197272439E-4</v>
      </c>
      <c r="M263" s="34">
        <v>1</v>
      </c>
    </row>
    <row r="264" spans="1:13" ht="15" customHeight="1" x14ac:dyDescent="0.25">
      <c r="A264" s="30" t="s">
        <v>136</v>
      </c>
      <c r="B264" s="30" t="s">
        <v>111</v>
      </c>
      <c r="C264" s="9" t="s">
        <v>105</v>
      </c>
      <c r="D264" s="32">
        <v>2025</v>
      </c>
      <c r="E264" s="35" t="s">
        <v>163</v>
      </c>
      <c r="F264" s="33">
        <f t="shared" si="8"/>
        <v>2</v>
      </c>
      <c r="G264" s="33">
        <f t="shared" si="8"/>
        <v>0</v>
      </c>
      <c r="H264" s="33">
        <f t="shared" si="8"/>
        <v>0</v>
      </c>
      <c r="I264" s="40">
        <f t="shared" si="9"/>
        <v>6.3431652394544877E-4</v>
      </c>
      <c r="J264" s="40">
        <f t="shared" si="9"/>
        <v>0</v>
      </c>
      <c r="K264" s="40">
        <f t="shared" si="9"/>
        <v>0</v>
      </c>
      <c r="L264" s="40">
        <f>1000*M264/VLOOKUP(D264,'Normalised Rates'!$A$7:$B$12,2,FALSE)</f>
        <v>6.3431652394544877E-4</v>
      </c>
      <c r="M264" s="34">
        <v>2</v>
      </c>
    </row>
    <row r="265" spans="1:13" ht="15" customHeight="1" x14ac:dyDescent="0.25">
      <c r="A265" s="30" t="s">
        <v>136</v>
      </c>
      <c r="B265" s="30" t="s">
        <v>111</v>
      </c>
      <c r="C265" s="9" t="s">
        <v>105</v>
      </c>
      <c r="D265" s="32">
        <v>2026</v>
      </c>
      <c r="E265" s="33" t="s">
        <v>34</v>
      </c>
      <c r="F265" s="33">
        <f t="shared" ref="F265:H328" si="10">IF($E265=F$5,$M265,0)</f>
        <v>0</v>
      </c>
      <c r="G265" s="33">
        <f t="shared" si="10"/>
        <v>0</v>
      </c>
      <c r="H265" s="33">
        <f t="shared" si="10"/>
        <v>3</v>
      </c>
      <c r="I265" s="40">
        <f t="shared" si="9"/>
        <v>0</v>
      </c>
      <c r="J265" s="40">
        <f t="shared" si="9"/>
        <v>0</v>
      </c>
      <c r="K265" s="40">
        <f t="shared" si="9"/>
        <v>2.2835394862036158E-3</v>
      </c>
      <c r="L265" s="40">
        <f>1000*M265/VLOOKUP(D265,'Normalised Rates'!$A$7:$B$12,2,FALSE)</f>
        <v>2.2835394862036158E-3</v>
      </c>
      <c r="M265" s="34">
        <v>3</v>
      </c>
    </row>
    <row r="266" spans="1:13" ht="15" customHeight="1" x14ac:dyDescent="0.25">
      <c r="A266" s="30" t="s">
        <v>136</v>
      </c>
      <c r="B266" s="30" t="s">
        <v>111</v>
      </c>
      <c r="C266" s="9" t="s">
        <v>105</v>
      </c>
      <c r="D266" s="32">
        <v>2026</v>
      </c>
      <c r="E266" s="35" t="s">
        <v>163</v>
      </c>
      <c r="F266" s="33">
        <f t="shared" si="10"/>
        <v>2</v>
      </c>
      <c r="G266" s="33">
        <f t="shared" si="10"/>
        <v>0</v>
      </c>
      <c r="H266" s="33">
        <f t="shared" si="10"/>
        <v>0</v>
      </c>
      <c r="I266" s="40">
        <f t="shared" si="9"/>
        <v>1.522359657469077E-3</v>
      </c>
      <c r="J266" s="40">
        <f t="shared" si="9"/>
        <v>0</v>
      </c>
      <c r="K266" s="40">
        <f t="shared" si="9"/>
        <v>0</v>
      </c>
      <c r="L266" s="40">
        <f>1000*M266/VLOOKUP(D266,'Normalised Rates'!$A$7:$B$12,2,FALSE)</f>
        <v>1.522359657469077E-3</v>
      </c>
      <c r="M266" s="34">
        <v>2</v>
      </c>
    </row>
    <row r="267" spans="1:13" ht="15" customHeight="1" x14ac:dyDescent="0.25">
      <c r="A267" s="30" t="s">
        <v>136</v>
      </c>
      <c r="B267" s="30" t="s">
        <v>117</v>
      </c>
      <c r="C267" s="9" t="s">
        <v>64</v>
      </c>
      <c r="D267" s="32">
        <v>2022</v>
      </c>
      <c r="E267" s="35" t="s">
        <v>163</v>
      </c>
      <c r="F267" s="33">
        <f t="shared" si="10"/>
        <v>1</v>
      </c>
      <c r="G267" s="33">
        <f t="shared" si="10"/>
        <v>0</v>
      </c>
      <c r="H267" s="33">
        <f t="shared" si="10"/>
        <v>0</v>
      </c>
      <c r="I267" s="40">
        <f t="shared" si="9"/>
        <v>5.3333333333333336E-4</v>
      </c>
      <c r="J267" s="40">
        <f t="shared" si="9"/>
        <v>0</v>
      </c>
      <c r="K267" s="40">
        <f t="shared" si="9"/>
        <v>0</v>
      </c>
      <c r="L267" s="40">
        <f>1000*M267/VLOOKUP(D267,'Normalised Rates'!$A$7:$B$12,2,FALSE)</f>
        <v>5.3333333333333336E-4</v>
      </c>
      <c r="M267" s="34">
        <v>1</v>
      </c>
    </row>
    <row r="268" spans="1:13" ht="15" customHeight="1" x14ac:dyDescent="0.25">
      <c r="A268" s="30" t="s">
        <v>136</v>
      </c>
      <c r="B268" s="30" t="s">
        <v>117</v>
      </c>
      <c r="C268" s="9" t="s">
        <v>64</v>
      </c>
      <c r="D268" s="32">
        <v>2023</v>
      </c>
      <c r="E268" s="33" t="s">
        <v>34</v>
      </c>
      <c r="F268" s="33">
        <f t="shared" si="10"/>
        <v>0</v>
      </c>
      <c r="G268" s="33">
        <f t="shared" si="10"/>
        <v>0</v>
      </c>
      <c r="H268" s="33">
        <f t="shared" si="10"/>
        <v>1</v>
      </c>
      <c r="I268" s="40">
        <f t="shared" si="9"/>
        <v>0</v>
      </c>
      <c r="J268" s="40">
        <f t="shared" si="9"/>
        <v>0</v>
      </c>
      <c r="K268" s="40">
        <f t="shared" si="9"/>
        <v>4.3744531933508313E-4</v>
      </c>
      <c r="L268" s="40">
        <f>1000*M268/VLOOKUP(D268,'Normalised Rates'!$A$7:$B$12,2,FALSE)</f>
        <v>4.3744531933508313E-4</v>
      </c>
      <c r="M268" s="34">
        <v>1</v>
      </c>
    </row>
    <row r="269" spans="1:13" ht="15" customHeight="1" x14ac:dyDescent="0.25">
      <c r="A269" s="30" t="s">
        <v>136</v>
      </c>
      <c r="B269" s="30" t="s">
        <v>117</v>
      </c>
      <c r="C269" s="9" t="s">
        <v>64</v>
      </c>
      <c r="D269" s="32">
        <v>2023</v>
      </c>
      <c r="E269" s="35" t="s">
        <v>163</v>
      </c>
      <c r="F269" s="33">
        <f t="shared" si="10"/>
        <v>20</v>
      </c>
      <c r="G269" s="33">
        <f t="shared" si="10"/>
        <v>0</v>
      </c>
      <c r="H269" s="33">
        <f t="shared" si="10"/>
        <v>0</v>
      </c>
      <c r="I269" s="40">
        <f t="shared" si="9"/>
        <v>8.7489063867016627E-3</v>
      </c>
      <c r="J269" s="40">
        <f t="shared" si="9"/>
        <v>0</v>
      </c>
      <c r="K269" s="40">
        <f t="shared" si="9"/>
        <v>0</v>
      </c>
      <c r="L269" s="40">
        <f>1000*M269/VLOOKUP(D269,'Normalised Rates'!$A$7:$B$12,2,FALSE)</f>
        <v>8.7489063867016627E-3</v>
      </c>
      <c r="M269" s="34">
        <v>20</v>
      </c>
    </row>
    <row r="270" spans="1:13" ht="15" customHeight="1" x14ac:dyDescent="0.25">
      <c r="A270" s="30" t="s">
        <v>136</v>
      </c>
      <c r="B270" s="30" t="s">
        <v>117</v>
      </c>
      <c r="C270" s="9" t="s">
        <v>64</v>
      </c>
      <c r="D270" s="32">
        <v>2024</v>
      </c>
      <c r="E270" s="33" t="s">
        <v>34</v>
      </c>
      <c r="F270" s="33">
        <f t="shared" si="10"/>
        <v>0</v>
      </c>
      <c r="G270" s="33">
        <f t="shared" si="10"/>
        <v>0</v>
      </c>
      <c r="H270" s="33">
        <f t="shared" si="10"/>
        <v>1</v>
      </c>
      <c r="I270" s="40">
        <f t="shared" si="9"/>
        <v>0</v>
      </c>
      <c r="J270" s="40">
        <f t="shared" si="9"/>
        <v>0</v>
      </c>
      <c r="K270" s="40">
        <f t="shared" si="9"/>
        <v>3.7271710771524412E-4</v>
      </c>
      <c r="L270" s="40">
        <f>1000*M270/VLOOKUP(D270,'Normalised Rates'!$A$7:$B$12,2,FALSE)</f>
        <v>3.7271710771524412E-4</v>
      </c>
      <c r="M270" s="34">
        <v>1</v>
      </c>
    </row>
    <row r="271" spans="1:13" ht="15" customHeight="1" x14ac:dyDescent="0.25">
      <c r="A271" s="30" t="s">
        <v>136</v>
      </c>
      <c r="B271" s="30" t="s">
        <v>117</v>
      </c>
      <c r="C271" s="9" t="s">
        <v>64</v>
      </c>
      <c r="D271" s="32">
        <v>2024</v>
      </c>
      <c r="E271" s="35" t="s">
        <v>163</v>
      </c>
      <c r="F271" s="33">
        <f t="shared" si="10"/>
        <v>3</v>
      </c>
      <c r="G271" s="33">
        <f t="shared" si="10"/>
        <v>0</v>
      </c>
      <c r="H271" s="33">
        <f t="shared" si="10"/>
        <v>0</v>
      </c>
      <c r="I271" s="40">
        <f t="shared" si="9"/>
        <v>1.1181513231457323E-3</v>
      </c>
      <c r="J271" s="40">
        <f t="shared" si="9"/>
        <v>0</v>
      </c>
      <c r="K271" s="40">
        <f t="shared" si="9"/>
        <v>0</v>
      </c>
      <c r="L271" s="40">
        <f>1000*M271/VLOOKUP(D271,'Normalised Rates'!$A$7:$B$12,2,FALSE)</f>
        <v>1.1181513231457323E-3</v>
      </c>
      <c r="M271" s="34">
        <v>3</v>
      </c>
    </row>
    <row r="272" spans="1:13" ht="15" customHeight="1" x14ac:dyDescent="0.25">
      <c r="A272" s="30" t="s">
        <v>136</v>
      </c>
      <c r="B272" s="30" t="s">
        <v>117</v>
      </c>
      <c r="C272" s="9" t="s">
        <v>64</v>
      </c>
      <c r="D272" s="32">
        <v>2025</v>
      </c>
      <c r="E272" s="35" t="s">
        <v>163</v>
      </c>
      <c r="F272" s="33">
        <f t="shared" si="10"/>
        <v>7</v>
      </c>
      <c r="G272" s="33">
        <f t="shared" si="10"/>
        <v>0</v>
      </c>
      <c r="H272" s="33">
        <f t="shared" si="10"/>
        <v>0</v>
      </c>
      <c r="I272" s="40">
        <f t="shared" si="9"/>
        <v>2.2201078338090706E-3</v>
      </c>
      <c r="J272" s="40">
        <f t="shared" si="9"/>
        <v>0</v>
      </c>
      <c r="K272" s="40">
        <f t="shared" si="9"/>
        <v>0</v>
      </c>
      <c r="L272" s="40">
        <f>1000*M272/VLOOKUP(D272,'Normalised Rates'!$A$7:$B$12,2,FALSE)</f>
        <v>2.2201078338090706E-3</v>
      </c>
      <c r="M272" s="34">
        <v>7</v>
      </c>
    </row>
    <row r="273" spans="1:13" ht="15" customHeight="1" x14ac:dyDescent="0.25">
      <c r="A273" s="30" t="s">
        <v>136</v>
      </c>
      <c r="B273" s="30" t="s">
        <v>117</v>
      </c>
      <c r="C273" s="9" t="s">
        <v>64</v>
      </c>
      <c r="D273" s="32">
        <v>2026</v>
      </c>
      <c r="E273" s="35" t="s">
        <v>163</v>
      </c>
      <c r="F273" s="33">
        <f t="shared" si="10"/>
        <v>1</v>
      </c>
      <c r="G273" s="33">
        <f t="shared" si="10"/>
        <v>0</v>
      </c>
      <c r="H273" s="33">
        <f t="shared" si="10"/>
        <v>0</v>
      </c>
      <c r="I273" s="40">
        <f t="shared" si="9"/>
        <v>7.6117982873453852E-4</v>
      </c>
      <c r="J273" s="40">
        <f t="shared" si="9"/>
        <v>0</v>
      </c>
      <c r="K273" s="40">
        <f t="shared" si="9"/>
        <v>0</v>
      </c>
      <c r="L273" s="40">
        <f>1000*M273/VLOOKUP(D273,'Normalised Rates'!$A$7:$B$12,2,FALSE)</f>
        <v>7.6117982873453852E-4</v>
      </c>
      <c r="M273" s="34">
        <v>1</v>
      </c>
    </row>
    <row r="274" spans="1:13" ht="15" customHeight="1" x14ac:dyDescent="0.25">
      <c r="A274" s="30" t="s">
        <v>136</v>
      </c>
      <c r="B274" s="30" t="s">
        <v>125</v>
      </c>
      <c r="C274" s="9" t="s">
        <v>67</v>
      </c>
      <c r="D274" s="32">
        <v>2022</v>
      </c>
      <c r="E274" s="35" t="s">
        <v>163</v>
      </c>
      <c r="F274" s="33">
        <f t="shared" si="10"/>
        <v>5</v>
      </c>
      <c r="G274" s="33">
        <f t="shared" si="10"/>
        <v>0</v>
      </c>
      <c r="H274" s="33">
        <f t="shared" si="10"/>
        <v>0</v>
      </c>
      <c r="I274" s="40">
        <f t="shared" si="9"/>
        <v>2.6666666666666666E-3</v>
      </c>
      <c r="J274" s="40">
        <f t="shared" si="9"/>
        <v>0</v>
      </c>
      <c r="K274" s="40">
        <f t="shared" si="9"/>
        <v>0</v>
      </c>
      <c r="L274" s="40">
        <f>1000*M274/VLOOKUP(D274,'Normalised Rates'!$A$7:$B$12,2,FALSE)</f>
        <v>2.6666666666666666E-3</v>
      </c>
      <c r="M274" s="34">
        <v>5</v>
      </c>
    </row>
    <row r="275" spans="1:13" ht="15" customHeight="1" x14ac:dyDescent="0.25">
      <c r="A275" s="30" t="s">
        <v>136</v>
      </c>
      <c r="B275" s="30" t="s">
        <v>125</v>
      </c>
      <c r="C275" s="9" t="s">
        <v>67</v>
      </c>
      <c r="D275" s="32">
        <v>2023</v>
      </c>
      <c r="E275" s="35" t="s">
        <v>163</v>
      </c>
      <c r="F275" s="33">
        <f t="shared" si="10"/>
        <v>7</v>
      </c>
      <c r="G275" s="33">
        <f t="shared" si="10"/>
        <v>0</v>
      </c>
      <c r="H275" s="33">
        <f t="shared" si="10"/>
        <v>0</v>
      </c>
      <c r="I275" s="40">
        <f t="shared" si="9"/>
        <v>3.0621172353455816E-3</v>
      </c>
      <c r="J275" s="40">
        <f t="shared" si="9"/>
        <v>0</v>
      </c>
      <c r="K275" s="40">
        <f t="shared" si="9"/>
        <v>0</v>
      </c>
      <c r="L275" s="40">
        <f>1000*M275/VLOOKUP(D275,'Normalised Rates'!$A$7:$B$12,2,FALSE)</f>
        <v>3.0621172353455816E-3</v>
      </c>
      <c r="M275" s="34">
        <v>7</v>
      </c>
    </row>
    <row r="276" spans="1:13" ht="15" customHeight="1" x14ac:dyDescent="0.25">
      <c r="A276" s="30" t="s">
        <v>136</v>
      </c>
      <c r="B276" s="30" t="s">
        <v>125</v>
      </c>
      <c r="C276" s="9" t="s">
        <v>67</v>
      </c>
      <c r="D276" s="32">
        <v>2024</v>
      </c>
      <c r="E276" s="35" t="s">
        <v>163</v>
      </c>
      <c r="F276" s="33">
        <f t="shared" si="10"/>
        <v>11</v>
      </c>
      <c r="G276" s="33">
        <f t="shared" si="10"/>
        <v>0</v>
      </c>
      <c r="H276" s="33">
        <f t="shared" si="10"/>
        <v>0</v>
      </c>
      <c r="I276" s="40">
        <f t="shared" si="9"/>
        <v>4.0998881848676857E-3</v>
      </c>
      <c r="J276" s="40">
        <f t="shared" si="9"/>
        <v>0</v>
      </c>
      <c r="K276" s="40">
        <f t="shared" si="9"/>
        <v>0</v>
      </c>
      <c r="L276" s="40">
        <f>1000*M276/VLOOKUP(D276,'Normalised Rates'!$A$7:$B$12,2,FALSE)</f>
        <v>4.0998881848676857E-3</v>
      </c>
      <c r="M276" s="34">
        <v>11</v>
      </c>
    </row>
    <row r="277" spans="1:13" ht="15" customHeight="1" x14ac:dyDescent="0.25">
      <c r="A277" s="30" t="s">
        <v>136</v>
      </c>
      <c r="B277" s="30" t="s">
        <v>125</v>
      </c>
      <c r="C277" s="9" t="s">
        <v>67</v>
      </c>
      <c r="D277" s="32">
        <v>2025</v>
      </c>
      <c r="E277" s="33" t="s">
        <v>34</v>
      </c>
      <c r="F277" s="33">
        <f t="shared" si="10"/>
        <v>0</v>
      </c>
      <c r="G277" s="33">
        <f t="shared" si="10"/>
        <v>0</v>
      </c>
      <c r="H277" s="33">
        <f t="shared" si="10"/>
        <v>1</v>
      </c>
      <c r="I277" s="40">
        <f t="shared" si="9"/>
        <v>0</v>
      </c>
      <c r="J277" s="40">
        <f t="shared" si="9"/>
        <v>0</v>
      </c>
      <c r="K277" s="40">
        <f t="shared" si="9"/>
        <v>3.1715826197272439E-4</v>
      </c>
      <c r="L277" s="40">
        <f>1000*M277/VLOOKUP(D277,'Normalised Rates'!$A$7:$B$12,2,FALSE)</f>
        <v>3.1715826197272439E-4</v>
      </c>
      <c r="M277" s="34">
        <v>1</v>
      </c>
    </row>
    <row r="278" spans="1:13" ht="15" customHeight="1" x14ac:dyDescent="0.25">
      <c r="A278" s="30" t="s">
        <v>136</v>
      </c>
      <c r="B278" s="30" t="s">
        <v>125</v>
      </c>
      <c r="C278" s="9" t="s">
        <v>67</v>
      </c>
      <c r="D278" s="32">
        <v>2025</v>
      </c>
      <c r="E278" s="35" t="s">
        <v>163</v>
      </c>
      <c r="F278" s="33">
        <f t="shared" si="10"/>
        <v>2</v>
      </c>
      <c r="G278" s="33">
        <f t="shared" si="10"/>
        <v>0</v>
      </c>
      <c r="H278" s="33">
        <f t="shared" si="10"/>
        <v>0</v>
      </c>
      <c r="I278" s="40">
        <f t="shared" si="9"/>
        <v>6.3431652394544877E-4</v>
      </c>
      <c r="J278" s="40">
        <f t="shared" si="9"/>
        <v>0</v>
      </c>
      <c r="K278" s="40">
        <f t="shared" si="9"/>
        <v>0</v>
      </c>
      <c r="L278" s="40">
        <f>1000*M278/VLOOKUP(D278,'Normalised Rates'!$A$7:$B$12,2,FALSE)</f>
        <v>6.3431652394544877E-4</v>
      </c>
      <c r="M278" s="34">
        <v>2</v>
      </c>
    </row>
    <row r="279" spans="1:13" ht="15" customHeight="1" x14ac:dyDescent="0.25">
      <c r="A279" s="30" t="s">
        <v>136</v>
      </c>
      <c r="B279" s="30" t="s">
        <v>125</v>
      </c>
      <c r="C279" s="9" t="s">
        <v>67</v>
      </c>
      <c r="D279" s="32">
        <v>2026</v>
      </c>
      <c r="E279" s="35" t="s">
        <v>163</v>
      </c>
      <c r="F279" s="33">
        <f t="shared" si="10"/>
        <v>1</v>
      </c>
      <c r="G279" s="33">
        <f t="shared" si="10"/>
        <v>0</v>
      </c>
      <c r="H279" s="33">
        <f t="shared" si="10"/>
        <v>0</v>
      </c>
      <c r="I279" s="40">
        <f t="shared" si="9"/>
        <v>7.6117982873453852E-4</v>
      </c>
      <c r="J279" s="40">
        <f t="shared" si="9"/>
        <v>0</v>
      </c>
      <c r="K279" s="40">
        <f t="shared" si="9"/>
        <v>0</v>
      </c>
      <c r="L279" s="40">
        <f>1000*M279/VLOOKUP(D279,'Normalised Rates'!$A$7:$B$12,2,FALSE)</f>
        <v>7.6117982873453852E-4</v>
      </c>
      <c r="M279" s="34">
        <v>1</v>
      </c>
    </row>
    <row r="280" spans="1:13" ht="15" customHeight="1" x14ac:dyDescent="0.25">
      <c r="A280" s="30" t="s">
        <v>136</v>
      </c>
      <c r="B280" s="30" t="s">
        <v>119</v>
      </c>
      <c r="C280" s="9" t="s">
        <v>84</v>
      </c>
      <c r="D280" s="32">
        <v>2021</v>
      </c>
      <c r="E280" s="33" t="s">
        <v>34</v>
      </c>
      <c r="F280" s="33">
        <f t="shared" si="10"/>
        <v>0</v>
      </c>
      <c r="G280" s="33">
        <f t="shared" si="10"/>
        <v>0</v>
      </c>
      <c r="H280" s="33">
        <f t="shared" si="10"/>
        <v>1</v>
      </c>
      <c r="I280" s="40">
        <f t="shared" si="9"/>
        <v>0</v>
      </c>
      <c r="J280" s="40">
        <f t="shared" si="9"/>
        <v>0</v>
      </c>
      <c r="K280" s="40">
        <f t="shared" si="9"/>
        <v>6.2735257214554575E-4</v>
      </c>
      <c r="L280" s="40">
        <f>1000*M280/VLOOKUP(D280,'Normalised Rates'!$A$7:$B$12,2,FALSE)</f>
        <v>6.2735257214554575E-4</v>
      </c>
      <c r="M280" s="34">
        <v>1</v>
      </c>
    </row>
    <row r="281" spans="1:13" ht="15" customHeight="1" x14ac:dyDescent="0.25">
      <c r="A281" s="30" t="s">
        <v>136</v>
      </c>
      <c r="B281" s="30" t="s">
        <v>119</v>
      </c>
      <c r="C281" s="9" t="s">
        <v>84</v>
      </c>
      <c r="D281" s="32">
        <v>2021</v>
      </c>
      <c r="E281" s="35" t="s">
        <v>163</v>
      </c>
      <c r="F281" s="33">
        <f t="shared" si="10"/>
        <v>1</v>
      </c>
      <c r="G281" s="33">
        <f t="shared" si="10"/>
        <v>0</v>
      </c>
      <c r="H281" s="33">
        <f t="shared" si="10"/>
        <v>0</v>
      </c>
      <c r="I281" s="40">
        <f t="shared" si="9"/>
        <v>6.2735257214554575E-4</v>
      </c>
      <c r="J281" s="40">
        <f t="shared" si="9"/>
        <v>0</v>
      </c>
      <c r="K281" s="40">
        <f t="shared" si="9"/>
        <v>0</v>
      </c>
      <c r="L281" s="40">
        <f>1000*M281/VLOOKUP(D281,'Normalised Rates'!$A$7:$B$12,2,FALSE)</f>
        <v>6.2735257214554575E-4</v>
      </c>
      <c r="M281" s="34">
        <v>1</v>
      </c>
    </row>
    <row r="282" spans="1:13" ht="15" customHeight="1" x14ac:dyDescent="0.25">
      <c r="A282" s="30" t="s">
        <v>136</v>
      </c>
      <c r="B282" s="30" t="s">
        <v>119</v>
      </c>
      <c r="C282" s="9" t="s">
        <v>84</v>
      </c>
      <c r="D282" s="32">
        <v>2022</v>
      </c>
      <c r="E282" s="33" t="s">
        <v>34</v>
      </c>
      <c r="F282" s="33">
        <f t="shared" si="10"/>
        <v>0</v>
      </c>
      <c r="G282" s="33">
        <f t="shared" si="10"/>
        <v>0</v>
      </c>
      <c r="H282" s="33">
        <f t="shared" si="10"/>
        <v>3</v>
      </c>
      <c r="I282" s="40">
        <f t="shared" si="9"/>
        <v>0</v>
      </c>
      <c r="J282" s="40">
        <f t="shared" si="9"/>
        <v>0</v>
      </c>
      <c r="K282" s="40">
        <f t="shared" si="9"/>
        <v>1.6000000000000001E-3</v>
      </c>
      <c r="L282" s="40">
        <f>1000*M282/VLOOKUP(D282,'Normalised Rates'!$A$7:$B$12,2,FALSE)</f>
        <v>1.6000000000000001E-3</v>
      </c>
      <c r="M282" s="34">
        <v>3</v>
      </c>
    </row>
    <row r="283" spans="1:13" ht="15" customHeight="1" x14ac:dyDescent="0.25">
      <c r="A283" s="30" t="s">
        <v>136</v>
      </c>
      <c r="B283" s="30" t="s">
        <v>119</v>
      </c>
      <c r="C283" s="9" t="s">
        <v>84</v>
      </c>
      <c r="D283" s="32">
        <v>2022</v>
      </c>
      <c r="E283" s="35" t="s">
        <v>163</v>
      </c>
      <c r="F283" s="33">
        <f t="shared" si="10"/>
        <v>1</v>
      </c>
      <c r="G283" s="33">
        <f t="shared" si="10"/>
        <v>0</v>
      </c>
      <c r="H283" s="33">
        <f t="shared" si="10"/>
        <v>0</v>
      </c>
      <c r="I283" s="40">
        <f t="shared" si="9"/>
        <v>5.3333333333333336E-4</v>
      </c>
      <c r="J283" s="40">
        <f t="shared" si="9"/>
        <v>0</v>
      </c>
      <c r="K283" s="40">
        <f t="shared" si="9"/>
        <v>0</v>
      </c>
      <c r="L283" s="40">
        <f>1000*M283/VLOOKUP(D283,'Normalised Rates'!$A$7:$B$12,2,FALSE)</f>
        <v>5.3333333333333336E-4</v>
      </c>
      <c r="M283" s="34">
        <v>1</v>
      </c>
    </row>
    <row r="284" spans="1:13" ht="15" customHeight="1" x14ac:dyDescent="0.25">
      <c r="A284" s="30" t="s">
        <v>136</v>
      </c>
      <c r="B284" s="30" t="s">
        <v>119</v>
      </c>
      <c r="C284" s="9" t="s">
        <v>84</v>
      </c>
      <c r="D284" s="32">
        <v>2023</v>
      </c>
      <c r="E284" s="33" t="s">
        <v>34</v>
      </c>
      <c r="F284" s="33">
        <f t="shared" si="10"/>
        <v>0</v>
      </c>
      <c r="G284" s="33">
        <f t="shared" si="10"/>
        <v>0</v>
      </c>
      <c r="H284" s="33">
        <f t="shared" si="10"/>
        <v>2</v>
      </c>
      <c r="I284" s="40">
        <f t="shared" si="9"/>
        <v>0</v>
      </c>
      <c r="J284" s="40">
        <f t="shared" si="9"/>
        <v>0</v>
      </c>
      <c r="K284" s="40">
        <f t="shared" si="9"/>
        <v>8.7489063867016625E-4</v>
      </c>
      <c r="L284" s="40">
        <f>1000*M284/VLOOKUP(D284,'Normalised Rates'!$A$7:$B$12,2,FALSE)</f>
        <v>8.7489063867016625E-4</v>
      </c>
      <c r="M284" s="34">
        <v>2</v>
      </c>
    </row>
    <row r="285" spans="1:13" ht="15" customHeight="1" x14ac:dyDescent="0.25">
      <c r="A285" s="30" t="s">
        <v>136</v>
      </c>
      <c r="B285" s="30" t="s">
        <v>119</v>
      </c>
      <c r="C285" s="9" t="s">
        <v>84</v>
      </c>
      <c r="D285" s="32">
        <v>2023</v>
      </c>
      <c r="E285" s="35" t="s">
        <v>163</v>
      </c>
      <c r="F285" s="33">
        <f t="shared" si="10"/>
        <v>4</v>
      </c>
      <c r="G285" s="33">
        <f t="shared" si="10"/>
        <v>0</v>
      </c>
      <c r="H285" s="33">
        <f t="shared" si="10"/>
        <v>0</v>
      </c>
      <c r="I285" s="40">
        <f t="shared" si="9"/>
        <v>1.7497812773403325E-3</v>
      </c>
      <c r="J285" s="40">
        <f t="shared" si="9"/>
        <v>0</v>
      </c>
      <c r="K285" s="40">
        <f t="shared" si="9"/>
        <v>0</v>
      </c>
      <c r="L285" s="40">
        <f>1000*M285/VLOOKUP(D285,'Normalised Rates'!$A$7:$B$12,2,FALSE)</f>
        <v>1.7497812773403325E-3</v>
      </c>
      <c r="M285" s="34">
        <v>4</v>
      </c>
    </row>
    <row r="286" spans="1:13" ht="15" customHeight="1" x14ac:dyDescent="0.25">
      <c r="A286" s="30" t="s">
        <v>136</v>
      </c>
      <c r="B286" s="30" t="s">
        <v>119</v>
      </c>
      <c r="C286" s="9" t="s">
        <v>84</v>
      </c>
      <c r="D286" s="32">
        <v>2024</v>
      </c>
      <c r="E286" s="35" t="s">
        <v>163</v>
      </c>
      <c r="F286" s="33">
        <f t="shared" si="10"/>
        <v>1</v>
      </c>
      <c r="G286" s="33">
        <f t="shared" si="10"/>
        <v>0</v>
      </c>
      <c r="H286" s="33">
        <f t="shared" si="10"/>
        <v>0</v>
      </c>
      <c r="I286" s="40">
        <f t="shared" si="9"/>
        <v>3.7271710771524412E-4</v>
      </c>
      <c r="J286" s="40">
        <f t="shared" si="9"/>
        <v>0</v>
      </c>
      <c r="K286" s="40">
        <f t="shared" si="9"/>
        <v>0</v>
      </c>
      <c r="L286" s="40">
        <f>1000*M286/VLOOKUP(D286,'Normalised Rates'!$A$7:$B$12,2,FALSE)</f>
        <v>3.7271710771524412E-4</v>
      </c>
      <c r="M286" s="34">
        <v>1</v>
      </c>
    </row>
    <row r="287" spans="1:13" ht="15" customHeight="1" x14ac:dyDescent="0.25">
      <c r="A287" s="30" t="s">
        <v>136</v>
      </c>
      <c r="B287" s="30" t="s">
        <v>119</v>
      </c>
      <c r="C287" s="9" t="s">
        <v>84</v>
      </c>
      <c r="D287" s="32">
        <v>2025</v>
      </c>
      <c r="E287" s="33" t="s">
        <v>34</v>
      </c>
      <c r="F287" s="33">
        <f t="shared" si="10"/>
        <v>0</v>
      </c>
      <c r="G287" s="33">
        <f t="shared" si="10"/>
        <v>0</v>
      </c>
      <c r="H287" s="33">
        <f t="shared" si="10"/>
        <v>2</v>
      </c>
      <c r="I287" s="40">
        <f t="shared" si="9"/>
        <v>0</v>
      </c>
      <c r="J287" s="40">
        <f t="shared" si="9"/>
        <v>0</v>
      </c>
      <c r="K287" s="40">
        <f t="shared" si="9"/>
        <v>6.3431652394544877E-4</v>
      </c>
      <c r="L287" s="40">
        <f>1000*M287/VLOOKUP(D287,'Normalised Rates'!$A$7:$B$12,2,FALSE)</f>
        <v>6.3431652394544877E-4</v>
      </c>
      <c r="M287" s="34">
        <v>2</v>
      </c>
    </row>
    <row r="288" spans="1:13" ht="15" customHeight="1" x14ac:dyDescent="0.25">
      <c r="A288" s="30" t="s">
        <v>136</v>
      </c>
      <c r="B288" s="30" t="s">
        <v>119</v>
      </c>
      <c r="C288" s="9" t="s">
        <v>84</v>
      </c>
      <c r="D288" s="32">
        <v>2025</v>
      </c>
      <c r="E288" s="35" t="s">
        <v>163</v>
      </c>
      <c r="F288" s="33">
        <f t="shared" si="10"/>
        <v>3</v>
      </c>
      <c r="G288" s="33">
        <f t="shared" si="10"/>
        <v>0</v>
      </c>
      <c r="H288" s="33">
        <f t="shared" si="10"/>
        <v>0</v>
      </c>
      <c r="I288" s="40">
        <f t="shared" si="9"/>
        <v>9.5147478591817321E-4</v>
      </c>
      <c r="J288" s="40">
        <f t="shared" si="9"/>
        <v>0</v>
      </c>
      <c r="K288" s="40">
        <f t="shared" si="9"/>
        <v>0</v>
      </c>
      <c r="L288" s="40">
        <f>1000*M288/VLOOKUP(D288,'Normalised Rates'!$A$7:$B$12,2,FALSE)</f>
        <v>9.5147478591817321E-4</v>
      </c>
      <c r="M288" s="34">
        <v>3</v>
      </c>
    </row>
    <row r="289" spans="1:13" ht="15" customHeight="1" x14ac:dyDescent="0.25">
      <c r="A289" s="30" t="s">
        <v>136</v>
      </c>
      <c r="B289" s="30" t="s">
        <v>119</v>
      </c>
      <c r="C289" s="9" t="s">
        <v>84</v>
      </c>
      <c r="D289" s="32">
        <v>2026</v>
      </c>
      <c r="E289" s="35" t="s">
        <v>163</v>
      </c>
      <c r="F289" s="33">
        <f t="shared" si="10"/>
        <v>2</v>
      </c>
      <c r="G289" s="33">
        <f t="shared" si="10"/>
        <v>0</v>
      </c>
      <c r="H289" s="33">
        <f t="shared" si="10"/>
        <v>0</v>
      </c>
      <c r="I289" s="40">
        <f t="shared" si="9"/>
        <v>1.522359657469077E-3</v>
      </c>
      <c r="J289" s="40">
        <f t="shared" si="9"/>
        <v>0</v>
      </c>
      <c r="K289" s="40">
        <f t="shared" si="9"/>
        <v>0</v>
      </c>
      <c r="L289" s="40">
        <f>1000*M289/VLOOKUP(D289,'Normalised Rates'!$A$7:$B$12,2,FALSE)</f>
        <v>1.522359657469077E-3</v>
      </c>
      <c r="M289" s="34">
        <v>2</v>
      </c>
    </row>
    <row r="290" spans="1:13" ht="15" customHeight="1" x14ac:dyDescent="0.25">
      <c r="A290" s="30" t="s">
        <v>136</v>
      </c>
      <c r="B290" s="30" t="s">
        <v>121</v>
      </c>
      <c r="C290" s="9" t="s">
        <v>67</v>
      </c>
      <c r="D290" s="32">
        <v>2021</v>
      </c>
      <c r="E290" s="33" t="s">
        <v>34</v>
      </c>
      <c r="F290" s="33">
        <f t="shared" si="10"/>
        <v>0</v>
      </c>
      <c r="G290" s="33">
        <f t="shared" si="10"/>
        <v>0</v>
      </c>
      <c r="H290" s="33">
        <f t="shared" si="10"/>
        <v>1</v>
      </c>
      <c r="I290" s="40">
        <f t="shared" si="9"/>
        <v>0</v>
      </c>
      <c r="J290" s="40">
        <f t="shared" si="9"/>
        <v>0</v>
      </c>
      <c r="K290" s="40">
        <f t="shared" si="9"/>
        <v>6.2735257214554575E-4</v>
      </c>
      <c r="L290" s="40">
        <f>1000*M290/VLOOKUP(D290,'Normalised Rates'!$A$7:$B$12,2,FALSE)</f>
        <v>6.2735257214554575E-4</v>
      </c>
      <c r="M290" s="34">
        <v>1</v>
      </c>
    </row>
    <row r="291" spans="1:13" ht="15" customHeight="1" x14ac:dyDescent="0.25">
      <c r="A291" s="30" t="s">
        <v>136</v>
      </c>
      <c r="B291" s="30" t="s">
        <v>121</v>
      </c>
      <c r="C291" s="9" t="s">
        <v>67</v>
      </c>
      <c r="D291" s="32">
        <v>2022</v>
      </c>
      <c r="E291" s="35" t="s">
        <v>163</v>
      </c>
      <c r="F291" s="33">
        <f t="shared" si="10"/>
        <v>1</v>
      </c>
      <c r="G291" s="33">
        <f t="shared" si="10"/>
        <v>0</v>
      </c>
      <c r="H291" s="33">
        <f t="shared" si="10"/>
        <v>0</v>
      </c>
      <c r="I291" s="40">
        <f t="shared" si="9"/>
        <v>5.3333333333333336E-4</v>
      </c>
      <c r="J291" s="40">
        <f t="shared" si="9"/>
        <v>0</v>
      </c>
      <c r="K291" s="40">
        <f t="shared" si="9"/>
        <v>0</v>
      </c>
      <c r="L291" s="40">
        <f>1000*M291/VLOOKUP(D291,'Normalised Rates'!$A$7:$B$12,2,FALSE)</f>
        <v>5.3333333333333336E-4</v>
      </c>
      <c r="M291" s="34">
        <v>1</v>
      </c>
    </row>
    <row r="292" spans="1:13" ht="15" customHeight="1" x14ac:dyDescent="0.25">
      <c r="A292" s="30" t="s">
        <v>136</v>
      </c>
      <c r="B292" s="30" t="s">
        <v>121</v>
      </c>
      <c r="C292" s="9" t="s">
        <v>67</v>
      </c>
      <c r="D292" s="32">
        <v>2023</v>
      </c>
      <c r="E292" s="33" t="s">
        <v>34</v>
      </c>
      <c r="F292" s="33">
        <f t="shared" si="10"/>
        <v>0</v>
      </c>
      <c r="G292" s="33">
        <f t="shared" si="10"/>
        <v>0</v>
      </c>
      <c r="H292" s="33">
        <f t="shared" si="10"/>
        <v>1</v>
      </c>
      <c r="I292" s="40">
        <f t="shared" si="9"/>
        <v>0</v>
      </c>
      <c r="J292" s="40">
        <f t="shared" si="9"/>
        <v>0</v>
      </c>
      <c r="K292" s="40">
        <f t="shared" si="9"/>
        <v>4.3744531933508313E-4</v>
      </c>
      <c r="L292" s="40">
        <f>1000*M292/VLOOKUP(D292,'Normalised Rates'!$A$7:$B$12,2,FALSE)</f>
        <v>4.3744531933508313E-4</v>
      </c>
      <c r="M292" s="34">
        <v>1</v>
      </c>
    </row>
    <row r="293" spans="1:13" ht="15" customHeight="1" x14ac:dyDescent="0.25">
      <c r="A293" s="30" t="s">
        <v>136</v>
      </c>
      <c r="B293" s="30" t="s">
        <v>121</v>
      </c>
      <c r="C293" s="9" t="s">
        <v>67</v>
      </c>
      <c r="D293" s="32">
        <v>2023</v>
      </c>
      <c r="E293" s="35" t="s">
        <v>163</v>
      </c>
      <c r="F293" s="33">
        <f t="shared" si="10"/>
        <v>5</v>
      </c>
      <c r="G293" s="33">
        <f t="shared" si="10"/>
        <v>0</v>
      </c>
      <c r="H293" s="33">
        <f t="shared" si="10"/>
        <v>0</v>
      </c>
      <c r="I293" s="40">
        <f t="shared" si="9"/>
        <v>2.1872265966754157E-3</v>
      </c>
      <c r="J293" s="40">
        <f t="shared" si="9"/>
        <v>0</v>
      </c>
      <c r="K293" s="40">
        <f t="shared" si="9"/>
        <v>0</v>
      </c>
      <c r="L293" s="40">
        <f>1000*M293/VLOOKUP(D293,'Normalised Rates'!$A$7:$B$12,2,FALSE)</f>
        <v>2.1872265966754157E-3</v>
      </c>
      <c r="M293" s="34">
        <v>5</v>
      </c>
    </row>
    <row r="294" spans="1:13" ht="15" customHeight="1" x14ac:dyDescent="0.25">
      <c r="A294" s="30" t="s">
        <v>136</v>
      </c>
      <c r="B294" s="30" t="s">
        <v>121</v>
      </c>
      <c r="C294" s="9" t="s">
        <v>67</v>
      </c>
      <c r="D294" s="32">
        <v>2025</v>
      </c>
      <c r="E294" s="35" t="s">
        <v>163</v>
      </c>
      <c r="F294" s="33">
        <f t="shared" si="10"/>
        <v>3</v>
      </c>
      <c r="G294" s="33">
        <f t="shared" si="10"/>
        <v>0</v>
      </c>
      <c r="H294" s="33">
        <f t="shared" si="10"/>
        <v>0</v>
      </c>
      <c r="I294" s="40">
        <f t="shared" si="9"/>
        <v>9.5147478591817321E-4</v>
      </c>
      <c r="J294" s="40">
        <f t="shared" si="9"/>
        <v>0</v>
      </c>
      <c r="K294" s="40">
        <f t="shared" si="9"/>
        <v>0</v>
      </c>
      <c r="L294" s="40">
        <f>1000*M294/VLOOKUP(D294,'Normalised Rates'!$A$7:$B$12,2,FALSE)</f>
        <v>9.5147478591817321E-4</v>
      </c>
      <c r="M294" s="34">
        <v>3</v>
      </c>
    </row>
    <row r="295" spans="1:13" ht="15" customHeight="1" x14ac:dyDescent="0.25">
      <c r="A295" s="30" t="s">
        <v>136</v>
      </c>
      <c r="B295" s="30" t="s">
        <v>121</v>
      </c>
      <c r="C295" s="9" t="s">
        <v>67</v>
      </c>
      <c r="D295" s="32">
        <v>2026</v>
      </c>
      <c r="E295" s="33" t="s">
        <v>34</v>
      </c>
      <c r="F295" s="33">
        <f t="shared" si="10"/>
        <v>0</v>
      </c>
      <c r="G295" s="33">
        <f t="shared" si="10"/>
        <v>0</v>
      </c>
      <c r="H295" s="33">
        <f t="shared" si="10"/>
        <v>1</v>
      </c>
      <c r="I295" s="40">
        <f t="shared" si="9"/>
        <v>0</v>
      </c>
      <c r="J295" s="40">
        <f t="shared" si="9"/>
        <v>0</v>
      </c>
      <c r="K295" s="40">
        <f t="shared" si="9"/>
        <v>7.6117982873453852E-4</v>
      </c>
      <c r="L295" s="40">
        <f>1000*M295/VLOOKUP(D295,'Normalised Rates'!$A$7:$B$12,2,FALSE)</f>
        <v>7.6117982873453852E-4</v>
      </c>
      <c r="M295" s="34">
        <v>1</v>
      </c>
    </row>
    <row r="296" spans="1:13" ht="15" customHeight="1" x14ac:dyDescent="0.25">
      <c r="A296" s="30" t="s">
        <v>136</v>
      </c>
      <c r="B296" s="30" t="s">
        <v>121</v>
      </c>
      <c r="C296" s="9" t="s">
        <v>67</v>
      </c>
      <c r="D296" s="32">
        <v>2026</v>
      </c>
      <c r="E296" s="35" t="s">
        <v>163</v>
      </c>
      <c r="F296" s="33">
        <f t="shared" si="10"/>
        <v>2</v>
      </c>
      <c r="G296" s="33">
        <f t="shared" si="10"/>
        <v>0</v>
      </c>
      <c r="H296" s="33">
        <f t="shared" si="10"/>
        <v>0</v>
      </c>
      <c r="I296" s="40">
        <f t="shared" si="9"/>
        <v>1.522359657469077E-3</v>
      </c>
      <c r="J296" s="40">
        <f t="shared" si="9"/>
        <v>0</v>
      </c>
      <c r="K296" s="40">
        <f t="shared" si="9"/>
        <v>0</v>
      </c>
      <c r="L296" s="40">
        <f>1000*M296/VLOOKUP(D296,'Normalised Rates'!$A$7:$B$12,2,FALSE)</f>
        <v>1.522359657469077E-3</v>
      </c>
      <c r="M296" s="34">
        <v>2</v>
      </c>
    </row>
    <row r="297" spans="1:13" ht="15" customHeight="1" x14ac:dyDescent="0.25">
      <c r="A297" s="30" t="s">
        <v>136</v>
      </c>
      <c r="B297" s="30" t="s">
        <v>123</v>
      </c>
      <c r="C297" s="9" t="s">
        <v>84</v>
      </c>
      <c r="D297" s="32">
        <v>2021</v>
      </c>
      <c r="E297" s="35" t="s">
        <v>163</v>
      </c>
      <c r="F297" s="33">
        <f t="shared" si="10"/>
        <v>2</v>
      </c>
      <c r="G297" s="33">
        <f t="shared" si="10"/>
        <v>0</v>
      </c>
      <c r="H297" s="33">
        <f t="shared" si="10"/>
        <v>0</v>
      </c>
      <c r="I297" s="40">
        <f t="shared" si="9"/>
        <v>1.2547051442910915E-3</v>
      </c>
      <c r="J297" s="40">
        <f t="shared" si="9"/>
        <v>0</v>
      </c>
      <c r="K297" s="40">
        <f t="shared" si="9"/>
        <v>0</v>
      </c>
      <c r="L297" s="40">
        <f>1000*M297/VLOOKUP(D297,'Normalised Rates'!$A$7:$B$12,2,FALSE)</f>
        <v>1.2547051442910915E-3</v>
      </c>
      <c r="M297" s="34">
        <v>2</v>
      </c>
    </row>
    <row r="298" spans="1:13" ht="15" customHeight="1" x14ac:dyDescent="0.25">
      <c r="A298" s="30" t="s">
        <v>136</v>
      </c>
      <c r="B298" s="30" t="s">
        <v>123</v>
      </c>
      <c r="C298" s="9" t="s">
        <v>84</v>
      </c>
      <c r="D298" s="32">
        <v>2022</v>
      </c>
      <c r="E298" s="35" t="s">
        <v>163</v>
      </c>
      <c r="F298" s="33">
        <f t="shared" si="10"/>
        <v>1</v>
      </c>
      <c r="G298" s="33">
        <f t="shared" si="10"/>
        <v>0</v>
      </c>
      <c r="H298" s="33">
        <f t="shared" si="10"/>
        <v>0</v>
      </c>
      <c r="I298" s="40">
        <f t="shared" si="9"/>
        <v>5.3333333333333336E-4</v>
      </c>
      <c r="J298" s="40">
        <f t="shared" si="9"/>
        <v>0</v>
      </c>
      <c r="K298" s="40">
        <f t="shared" si="9"/>
        <v>0</v>
      </c>
      <c r="L298" s="40">
        <f>1000*M298/VLOOKUP(D298,'Normalised Rates'!$A$7:$B$12,2,FALSE)</f>
        <v>5.3333333333333336E-4</v>
      </c>
      <c r="M298" s="34">
        <v>1</v>
      </c>
    </row>
    <row r="299" spans="1:13" ht="15" customHeight="1" x14ac:dyDescent="0.25">
      <c r="A299" s="30" t="s">
        <v>136</v>
      </c>
      <c r="B299" s="30" t="s">
        <v>123</v>
      </c>
      <c r="C299" s="9" t="s">
        <v>84</v>
      </c>
      <c r="D299" s="32">
        <v>2023</v>
      </c>
      <c r="E299" s="35" t="s">
        <v>163</v>
      </c>
      <c r="F299" s="33">
        <f t="shared" si="10"/>
        <v>2</v>
      </c>
      <c r="G299" s="33">
        <f t="shared" si="10"/>
        <v>0</v>
      </c>
      <c r="H299" s="33">
        <f t="shared" si="10"/>
        <v>0</v>
      </c>
      <c r="I299" s="40">
        <f t="shared" si="9"/>
        <v>8.7489063867016625E-4</v>
      </c>
      <c r="J299" s="40">
        <f t="shared" si="9"/>
        <v>0</v>
      </c>
      <c r="K299" s="40">
        <f t="shared" si="9"/>
        <v>0</v>
      </c>
      <c r="L299" s="40">
        <f>1000*M299/VLOOKUP(D299,'Normalised Rates'!$A$7:$B$12,2,FALSE)</f>
        <v>8.7489063867016625E-4</v>
      </c>
      <c r="M299" s="34">
        <v>2</v>
      </c>
    </row>
    <row r="300" spans="1:13" ht="15" customHeight="1" x14ac:dyDescent="0.25">
      <c r="A300" s="30" t="s">
        <v>136</v>
      </c>
      <c r="B300" s="30" t="s">
        <v>123</v>
      </c>
      <c r="C300" s="9" t="s">
        <v>84</v>
      </c>
      <c r="D300" s="32">
        <v>2024</v>
      </c>
      <c r="E300" s="35" t="s">
        <v>163</v>
      </c>
      <c r="F300" s="33">
        <f t="shared" si="10"/>
        <v>1</v>
      </c>
      <c r="G300" s="33">
        <f t="shared" si="10"/>
        <v>0</v>
      </c>
      <c r="H300" s="33">
        <f t="shared" si="10"/>
        <v>0</v>
      </c>
      <c r="I300" s="40">
        <f t="shared" si="9"/>
        <v>3.7271710771524412E-4</v>
      </c>
      <c r="J300" s="40">
        <f t="shared" si="9"/>
        <v>0</v>
      </c>
      <c r="K300" s="40">
        <f t="shared" si="9"/>
        <v>0</v>
      </c>
      <c r="L300" s="40">
        <f>1000*M300/VLOOKUP(D300,'Normalised Rates'!$A$7:$B$12,2,FALSE)</f>
        <v>3.7271710771524412E-4</v>
      </c>
      <c r="M300" s="34">
        <v>1</v>
      </c>
    </row>
    <row r="301" spans="1:13" ht="15" customHeight="1" x14ac:dyDescent="0.25">
      <c r="A301" s="30" t="s">
        <v>136</v>
      </c>
      <c r="B301" s="30" t="s">
        <v>123</v>
      </c>
      <c r="C301" s="9" t="s">
        <v>84</v>
      </c>
      <c r="D301" s="32">
        <v>2025</v>
      </c>
      <c r="E301" s="35" t="s">
        <v>163</v>
      </c>
      <c r="F301" s="33">
        <f t="shared" si="10"/>
        <v>1</v>
      </c>
      <c r="G301" s="33">
        <f t="shared" si="10"/>
        <v>0</v>
      </c>
      <c r="H301" s="33">
        <f t="shared" si="10"/>
        <v>0</v>
      </c>
      <c r="I301" s="40">
        <f t="shared" si="9"/>
        <v>3.1715826197272439E-4</v>
      </c>
      <c r="J301" s="40">
        <f t="shared" si="9"/>
        <v>0</v>
      </c>
      <c r="K301" s="40">
        <f t="shared" si="9"/>
        <v>0</v>
      </c>
      <c r="L301" s="40">
        <f>1000*M301/VLOOKUP(D301,'Normalised Rates'!$A$7:$B$12,2,FALSE)</f>
        <v>3.1715826197272439E-4</v>
      </c>
      <c r="M301" s="34">
        <v>1</v>
      </c>
    </row>
    <row r="302" spans="1:13" ht="15" customHeight="1" x14ac:dyDescent="0.25">
      <c r="A302" s="30" t="s">
        <v>136</v>
      </c>
      <c r="B302" s="30" t="s">
        <v>127</v>
      </c>
      <c r="C302" s="9" t="s">
        <v>67</v>
      </c>
      <c r="D302" s="32">
        <v>2023</v>
      </c>
      <c r="E302" s="33" t="s">
        <v>34</v>
      </c>
      <c r="F302" s="33">
        <f t="shared" si="10"/>
        <v>0</v>
      </c>
      <c r="G302" s="33">
        <f t="shared" si="10"/>
        <v>0</v>
      </c>
      <c r="H302" s="33">
        <f t="shared" si="10"/>
        <v>1</v>
      </c>
      <c r="I302" s="40">
        <f t="shared" si="9"/>
        <v>0</v>
      </c>
      <c r="J302" s="40">
        <f t="shared" si="9"/>
        <v>0</v>
      </c>
      <c r="K302" s="40">
        <f t="shared" si="9"/>
        <v>4.3744531933508313E-4</v>
      </c>
      <c r="L302" s="40">
        <f>1000*M302/VLOOKUP(D302,'Normalised Rates'!$A$7:$B$12,2,FALSE)</f>
        <v>4.3744531933508313E-4</v>
      </c>
      <c r="M302" s="34">
        <v>1</v>
      </c>
    </row>
    <row r="303" spans="1:13" ht="15" customHeight="1" x14ac:dyDescent="0.25">
      <c r="A303" s="30" t="s">
        <v>136</v>
      </c>
      <c r="B303" s="30" t="s">
        <v>127</v>
      </c>
      <c r="C303" s="9" t="s">
        <v>67</v>
      </c>
      <c r="D303" s="32">
        <v>2023</v>
      </c>
      <c r="E303" s="35" t="s">
        <v>163</v>
      </c>
      <c r="F303" s="33">
        <f t="shared" si="10"/>
        <v>6</v>
      </c>
      <c r="G303" s="33">
        <f t="shared" si="10"/>
        <v>0</v>
      </c>
      <c r="H303" s="33">
        <f t="shared" si="10"/>
        <v>0</v>
      </c>
      <c r="I303" s="40">
        <f t="shared" si="9"/>
        <v>2.6246719160104987E-3</v>
      </c>
      <c r="J303" s="40">
        <f t="shared" si="9"/>
        <v>0</v>
      </c>
      <c r="K303" s="40">
        <f t="shared" si="9"/>
        <v>0</v>
      </c>
      <c r="L303" s="40">
        <f>1000*M303/VLOOKUP(D303,'Normalised Rates'!$A$7:$B$12,2,FALSE)</f>
        <v>2.6246719160104987E-3</v>
      </c>
      <c r="M303" s="34">
        <v>6</v>
      </c>
    </row>
    <row r="304" spans="1:13" ht="15" customHeight="1" x14ac:dyDescent="0.25">
      <c r="A304" s="30" t="s">
        <v>136</v>
      </c>
      <c r="B304" s="30" t="s">
        <v>94</v>
      </c>
      <c r="C304" s="9" t="s">
        <v>64</v>
      </c>
      <c r="D304" s="32">
        <v>2023</v>
      </c>
      <c r="E304" s="35" t="s">
        <v>163</v>
      </c>
      <c r="F304" s="33">
        <f t="shared" si="10"/>
        <v>3</v>
      </c>
      <c r="G304" s="33">
        <f t="shared" si="10"/>
        <v>0</v>
      </c>
      <c r="H304" s="33">
        <f t="shared" si="10"/>
        <v>0</v>
      </c>
      <c r="I304" s="40">
        <f t="shared" si="9"/>
        <v>1.3123359580052493E-3</v>
      </c>
      <c r="J304" s="40">
        <f t="shared" si="9"/>
        <v>0</v>
      </c>
      <c r="K304" s="40">
        <f t="shared" si="9"/>
        <v>0</v>
      </c>
      <c r="L304" s="40">
        <f>1000*M304/VLOOKUP(D304,'Normalised Rates'!$A$7:$B$12,2,FALSE)</f>
        <v>1.3123359580052493E-3</v>
      </c>
      <c r="M304" s="34">
        <v>3</v>
      </c>
    </row>
    <row r="305" spans="1:13" ht="15" customHeight="1" x14ac:dyDescent="0.25">
      <c r="A305" s="30" t="s">
        <v>136</v>
      </c>
      <c r="B305" s="30" t="s">
        <v>94</v>
      </c>
      <c r="C305" s="9" t="s">
        <v>64</v>
      </c>
      <c r="D305" s="32">
        <v>2025</v>
      </c>
      <c r="E305" s="35" t="s">
        <v>163</v>
      </c>
      <c r="F305" s="33">
        <f t="shared" si="10"/>
        <v>1</v>
      </c>
      <c r="G305" s="33">
        <f t="shared" si="10"/>
        <v>0</v>
      </c>
      <c r="H305" s="33">
        <f t="shared" si="10"/>
        <v>0</v>
      </c>
      <c r="I305" s="40">
        <f t="shared" si="9"/>
        <v>3.1715826197272439E-4</v>
      </c>
      <c r="J305" s="40">
        <f t="shared" si="9"/>
        <v>0</v>
      </c>
      <c r="K305" s="40">
        <f t="shared" si="9"/>
        <v>0</v>
      </c>
      <c r="L305" s="40">
        <f>1000*M305/VLOOKUP(D305,'Normalised Rates'!$A$7:$B$12,2,FALSE)</f>
        <v>3.1715826197272439E-4</v>
      </c>
      <c r="M305" s="34">
        <v>1</v>
      </c>
    </row>
    <row r="306" spans="1:13" ht="15" customHeight="1" x14ac:dyDescent="0.25">
      <c r="A306" s="30" t="s">
        <v>138</v>
      </c>
      <c r="B306" s="30" t="s">
        <v>73</v>
      </c>
      <c r="C306" s="9" t="s">
        <v>67</v>
      </c>
      <c r="D306" s="32">
        <v>2021</v>
      </c>
      <c r="E306" s="35" t="s">
        <v>163</v>
      </c>
      <c r="F306" s="33">
        <f t="shared" si="10"/>
        <v>4</v>
      </c>
      <c r="G306" s="33">
        <f t="shared" si="10"/>
        <v>0</v>
      </c>
      <c r="H306" s="33">
        <f t="shared" si="10"/>
        <v>0</v>
      </c>
      <c r="I306" s="40">
        <f t="shared" si="9"/>
        <v>2.509410288582183E-3</v>
      </c>
      <c r="J306" s="40">
        <f t="shared" si="9"/>
        <v>0</v>
      </c>
      <c r="K306" s="40">
        <f t="shared" si="9"/>
        <v>0</v>
      </c>
      <c r="L306" s="40">
        <f>1000*M306/VLOOKUP(D306,'Normalised Rates'!$A$7:$B$12,2,FALSE)</f>
        <v>2.509410288582183E-3</v>
      </c>
      <c r="M306" s="34">
        <v>4</v>
      </c>
    </row>
    <row r="307" spans="1:13" ht="15" customHeight="1" x14ac:dyDescent="0.25">
      <c r="A307" s="30" t="s">
        <v>138</v>
      </c>
      <c r="B307" s="30" t="s">
        <v>73</v>
      </c>
      <c r="C307" s="9" t="s">
        <v>67</v>
      </c>
      <c r="D307" s="32">
        <v>2022</v>
      </c>
      <c r="E307" s="33" t="s">
        <v>34</v>
      </c>
      <c r="F307" s="33">
        <f t="shared" si="10"/>
        <v>0</v>
      </c>
      <c r="G307" s="33">
        <f t="shared" si="10"/>
        <v>0</v>
      </c>
      <c r="H307" s="33">
        <f t="shared" si="10"/>
        <v>2</v>
      </c>
      <c r="I307" s="40">
        <f t="shared" si="9"/>
        <v>0</v>
      </c>
      <c r="J307" s="40">
        <f t="shared" si="9"/>
        <v>0</v>
      </c>
      <c r="K307" s="40">
        <f t="shared" si="9"/>
        <v>1.0666666666666667E-3</v>
      </c>
      <c r="L307" s="40">
        <f>1000*M307/VLOOKUP(D307,'Normalised Rates'!$A$7:$B$12,2,FALSE)</f>
        <v>1.0666666666666667E-3</v>
      </c>
      <c r="M307" s="34">
        <v>2</v>
      </c>
    </row>
    <row r="308" spans="1:13" ht="15" customHeight="1" x14ac:dyDescent="0.25">
      <c r="A308" s="30" t="s">
        <v>138</v>
      </c>
      <c r="B308" s="30" t="s">
        <v>73</v>
      </c>
      <c r="C308" s="9" t="s">
        <v>67</v>
      </c>
      <c r="D308" s="32">
        <v>2022</v>
      </c>
      <c r="E308" s="35" t="s">
        <v>163</v>
      </c>
      <c r="F308" s="33">
        <f t="shared" si="10"/>
        <v>27</v>
      </c>
      <c r="G308" s="33">
        <f t="shared" si="10"/>
        <v>0</v>
      </c>
      <c r="H308" s="33">
        <f t="shared" si="10"/>
        <v>0</v>
      </c>
      <c r="I308" s="40">
        <f t="shared" si="9"/>
        <v>1.44E-2</v>
      </c>
      <c r="J308" s="40">
        <f t="shared" si="9"/>
        <v>0</v>
      </c>
      <c r="K308" s="40">
        <f t="shared" si="9"/>
        <v>0</v>
      </c>
      <c r="L308" s="40">
        <f>1000*M308/VLOOKUP(D308,'Normalised Rates'!$A$7:$B$12,2,FALSE)</f>
        <v>1.44E-2</v>
      </c>
      <c r="M308" s="34">
        <v>27</v>
      </c>
    </row>
    <row r="309" spans="1:13" ht="15" customHeight="1" x14ac:dyDescent="0.25">
      <c r="A309" s="30" t="s">
        <v>138</v>
      </c>
      <c r="B309" s="30" t="s">
        <v>73</v>
      </c>
      <c r="C309" s="9" t="s">
        <v>67</v>
      </c>
      <c r="D309" s="32">
        <v>2023</v>
      </c>
      <c r="E309" s="33" t="s">
        <v>34</v>
      </c>
      <c r="F309" s="33">
        <f t="shared" si="10"/>
        <v>0</v>
      </c>
      <c r="G309" s="33">
        <f t="shared" si="10"/>
        <v>0</v>
      </c>
      <c r="H309" s="33">
        <f t="shared" si="10"/>
        <v>14</v>
      </c>
      <c r="I309" s="40">
        <f t="shared" si="9"/>
        <v>0</v>
      </c>
      <c r="J309" s="40">
        <f t="shared" si="9"/>
        <v>0</v>
      </c>
      <c r="K309" s="40">
        <f t="shared" si="9"/>
        <v>6.1242344706911632E-3</v>
      </c>
      <c r="L309" s="40">
        <f>1000*M309/VLOOKUP(D309,'Normalised Rates'!$A$7:$B$12,2,FALSE)</f>
        <v>6.1242344706911632E-3</v>
      </c>
      <c r="M309" s="34">
        <v>14</v>
      </c>
    </row>
    <row r="310" spans="1:13" ht="15" customHeight="1" x14ac:dyDescent="0.25">
      <c r="A310" s="30" t="s">
        <v>138</v>
      </c>
      <c r="B310" s="30" t="s">
        <v>73</v>
      </c>
      <c r="C310" s="9" t="s">
        <v>67</v>
      </c>
      <c r="D310" s="32">
        <v>2023</v>
      </c>
      <c r="E310" s="35" t="s">
        <v>163</v>
      </c>
      <c r="F310" s="33">
        <f t="shared" si="10"/>
        <v>127</v>
      </c>
      <c r="G310" s="33">
        <f t="shared" si="10"/>
        <v>0</v>
      </c>
      <c r="H310" s="33">
        <f t="shared" si="10"/>
        <v>0</v>
      </c>
      <c r="I310" s="40">
        <f t="shared" si="9"/>
        <v>5.5555555555555552E-2</v>
      </c>
      <c r="J310" s="40">
        <f t="shared" si="9"/>
        <v>0</v>
      </c>
      <c r="K310" s="40">
        <f t="shared" si="9"/>
        <v>0</v>
      </c>
      <c r="L310" s="40">
        <f>1000*M310/VLOOKUP(D310,'Normalised Rates'!$A$7:$B$12,2,FALSE)</f>
        <v>5.5555555555555552E-2</v>
      </c>
      <c r="M310" s="34">
        <v>127</v>
      </c>
    </row>
    <row r="311" spans="1:13" ht="15" customHeight="1" x14ac:dyDescent="0.25">
      <c r="A311" s="30" t="s">
        <v>138</v>
      </c>
      <c r="B311" s="30" t="s">
        <v>73</v>
      </c>
      <c r="C311" s="9" t="s">
        <v>67</v>
      </c>
      <c r="D311" s="32">
        <v>2024</v>
      </c>
      <c r="E311" s="33" t="s">
        <v>34</v>
      </c>
      <c r="F311" s="33">
        <f t="shared" si="10"/>
        <v>0</v>
      </c>
      <c r="G311" s="33">
        <f t="shared" si="10"/>
        <v>0</v>
      </c>
      <c r="H311" s="33">
        <f t="shared" si="10"/>
        <v>50</v>
      </c>
      <c r="I311" s="40">
        <f t="shared" si="9"/>
        <v>0</v>
      </c>
      <c r="J311" s="40">
        <f t="shared" si="9"/>
        <v>0</v>
      </c>
      <c r="K311" s="40">
        <f t="shared" si="9"/>
        <v>1.8635855385762207E-2</v>
      </c>
      <c r="L311" s="40">
        <f>1000*M311/VLOOKUP(D311,'Normalised Rates'!$A$7:$B$12,2,FALSE)</f>
        <v>1.8635855385762207E-2</v>
      </c>
      <c r="M311" s="34">
        <v>50</v>
      </c>
    </row>
    <row r="312" spans="1:13" ht="15" customHeight="1" x14ac:dyDescent="0.25">
      <c r="A312" s="30" t="s">
        <v>138</v>
      </c>
      <c r="B312" s="30" t="s">
        <v>73</v>
      </c>
      <c r="C312" s="9" t="s">
        <v>67</v>
      </c>
      <c r="D312" s="32">
        <v>2024</v>
      </c>
      <c r="E312" s="35" t="s">
        <v>163</v>
      </c>
      <c r="F312" s="33">
        <f t="shared" si="10"/>
        <v>282</v>
      </c>
      <c r="G312" s="33">
        <f t="shared" si="10"/>
        <v>0</v>
      </c>
      <c r="H312" s="33">
        <f t="shared" si="10"/>
        <v>0</v>
      </c>
      <c r="I312" s="40">
        <f t="shared" si="9"/>
        <v>0.10510622437569885</v>
      </c>
      <c r="J312" s="40">
        <f t="shared" si="9"/>
        <v>0</v>
      </c>
      <c r="K312" s="40">
        <f t="shared" si="9"/>
        <v>0</v>
      </c>
      <c r="L312" s="40">
        <f>1000*M312/VLOOKUP(D312,'Normalised Rates'!$A$7:$B$12,2,FALSE)</f>
        <v>0.10510622437569885</v>
      </c>
      <c r="M312" s="34">
        <v>282</v>
      </c>
    </row>
    <row r="313" spans="1:13" ht="15" customHeight="1" x14ac:dyDescent="0.25">
      <c r="A313" s="30" t="s">
        <v>138</v>
      </c>
      <c r="B313" s="30" t="s">
        <v>73</v>
      </c>
      <c r="C313" s="9" t="s">
        <v>67</v>
      </c>
      <c r="D313" s="32">
        <v>2025</v>
      </c>
      <c r="E313" s="33" t="s">
        <v>34</v>
      </c>
      <c r="F313" s="33">
        <f t="shared" si="10"/>
        <v>0</v>
      </c>
      <c r="G313" s="33">
        <f t="shared" si="10"/>
        <v>0</v>
      </c>
      <c r="H313" s="33">
        <f t="shared" si="10"/>
        <v>61</v>
      </c>
      <c r="I313" s="40">
        <f t="shared" si="9"/>
        <v>0</v>
      </c>
      <c r="J313" s="40">
        <f t="shared" si="9"/>
        <v>0</v>
      </c>
      <c r="K313" s="40">
        <f t="shared" si="9"/>
        <v>1.9346653980336189E-2</v>
      </c>
      <c r="L313" s="40">
        <f>1000*M313/VLOOKUP(D313,'Normalised Rates'!$A$7:$B$12,2,FALSE)</f>
        <v>1.9346653980336189E-2</v>
      </c>
      <c r="M313" s="34">
        <v>61</v>
      </c>
    </row>
    <row r="314" spans="1:13" ht="15" customHeight="1" x14ac:dyDescent="0.25">
      <c r="A314" s="30" t="s">
        <v>138</v>
      </c>
      <c r="B314" s="30" t="s">
        <v>73</v>
      </c>
      <c r="C314" s="9" t="s">
        <v>67</v>
      </c>
      <c r="D314" s="32">
        <v>2025</v>
      </c>
      <c r="E314" s="35" t="s">
        <v>163</v>
      </c>
      <c r="F314" s="33">
        <f t="shared" si="10"/>
        <v>956</v>
      </c>
      <c r="G314" s="33">
        <f t="shared" si="10"/>
        <v>0</v>
      </c>
      <c r="H314" s="33">
        <f t="shared" si="10"/>
        <v>0</v>
      </c>
      <c r="I314" s="40">
        <f t="shared" si="9"/>
        <v>0.30320329844592453</v>
      </c>
      <c r="J314" s="40">
        <f t="shared" si="9"/>
        <v>0</v>
      </c>
      <c r="K314" s="40">
        <f t="shared" si="9"/>
        <v>0</v>
      </c>
      <c r="L314" s="40">
        <f>1000*M314/VLOOKUP(D314,'Normalised Rates'!$A$7:$B$12,2,FALSE)</f>
        <v>0.30320329844592453</v>
      </c>
      <c r="M314" s="34">
        <v>956</v>
      </c>
    </row>
    <row r="315" spans="1:13" ht="15" customHeight="1" x14ac:dyDescent="0.25">
      <c r="A315" s="30" t="s">
        <v>138</v>
      </c>
      <c r="B315" s="30" t="s">
        <v>73</v>
      </c>
      <c r="C315" s="9" t="s">
        <v>67</v>
      </c>
      <c r="D315" s="32">
        <v>2026</v>
      </c>
      <c r="E315" s="33" t="s">
        <v>34</v>
      </c>
      <c r="F315" s="33">
        <f t="shared" si="10"/>
        <v>0</v>
      </c>
      <c r="G315" s="33">
        <f t="shared" si="10"/>
        <v>0</v>
      </c>
      <c r="H315" s="33">
        <f t="shared" si="10"/>
        <v>18</v>
      </c>
      <c r="I315" s="40">
        <f t="shared" si="9"/>
        <v>0</v>
      </c>
      <c r="J315" s="40">
        <f t="shared" si="9"/>
        <v>0</v>
      </c>
      <c r="K315" s="40">
        <f t="shared" si="9"/>
        <v>1.3701236917221693E-2</v>
      </c>
      <c r="L315" s="40">
        <f>1000*M315/VLOOKUP(D315,'Normalised Rates'!$A$7:$B$12,2,FALSE)</f>
        <v>1.3701236917221693E-2</v>
      </c>
      <c r="M315" s="34">
        <v>18</v>
      </c>
    </row>
    <row r="316" spans="1:13" ht="15" customHeight="1" x14ac:dyDescent="0.25">
      <c r="A316" s="30" t="s">
        <v>138</v>
      </c>
      <c r="B316" s="30" t="s">
        <v>73</v>
      </c>
      <c r="C316" s="9" t="s">
        <v>67</v>
      </c>
      <c r="D316" s="32">
        <v>2026</v>
      </c>
      <c r="E316" s="35" t="s">
        <v>163</v>
      </c>
      <c r="F316" s="33">
        <f t="shared" si="10"/>
        <v>38</v>
      </c>
      <c r="G316" s="33">
        <f t="shared" si="10"/>
        <v>0</v>
      </c>
      <c r="H316" s="33">
        <f t="shared" si="10"/>
        <v>0</v>
      </c>
      <c r="I316" s="40">
        <f t="shared" si="9"/>
        <v>2.8924833491912463E-2</v>
      </c>
      <c r="J316" s="40">
        <f t="shared" si="9"/>
        <v>0</v>
      </c>
      <c r="K316" s="40">
        <f t="shared" si="9"/>
        <v>0</v>
      </c>
      <c r="L316" s="40">
        <f>1000*M316/VLOOKUP(D316,'Normalised Rates'!$A$7:$B$12,2,FALSE)</f>
        <v>2.8924833491912463E-2</v>
      </c>
      <c r="M316" s="34">
        <v>38</v>
      </c>
    </row>
    <row r="317" spans="1:13" ht="15" customHeight="1" x14ac:dyDescent="0.25">
      <c r="A317" s="30" t="s">
        <v>138</v>
      </c>
      <c r="B317" s="30" t="s">
        <v>86</v>
      </c>
      <c r="C317" s="9" t="s">
        <v>84</v>
      </c>
      <c r="D317" s="32">
        <v>2022</v>
      </c>
      <c r="E317" s="33" t="s">
        <v>34</v>
      </c>
      <c r="F317" s="33">
        <f t="shared" si="10"/>
        <v>0</v>
      </c>
      <c r="G317" s="33">
        <f t="shared" si="10"/>
        <v>0</v>
      </c>
      <c r="H317" s="33">
        <f t="shared" si="10"/>
        <v>2</v>
      </c>
      <c r="I317" s="40">
        <f t="shared" si="9"/>
        <v>0</v>
      </c>
      <c r="J317" s="40">
        <f t="shared" si="9"/>
        <v>0</v>
      </c>
      <c r="K317" s="40">
        <f t="shared" si="9"/>
        <v>1.0666666666666667E-3</v>
      </c>
      <c r="L317" s="40">
        <f>1000*M317/VLOOKUP(D317,'Normalised Rates'!$A$7:$B$12,2,FALSE)</f>
        <v>1.0666666666666667E-3</v>
      </c>
      <c r="M317" s="34">
        <v>2</v>
      </c>
    </row>
    <row r="318" spans="1:13" ht="15" customHeight="1" x14ac:dyDescent="0.25">
      <c r="A318" s="30" t="s">
        <v>138</v>
      </c>
      <c r="B318" s="30" t="s">
        <v>86</v>
      </c>
      <c r="C318" s="9" t="s">
        <v>84</v>
      </c>
      <c r="D318" s="32">
        <v>2022</v>
      </c>
      <c r="E318" s="35" t="s">
        <v>163</v>
      </c>
      <c r="F318" s="33">
        <f t="shared" si="10"/>
        <v>13</v>
      </c>
      <c r="G318" s="33">
        <f t="shared" si="10"/>
        <v>0</v>
      </c>
      <c r="H318" s="33">
        <f t="shared" si="10"/>
        <v>0</v>
      </c>
      <c r="I318" s="40">
        <f t="shared" si="9"/>
        <v>6.933333333333333E-3</v>
      </c>
      <c r="J318" s="40">
        <f t="shared" si="9"/>
        <v>0</v>
      </c>
      <c r="K318" s="40">
        <f t="shared" si="9"/>
        <v>0</v>
      </c>
      <c r="L318" s="40">
        <f>1000*M318/VLOOKUP(D318,'Normalised Rates'!$A$7:$B$12,2,FALSE)</f>
        <v>6.933333333333333E-3</v>
      </c>
      <c r="M318" s="34">
        <v>13</v>
      </c>
    </row>
    <row r="319" spans="1:13" ht="15" customHeight="1" x14ac:dyDescent="0.25">
      <c r="A319" s="30" t="s">
        <v>138</v>
      </c>
      <c r="B319" s="30" t="s">
        <v>86</v>
      </c>
      <c r="C319" s="9" t="s">
        <v>84</v>
      </c>
      <c r="D319" s="32">
        <v>2023</v>
      </c>
      <c r="E319" s="33" t="s">
        <v>34</v>
      </c>
      <c r="F319" s="33">
        <f t="shared" si="10"/>
        <v>0</v>
      </c>
      <c r="G319" s="33">
        <f t="shared" si="10"/>
        <v>0</v>
      </c>
      <c r="H319" s="33">
        <f t="shared" si="10"/>
        <v>4</v>
      </c>
      <c r="I319" s="40">
        <f t="shared" si="9"/>
        <v>0</v>
      </c>
      <c r="J319" s="40">
        <f t="shared" si="9"/>
        <v>0</v>
      </c>
      <c r="K319" s="40">
        <f t="shared" si="9"/>
        <v>1.7497812773403325E-3</v>
      </c>
      <c r="L319" s="40">
        <f>1000*M319/VLOOKUP(D319,'Normalised Rates'!$A$7:$B$12,2,FALSE)</f>
        <v>1.7497812773403325E-3</v>
      </c>
      <c r="M319" s="34">
        <v>4</v>
      </c>
    </row>
    <row r="320" spans="1:13" ht="15" customHeight="1" x14ac:dyDescent="0.25">
      <c r="A320" s="30" t="s">
        <v>138</v>
      </c>
      <c r="B320" s="30" t="s">
        <v>86</v>
      </c>
      <c r="C320" s="9" t="s">
        <v>84</v>
      </c>
      <c r="D320" s="32">
        <v>2023</v>
      </c>
      <c r="E320" s="35" t="s">
        <v>163</v>
      </c>
      <c r="F320" s="33">
        <f t="shared" si="10"/>
        <v>68</v>
      </c>
      <c r="G320" s="33">
        <f t="shared" si="10"/>
        <v>0</v>
      </c>
      <c r="H320" s="33">
        <f t="shared" si="10"/>
        <v>0</v>
      </c>
      <c r="I320" s="40">
        <f t="shared" si="9"/>
        <v>2.974628171478565E-2</v>
      </c>
      <c r="J320" s="40">
        <f t="shared" si="9"/>
        <v>0</v>
      </c>
      <c r="K320" s="40">
        <f t="shared" si="9"/>
        <v>0</v>
      </c>
      <c r="L320" s="40">
        <f>1000*M320/VLOOKUP(D320,'Normalised Rates'!$A$7:$B$12,2,FALSE)</f>
        <v>2.974628171478565E-2</v>
      </c>
      <c r="M320" s="34">
        <v>68</v>
      </c>
    </row>
    <row r="321" spans="1:13" ht="15" customHeight="1" x14ac:dyDescent="0.25">
      <c r="A321" s="30" t="s">
        <v>138</v>
      </c>
      <c r="B321" s="30" t="s">
        <v>86</v>
      </c>
      <c r="C321" s="9" t="s">
        <v>84</v>
      </c>
      <c r="D321" s="32">
        <v>2024</v>
      </c>
      <c r="E321" s="33" t="s">
        <v>34</v>
      </c>
      <c r="F321" s="33">
        <f t="shared" si="10"/>
        <v>0</v>
      </c>
      <c r="G321" s="33">
        <f t="shared" si="10"/>
        <v>0</v>
      </c>
      <c r="H321" s="33">
        <f t="shared" si="10"/>
        <v>25</v>
      </c>
      <c r="I321" s="40">
        <f t="shared" si="9"/>
        <v>0</v>
      </c>
      <c r="J321" s="40">
        <f t="shared" si="9"/>
        <v>0</v>
      </c>
      <c r="K321" s="40">
        <f t="shared" si="9"/>
        <v>9.3179276928811033E-3</v>
      </c>
      <c r="L321" s="40">
        <f>1000*M321/VLOOKUP(D321,'Normalised Rates'!$A$7:$B$12,2,FALSE)</f>
        <v>9.3179276928811033E-3</v>
      </c>
      <c r="M321" s="34">
        <v>25</v>
      </c>
    </row>
    <row r="322" spans="1:13" ht="15" customHeight="1" x14ac:dyDescent="0.25">
      <c r="A322" s="30" t="s">
        <v>138</v>
      </c>
      <c r="B322" s="30" t="s">
        <v>86</v>
      </c>
      <c r="C322" s="9" t="s">
        <v>84</v>
      </c>
      <c r="D322" s="32">
        <v>2024</v>
      </c>
      <c r="E322" s="35" t="s">
        <v>163</v>
      </c>
      <c r="F322" s="33">
        <f t="shared" si="10"/>
        <v>1115</v>
      </c>
      <c r="G322" s="33">
        <f t="shared" si="10"/>
        <v>0</v>
      </c>
      <c r="H322" s="33">
        <f t="shared" si="10"/>
        <v>0</v>
      </c>
      <c r="I322" s="40">
        <f t="shared" si="9"/>
        <v>0.41557957510249721</v>
      </c>
      <c r="J322" s="40">
        <f t="shared" si="9"/>
        <v>0</v>
      </c>
      <c r="K322" s="40">
        <f t="shared" si="9"/>
        <v>0</v>
      </c>
      <c r="L322" s="40">
        <f>1000*M322/VLOOKUP(D322,'Normalised Rates'!$A$7:$B$12,2,FALSE)</f>
        <v>0.41557957510249721</v>
      </c>
      <c r="M322" s="34">
        <v>1115</v>
      </c>
    </row>
    <row r="323" spans="1:13" ht="15" customHeight="1" x14ac:dyDescent="0.25">
      <c r="A323" s="30" t="s">
        <v>138</v>
      </c>
      <c r="B323" s="30" t="s">
        <v>86</v>
      </c>
      <c r="C323" s="9" t="s">
        <v>84</v>
      </c>
      <c r="D323" s="32">
        <v>2025</v>
      </c>
      <c r="E323" s="33" t="s">
        <v>34</v>
      </c>
      <c r="F323" s="33">
        <f t="shared" si="10"/>
        <v>0</v>
      </c>
      <c r="G323" s="33">
        <f t="shared" si="10"/>
        <v>0</v>
      </c>
      <c r="H323" s="33">
        <f t="shared" si="10"/>
        <v>24</v>
      </c>
      <c r="I323" s="40">
        <f t="shared" si="9"/>
        <v>0</v>
      </c>
      <c r="J323" s="40">
        <f t="shared" si="9"/>
        <v>0</v>
      </c>
      <c r="K323" s="40">
        <f t="shared" si="9"/>
        <v>7.6117982873453857E-3</v>
      </c>
      <c r="L323" s="40">
        <f>1000*M323/VLOOKUP(D323,'Normalised Rates'!$A$7:$B$12,2,FALSE)</f>
        <v>7.6117982873453857E-3</v>
      </c>
      <c r="M323" s="34">
        <v>24</v>
      </c>
    </row>
    <row r="324" spans="1:13" ht="15" customHeight="1" x14ac:dyDescent="0.25">
      <c r="A324" s="30" t="s">
        <v>138</v>
      </c>
      <c r="B324" s="30" t="s">
        <v>86</v>
      </c>
      <c r="C324" s="9" t="s">
        <v>84</v>
      </c>
      <c r="D324" s="32">
        <v>2025</v>
      </c>
      <c r="E324" s="35" t="s">
        <v>163</v>
      </c>
      <c r="F324" s="33">
        <f t="shared" si="10"/>
        <v>266</v>
      </c>
      <c r="G324" s="33">
        <f t="shared" si="10"/>
        <v>0</v>
      </c>
      <c r="H324" s="33">
        <f t="shared" si="10"/>
        <v>0</v>
      </c>
      <c r="I324" s="40">
        <f t="shared" si="9"/>
        <v>8.4364097684744691E-2</v>
      </c>
      <c r="J324" s="40">
        <f t="shared" si="9"/>
        <v>0</v>
      </c>
      <c r="K324" s="40">
        <f t="shared" si="9"/>
        <v>0</v>
      </c>
      <c r="L324" s="40">
        <f>1000*M324/VLOOKUP(D324,'Normalised Rates'!$A$7:$B$12,2,FALSE)</f>
        <v>8.4364097684744691E-2</v>
      </c>
      <c r="M324" s="34">
        <v>266</v>
      </c>
    </row>
    <row r="325" spans="1:13" ht="15" customHeight="1" x14ac:dyDescent="0.25">
      <c r="A325" s="30" t="s">
        <v>138</v>
      </c>
      <c r="B325" s="30" t="s">
        <v>86</v>
      </c>
      <c r="C325" s="9" t="s">
        <v>84</v>
      </c>
      <c r="D325" s="32">
        <v>2026</v>
      </c>
      <c r="E325" s="33" t="s">
        <v>34</v>
      </c>
      <c r="F325" s="33">
        <f t="shared" si="10"/>
        <v>0</v>
      </c>
      <c r="G325" s="33">
        <f t="shared" si="10"/>
        <v>0</v>
      </c>
      <c r="H325" s="33">
        <f t="shared" si="10"/>
        <v>6</v>
      </c>
      <c r="I325" s="40">
        <f t="shared" si="9"/>
        <v>0</v>
      </c>
      <c r="J325" s="40">
        <f t="shared" si="9"/>
        <v>0</v>
      </c>
      <c r="K325" s="40">
        <f t="shared" si="9"/>
        <v>4.5670789724072316E-3</v>
      </c>
      <c r="L325" s="40">
        <f>1000*M325/VLOOKUP(D325,'Normalised Rates'!$A$7:$B$12,2,FALSE)</f>
        <v>4.5670789724072316E-3</v>
      </c>
      <c r="M325" s="34">
        <v>6</v>
      </c>
    </row>
    <row r="326" spans="1:13" ht="15" customHeight="1" x14ac:dyDescent="0.25">
      <c r="A326" s="30" t="s">
        <v>138</v>
      </c>
      <c r="B326" s="30" t="s">
        <v>86</v>
      </c>
      <c r="C326" s="9" t="s">
        <v>84</v>
      </c>
      <c r="D326" s="32">
        <v>2026</v>
      </c>
      <c r="E326" s="35" t="s">
        <v>163</v>
      </c>
      <c r="F326" s="33">
        <f t="shared" si="10"/>
        <v>13</v>
      </c>
      <c r="G326" s="33">
        <f t="shared" si="10"/>
        <v>0</v>
      </c>
      <c r="H326" s="33">
        <f t="shared" si="10"/>
        <v>0</v>
      </c>
      <c r="I326" s="40">
        <f t="shared" si="9"/>
        <v>9.8953377735490015E-3</v>
      </c>
      <c r="J326" s="40">
        <f t="shared" si="9"/>
        <v>0</v>
      </c>
      <c r="K326" s="40">
        <f t="shared" si="9"/>
        <v>0</v>
      </c>
      <c r="L326" s="40">
        <f>1000*M326/VLOOKUP(D326,'Normalised Rates'!$A$7:$B$12,2,FALSE)</f>
        <v>9.8953377735490015E-3</v>
      </c>
      <c r="M326" s="34">
        <v>13</v>
      </c>
    </row>
    <row r="327" spans="1:13" ht="15" customHeight="1" x14ac:dyDescent="0.25">
      <c r="A327" s="30" t="s">
        <v>138</v>
      </c>
      <c r="B327" s="30" t="s">
        <v>81</v>
      </c>
      <c r="C327" s="9" t="s">
        <v>67</v>
      </c>
      <c r="D327" s="32">
        <v>2021</v>
      </c>
      <c r="E327" s="33" t="s">
        <v>34</v>
      </c>
      <c r="F327" s="33">
        <f t="shared" si="10"/>
        <v>0</v>
      </c>
      <c r="G327" s="33">
        <f t="shared" si="10"/>
        <v>0</v>
      </c>
      <c r="H327" s="33">
        <f t="shared" si="10"/>
        <v>1</v>
      </c>
      <c r="I327" s="40">
        <f t="shared" ref="I327:K390" si="11">IF(_xlfn.CONCAT($E327,"%")=I$5,$L327,0)</f>
        <v>0</v>
      </c>
      <c r="J327" s="40">
        <f t="shared" si="11"/>
        <v>0</v>
      </c>
      <c r="K327" s="40">
        <f t="shared" si="11"/>
        <v>6.2735257214554575E-4</v>
      </c>
      <c r="L327" s="40">
        <f>1000*M327/VLOOKUP(D327,'Normalised Rates'!$A$7:$B$12,2,FALSE)</f>
        <v>6.2735257214554575E-4</v>
      </c>
      <c r="M327" s="34">
        <v>1</v>
      </c>
    </row>
    <row r="328" spans="1:13" ht="15" customHeight="1" x14ac:dyDescent="0.25">
      <c r="A328" s="30" t="s">
        <v>138</v>
      </c>
      <c r="B328" s="30" t="s">
        <v>81</v>
      </c>
      <c r="C328" s="9" t="s">
        <v>67</v>
      </c>
      <c r="D328" s="32">
        <v>2022</v>
      </c>
      <c r="E328" s="33" t="s">
        <v>34</v>
      </c>
      <c r="F328" s="33">
        <f t="shared" si="10"/>
        <v>0</v>
      </c>
      <c r="G328" s="33">
        <f t="shared" si="10"/>
        <v>0</v>
      </c>
      <c r="H328" s="33">
        <f t="shared" si="10"/>
        <v>1</v>
      </c>
      <c r="I328" s="40">
        <f t="shared" si="11"/>
        <v>0</v>
      </c>
      <c r="J328" s="40">
        <f t="shared" si="11"/>
        <v>0</v>
      </c>
      <c r="K328" s="40">
        <f t="shared" si="11"/>
        <v>5.3333333333333336E-4</v>
      </c>
      <c r="L328" s="40">
        <f>1000*M328/VLOOKUP(D328,'Normalised Rates'!$A$7:$B$12,2,FALSE)</f>
        <v>5.3333333333333336E-4</v>
      </c>
      <c r="M328" s="34">
        <v>1</v>
      </c>
    </row>
    <row r="329" spans="1:13" ht="15" customHeight="1" x14ac:dyDescent="0.25">
      <c r="A329" s="30" t="s">
        <v>138</v>
      </c>
      <c r="B329" s="30" t="s">
        <v>81</v>
      </c>
      <c r="C329" s="9" t="s">
        <v>67</v>
      </c>
      <c r="D329" s="32">
        <v>2022</v>
      </c>
      <c r="E329" s="35" t="s">
        <v>163</v>
      </c>
      <c r="F329" s="33">
        <f t="shared" ref="F329:H392" si="12">IF($E329=F$5,$M329,0)</f>
        <v>12</v>
      </c>
      <c r="G329" s="33">
        <f t="shared" si="12"/>
        <v>0</v>
      </c>
      <c r="H329" s="33">
        <f t="shared" si="12"/>
        <v>0</v>
      </c>
      <c r="I329" s="40">
        <f t="shared" si="11"/>
        <v>6.4000000000000003E-3</v>
      </c>
      <c r="J329" s="40">
        <f t="shared" si="11"/>
        <v>0</v>
      </c>
      <c r="K329" s="40">
        <f t="shared" si="11"/>
        <v>0</v>
      </c>
      <c r="L329" s="40">
        <f>1000*M329/VLOOKUP(D329,'Normalised Rates'!$A$7:$B$12,2,FALSE)</f>
        <v>6.4000000000000003E-3</v>
      </c>
      <c r="M329" s="34">
        <v>12</v>
      </c>
    </row>
    <row r="330" spans="1:13" ht="15" customHeight="1" x14ac:dyDescent="0.25">
      <c r="A330" s="30" t="s">
        <v>138</v>
      </c>
      <c r="B330" s="30" t="s">
        <v>81</v>
      </c>
      <c r="C330" s="9" t="s">
        <v>67</v>
      </c>
      <c r="D330" s="32">
        <v>2023</v>
      </c>
      <c r="E330" s="33" t="s">
        <v>34</v>
      </c>
      <c r="F330" s="33">
        <f t="shared" si="12"/>
        <v>0</v>
      </c>
      <c r="G330" s="33">
        <f t="shared" si="12"/>
        <v>0</v>
      </c>
      <c r="H330" s="33">
        <f t="shared" si="12"/>
        <v>2</v>
      </c>
      <c r="I330" s="40">
        <f t="shared" si="11"/>
        <v>0</v>
      </c>
      <c r="J330" s="40">
        <f t="shared" si="11"/>
        <v>0</v>
      </c>
      <c r="K330" s="40">
        <f t="shared" si="11"/>
        <v>8.7489063867016625E-4</v>
      </c>
      <c r="L330" s="40">
        <f>1000*M330/VLOOKUP(D330,'Normalised Rates'!$A$7:$B$12,2,FALSE)</f>
        <v>8.7489063867016625E-4</v>
      </c>
      <c r="M330" s="34">
        <v>2</v>
      </c>
    </row>
    <row r="331" spans="1:13" ht="15" customHeight="1" x14ac:dyDescent="0.25">
      <c r="A331" s="30" t="s">
        <v>138</v>
      </c>
      <c r="B331" s="30" t="s">
        <v>81</v>
      </c>
      <c r="C331" s="9" t="s">
        <v>67</v>
      </c>
      <c r="D331" s="32">
        <v>2023</v>
      </c>
      <c r="E331" s="35" t="s">
        <v>163</v>
      </c>
      <c r="F331" s="33">
        <f t="shared" si="12"/>
        <v>29</v>
      </c>
      <c r="G331" s="33">
        <f t="shared" si="12"/>
        <v>0</v>
      </c>
      <c r="H331" s="33">
        <f t="shared" si="12"/>
        <v>0</v>
      </c>
      <c r="I331" s="40">
        <f t="shared" si="11"/>
        <v>1.2685914260717411E-2</v>
      </c>
      <c r="J331" s="40">
        <f t="shared" si="11"/>
        <v>0</v>
      </c>
      <c r="K331" s="40">
        <f t="shared" si="11"/>
        <v>0</v>
      </c>
      <c r="L331" s="40">
        <f>1000*M331/VLOOKUP(D331,'Normalised Rates'!$A$7:$B$12,2,FALSE)</f>
        <v>1.2685914260717411E-2</v>
      </c>
      <c r="M331" s="34">
        <v>29</v>
      </c>
    </row>
    <row r="332" spans="1:13" ht="15" customHeight="1" x14ac:dyDescent="0.25">
      <c r="A332" s="30" t="s">
        <v>138</v>
      </c>
      <c r="B332" s="30" t="s">
        <v>81</v>
      </c>
      <c r="C332" s="9" t="s">
        <v>67</v>
      </c>
      <c r="D332" s="32">
        <v>2024</v>
      </c>
      <c r="E332" s="33" t="s">
        <v>34</v>
      </c>
      <c r="F332" s="33">
        <f t="shared" si="12"/>
        <v>0</v>
      </c>
      <c r="G332" s="33">
        <f t="shared" si="12"/>
        <v>0</v>
      </c>
      <c r="H332" s="33">
        <f t="shared" si="12"/>
        <v>13</v>
      </c>
      <c r="I332" s="40">
        <f t="shared" si="11"/>
        <v>0</v>
      </c>
      <c r="J332" s="40">
        <f t="shared" si="11"/>
        <v>0</v>
      </c>
      <c r="K332" s="40">
        <f t="shared" si="11"/>
        <v>4.8453224002981739E-3</v>
      </c>
      <c r="L332" s="40">
        <f>1000*M332/VLOOKUP(D332,'Normalised Rates'!$A$7:$B$12,2,FALSE)</f>
        <v>4.8453224002981739E-3</v>
      </c>
      <c r="M332" s="34">
        <v>13</v>
      </c>
    </row>
    <row r="333" spans="1:13" ht="15" customHeight="1" x14ac:dyDescent="0.25">
      <c r="A333" s="30" t="s">
        <v>138</v>
      </c>
      <c r="B333" s="30" t="s">
        <v>81</v>
      </c>
      <c r="C333" s="9" t="s">
        <v>67</v>
      </c>
      <c r="D333" s="32">
        <v>2024</v>
      </c>
      <c r="E333" s="35" t="s">
        <v>163</v>
      </c>
      <c r="F333" s="33">
        <f t="shared" si="12"/>
        <v>49</v>
      </c>
      <c r="G333" s="33">
        <f t="shared" si="12"/>
        <v>0</v>
      </c>
      <c r="H333" s="33">
        <f t="shared" si="12"/>
        <v>0</v>
      </c>
      <c r="I333" s="40">
        <f t="shared" si="11"/>
        <v>1.8263138278046962E-2</v>
      </c>
      <c r="J333" s="40">
        <f t="shared" si="11"/>
        <v>0</v>
      </c>
      <c r="K333" s="40">
        <f t="shared" si="11"/>
        <v>0</v>
      </c>
      <c r="L333" s="40">
        <f>1000*M333/VLOOKUP(D333,'Normalised Rates'!$A$7:$B$12,2,FALSE)</f>
        <v>1.8263138278046962E-2</v>
      </c>
      <c r="M333" s="34">
        <v>49</v>
      </c>
    </row>
    <row r="334" spans="1:13" ht="15" customHeight="1" x14ac:dyDescent="0.25">
      <c r="A334" s="30" t="s">
        <v>138</v>
      </c>
      <c r="B334" s="30" t="s">
        <v>81</v>
      </c>
      <c r="C334" s="9" t="s">
        <v>67</v>
      </c>
      <c r="D334" s="32">
        <v>2025</v>
      </c>
      <c r="E334" s="33" t="s">
        <v>34</v>
      </c>
      <c r="F334" s="33">
        <f t="shared" si="12"/>
        <v>0</v>
      </c>
      <c r="G334" s="33">
        <f t="shared" si="12"/>
        <v>0</v>
      </c>
      <c r="H334" s="33">
        <f t="shared" si="12"/>
        <v>15</v>
      </c>
      <c r="I334" s="40">
        <f t="shared" si="11"/>
        <v>0</v>
      </c>
      <c r="J334" s="40">
        <f t="shared" si="11"/>
        <v>0</v>
      </c>
      <c r="K334" s="40">
        <f t="shared" si="11"/>
        <v>4.7573739295908657E-3</v>
      </c>
      <c r="L334" s="40">
        <f>1000*M334/VLOOKUP(D334,'Normalised Rates'!$A$7:$B$12,2,FALSE)</f>
        <v>4.7573739295908657E-3</v>
      </c>
      <c r="M334" s="34">
        <v>15</v>
      </c>
    </row>
    <row r="335" spans="1:13" ht="15" customHeight="1" x14ac:dyDescent="0.25">
      <c r="A335" s="30" t="s">
        <v>138</v>
      </c>
      <c r="B335" s="30" t="s">
        <v>81</v>
      </c>
      <c r="C335" s="9" t="s">
        <v>67</v>
      </c>
      <c r="D335" s="32">
        <v>2025</v>
      </c>
      <c r="E335" s="35" t="s">
        <v>163</v>
      </c>
      <c r="F335" s="33">
        <f t="shared" si="12"/>
        <v>767</v>
      </c>
      <c r="G335" s="33">
        <f t="shared" si="12"/>
        <v>0</v>
      </c>
      <c r="H335" s="33">
        <f t="shared" si="12"/>
        <v>0</v>
      </c>
      <c r="I335" s="40">
        <f t="shared" si="11"/>
        <v>0.24326038693307961</v>
      </c>
      <c r="J335" s="40">
        <f t="shared" si="11"/>
        <v>0</v>
      </c>
      <c r="K335" s="40">
        <f t="shared" si="11"/>
        <v>0</v>
      </c>
      <c r="L335" s="40">
        <f>1000*M335/VLOOKUP(D335,'Normalised Rates'!$A$7:$B$12,2,FALSE)</f>
        <v>0.24326038693307961</v>
      </c>
      <c r="M335" s="34">
        <v>767</v>
      </c>
    </row>
    <row r="336" spans="1:13" ht="15" customHeight="1" x14ac:dyDescent="0.25">
      <c r="A336" s="30" t="s">
        <v>138</v>
      </c>
      <c r="B336" s="30" t="s">
        <v>81</v>
      </c>
      <c r="C336" s="9" t="s">
        <v>67</v>
      </c>
      <c r="D336" s="32">
        <v>2026</v>
      </c>
      <c r="E336" s="33" t="s">
        <v>34</v>
      </c>
      <c r="F336" s="33">
        <f t="shared" si="12"/>
        <v>0</v>
      </c>
      <c r="G336" s="33">
        <f t="shared" si="12"/>
        <v>0</v>
      </c>
      <c r="H336" s="33">
        <f t="shared" si="12"/>
        <v>6</v>
      </c>
      <c r="I336" s="40">
        <f t="shared" si="11"/>
        <v>0</v>
      </c>
      <c r="J336" s="40">
        <f t="shared" si="11"/>
        <v>0</v>
      </c>
      <c r="K336" s="40">
        <f t="shared" si="11"/>
        <v>4.5670789724072316E-3</v>
      </c>
      <c r="L336" s="40">
        <f>1000*M336/VLOOKUP(D336,'Normalised Rates'!$A$7:$B$12,2,FALSE)</f>
        <v>4.5670789724072316E-3</v>
      </c>
      <c r="M336" s="34">
        <v>6</v>
      </c>
    </row>
    <row r="337" spans="1:13" ht="15" customHeight="1" x14ac:dyDescent="0.25">
      <c r="A337" s="30" t="s">
        <v>138</v>
      </c>
      <c r="B337" s="30" t="s">
        <v>81</v>
      </c>
      <c r="C337" s="9" t="s">
        <v>67</v>
      </c>
      <c r="D337" s="32">
        <v>2026</v>
      </c>
      <c r="E337" s="35" t="s">
        <v>163</v>
      </c>
      <c r="F337" s="33">
        <f t="shared" si="12"/>
        <v>86</v>
      </c>
      <c r="G337" s="33">
        <f t="shared" si="12"/>
        <v>0</v>
      </c>
      <c r="H337" s="33">
        <f t="shared" si="12"/>
        <v>0</v>
      </c>
      <c r="I337" s="40">
        <f t="shared" si="11"/>
        <v>6.5461465271170319E-2</v>
      </c>
      <c r="J337" s="40">
        <f t="shared" si="11"/>
        <v>0</v>
      </c>
      <c r="K337" s="40">
        <f t="shared" si="11"/>
        <v>0</v>
      </c>
      <c r="L337" s="40">
        <f>1000*M337/VLOOKUP(D337,'Normalised Rates'!$A$7:$B$12,2,FALSE)</f>
        <v>6.5461465271170319E-2</v>
      </c>
      <c r="M337" s="34">
        <v>86</v>
      </c>
    </row>
    <row r="338" spans="1:13" ht="15" customHeight="1" x14ac:dyDescent="0.25">
      <c r="A338" s="30" t="s">
        <v>138</v>
      </c>
      <c r="B338" s="30" t="s">
        <v>88</v>
      </c>
      <c r="C338" s="9" t="s">
        <v>84</v>
      </c>
      <c r="D338" s="32">
        <v>2021</v>
      </c>
      <c r="E338" s="33" t="s">
        <v>34</v>
      </c>
      <c r="F338" s="33">
        <f t="shared" si="12"/>
        <v>0</v>
      </c>
      <c r="G338" s="33">
        <f t="shared" si="12"/>
        <v>0</v>
      </c>
      <c r="H338" s="33">
        <f t="shared" si="12"/>
        <v>3</v>
      </c>
      <c r="I338" s="40">
        <f t="shared" si="11"/>
        <v>0</v>
      </c>
      <c r="J338" s="40">
        <f t="shared" si="11"/>
        <v>0</v>
      </c>
      <c r="K338" s="40">
        <f t="shared" si="11"/>
        <v>1.8820577164366374E-3</v>
      </c>
      <c r="L338" s="40">
        <f>1000*M338/VLOOKUP(D338,'Normalised Rates'!$A$7:$B$12,2,FALSE)</f>
        <v>1.8820577164366374E-3</v>
      </c>
      <c r="M338" s="34">
        <v>3</v>
      </c>
    </row>
    <row r="339" spans="1:13" ht="15" customHeight="1" x14ac:dyDescent="0.25">
      <c r="A339" s="30" t="s">
        <v>138</v>
      </c>
      <c r="B339" s="30" t="s">
        <v>88</v>
      </c>
      <c r="C339" s="9" t="s">
        <v>84</v>
      </c>
      <c r="D339" s="32">
        <v>2021</v>
      </c>
      <c r="E339" s="35" t="s">
        <v>163</v>
      </c>
      <c r="F339" s="33">
        <f t="shared" si="12"/>
        <v>1</v>
      </c>
      <c r="G339" s="33">
        <f t="shared" si="12"/>
        <v>0</v>
      </c>
      <c r="H339" s="33">
        <f t="shared" si="12"/>
        <v>0</v>
      </c>
      <c r="I339" s="40">
        <f t="shared" si="11"/>
        <v>6.2735257214554575E-4</v>
      </c>
      <c r="J339" s="40">
        <f t="shared" si="11"/>
        <v>0</v>
      </c>
      <c r="K339" s="40">
        <f t="shared" si="11"/>
        <v>0</v>
      </c>
      <c r="L339" s="40">
        <f>1000*M339/VLOOKUP(D339,'Normalised Rates'!$A$7:$B$12,2,FALSE)</f>
        <v>6.2735257214554575E-4</v>
      </c>
      <c r="M339" s="34">
        <v>1</v>
      </c>
    </row>
    <row r="340" spans="1:13" ht="15" customHeight="1" x14ac:dyDescent="0.25">
      <c r="A340" s="30" t="s">
        <v>138</v>
      </c>
      <c r="B340" s="30" t="s">
        <v>88</v>
      </c>
      <c r="C340" s="9" t="s">
        <v>84</v>
      </c>
      <c r="D340" s="32">
        <v>2022</v>
      </c>
      <c r="E340" s="33" t="s">
        <v>34</v>
      </c>
      <c r="F340" s="33">
        <f t="shared" si="12"/>
        <v>0</v>
      </c>
      <c r="G340" s="33">
        <f t="shared" si="12"/>
        <v>0</v>
      </c>
      <c r="H340" s="33">
        <f t="shared" si="12"/>
        <v>5</v>
      </c>
      <c r="I340" s="40">
        <f t="shared" si="11"/>
        <v>0</v>
      </c>
      <c r="J340" s="40">
        <f t="shared" si="11"/>
        <v>0</v>
      </c>
      <c r="K340" s="40">
        <f t="shared" si="11"/>
        <v>2.6666666666666666E-3</v>
      </c>
      <c r="L340" s="40">
        <f>1000*M340/VLOOKUP(D340,'Normalised Rates'!$A$7:$B$12,2,FALSE)</f>
        <v>2.6666666666666666E-3</v>
      </c>
      <c r="M340" s="34">
        <v>5</v>
      </c>
    </row>
    <row r="341" spans="1:13" ht="15" customHeight="1" x14ac:dyDescent="0.25">
      <c r="A341" s="30" t="s">
        <v>138</v>
      </c>
      <c r="B341" s="30" t="s">
        <v>88</v>
      </c>
      <c r="C341" s="9" t="s">
        <v>84</v>
      </c>
      <c r="D341" s="32">
        <v>2022</v>
      </c>
      <c r="E341" s="35" t="s">
        <v>163</v>
      </c>
      <c r="F341" s="33">
        <f t="shared" si="12"/>
        <v>9</v>
      </c>
      <c r="G341" s="33">
        <f t="shared" si="12"/>
        <v>0</v>
      </c>
      <c r="H341" s="33">
        <f t="shared" si="12"/>
        <v>0</v>
      </c>
      <c r="I341" s="40">
        <f t="shared" si="11"/>
        <v>4.7999999999999996E-3</v>
      </c>
      <c r="J341" s="40">
        <f t="shared" si="11"/>
        <v>0</v>
      </c>
      <c r="K341" s="40">
        <f t="shared" si="11"/>
        <v>0</v>
      </c>
      <c r="L341" s="40">
        <f>1000*M341/VLOOKUP(D341,'Normalised Rates'!$A$7:$B$12,2,FALSE)</f>
        <v>4.7999999999999996E-3</v>
      </c>
      <c r="M341" s="34">
        <v>9</v>
      </c>
    </row>
    <row r="342" spans="1:13" ht="15" customHeight="1" x14ac:dyDescent="0.25">
      <c r="A342" s="30" t="s">
        <v>138</v>
      </c>
      <c r="B342" s="30" t="s">
        <v>88</v>
      </c>
      <c r="C342" s="9" t="s">
        <v>84</v>
      </c>
      <c r="D342" s="32">
        <v>2023</v>
      </c>
      <c r="E342" s="33" t="s">
        <v>34</v>
      </c>
      <c r="F342" s="33">
        <f t="shared" si="12"/>
        <v>0</v>
      </c>
      <c r="G342" s="33">
        <f t="shared" si="12"/>
        <v>0</v>
      </c>
      <c r="H342" s="33">
        <f t="shared" si="12"/>
        <v>3</v>
      </c>
      <c r="I342" s="40">
        <f t="shared" si="11"/>
        <v>0</v>
      </c>
      <c r="J342" s="40">
        <f t="shared" si="11"/>
        <v>0</v>
      </c>
      <c r="K342" s="40">
        <f t="shared" si="11"/>
        <v>1.3123359580052493E-3</v>
      </c>
      <c r="L342" s="40">
        <f>1000*M342/VLOOKUP(D342,'Normalised Rates'!$A$7:$B$12,2,FALSE)</f>
        <v>1.3123359580052493E-3</v>
      </c>
      <c r="M342" s="34">
        <v>3</v>
      </c>
    </row>
    <row r="343" spans="1:13" ht="15" customHeight="1" x14ac:dyDescent="0.25">
      <c r="A343" s="30" t="s">
        <v>138</v>
      </c>
      <c r="B343" s="30" t="s">
        <v>88</v>
      </c>
      <c r="C343" s="9" t="s">
        <v>84</v>
      </c>
      <c r="D343" s="32">
        <v>2023</v>
      </c>
      <c r="E343" s="35" t="s">
        <v>163</v>
      </c>
      <c r="F343" s="33">
        <f t="shared" si="12"/>
        <v>12</v>
      </c>
      <c r="G343" s="33">
        <f t="shared" si="12"/>
        <v>0</v>
      </c>
      <c r="H343" s="33">
        <f t="shared" si="12"/>
        <v>0</v>
      </c>
      <c r="I343" s="40">
        <f t="shared" si="11"/>
        <v>5.2493438320209973E-3</v>
      </c>
      <c r="J343" s="40">
        <f t="shared" si="11"/>
        <v>0</v>
      </c>
      <c r="K343" s="40">
        <f t="shared" si="11"/>
        <v>0</v>
      </c>
      <c r="L343" s="40">
        <f>1000*M343/VLOOKUP(D343,'Normalised Rates'!$A$7:$B$12,2,FALSE)</f>
        <v>5.2493438320209973E-3</v>
      </c>
      <c r="M343" s="34">
        <v>12</v>
      </c>
    </row>
    <row r="344" spans="1:13" ht="15" customHeight="1" x14ac:dyDescent="0.25">
      <c r="A344" s="30" t="s">
        <v>138</v>
      </c>
      <c r="B344" s="30" t="s">
        <v>88</v>
      </c>
      <c r="C344" s="9" t="s">
        <v>84</v>
      </c>
      <c r="D344" s="32">
        <v>2024</v>
      </c>
      <c r="E344" s="33" t="s">
        <v>34</v>
      </c>
      <c r="F344" s="33">
        <f t="shared" si="12"/>
        <v>0</v>
      </c>
      <c r="G344" s="33">
        <f t="shared" si="12"/>
        <v>0</v>
      </c>
      <c r="H344" s="33">
        <f t="shared" si="12"/>
        <v>26</v>
      </c>
      <c r="I344" s="40">
        <f t="shared" si="11"/>
        <v>0</v>
      </c>
      <c r="J344" s="40">
        <f t="shared" si="11"/>
        <v>0</v>
      </c>
      <c r="K344" s="40">
        <f t="shared" si="11"/>
        <v>9.6906448005963479E-3</v>
      </c>
      <c r="L344" s="40">
        <f>1000*M344/VLOOKUP(D344,'Normalised Rates'!$A$7:$B$12,2,FALSE)</f>
        <v>9.6906448005963479E-3</v>
      </c>
      <c r="M344" s="34">
        <v>26</v>
      </c>
    </row>
    <row r="345" spans="1:13" ht="15" customHeight="1" x14ac:dyDescent="0.25">
      <c r="A345" s="30" t="s">
        <v>138</v>
      </c>
      <c r="B345" s="30" t="s">
        <v>88</v>
      </c>
      <c r="C345" s="9" t="s">
        <v>84</v>
      </c>
      <c r="D345" s="32">
        <v>2024</v>
      </c>
      <c r="E345" s="35" t="s">
        <v>163</v>
      </c>
      <c r="F345" s="33">
        <f t="shared" si="12"/>
        <v>55</v>
      </c>
      <c r="G345" s="33">
        <f t="shared" si="12"/>
        <v>0</v>
      </c>
      <c r="H345" s="33">
        <f t="shared" si="12"/>
        <v>0</v>
      </c>
      <c r="I345" s="40">
        <f t="shared" si="11"/>
        <v>2.0499440924338426E-2</v>
      </c>
      <c r="J345" s="40">
        <f t="shared" si="11"/>
        <v>0</v>
      </c>
      <c r="K345" s="40">
        <f t="shared" si="11"/>
        <v>0</v>
      </c>
      <c r="L345" s="40">
        <f>1000*M345/VLOOKUP(D345,'Normalised Rates'!$A$7:$B$12,2,FALSE)</f>
        <v>2.0499440924338426E-2</v>
      </c>
      <c r="M345" s="34">
        <v>55</v>
      </c>
    </row>
    <row r="346" spans="1:13" ht="15" customHeight="1" x14ac:dyDescent="0.25">
      <c r="A346" s="30" t="s">
        <v>138</v>
      </c>
      <c r="B346" s="30" t="s">
        <v>88</v>
      </c>
      <c r="C346" s="9" t="s">
        <v>84</v>
      </c>
      <c r="D346" s="32">
        <v>2025</v>
      </c>
      <c r="E346" s="33" t="s">
        <v>34</v>
      </c>
      <c r="F346" s="33">
        <f t="shared" si="12"/>
        <v>0</v>
      </c>
      <c r="G346" s="33">
        <f t="shared" si="12"/>
        <v>0</v>
      </c>
      <c r="H346" s="33">
        <f t="shared" si="12"/>
        <v>25</v>
      </c>
      <c r="I346" s="40">
        <f t="shared" si="11"/>
        <v>0</v>
      </c>
      <c r="J346" s="40">
        <f t="shared" si="11"/>
        <v>0</v>
      </c>
      <c r="K346" s="40">
        <f t="shared" si="11"/>
        <v>7.9289565493181093E-3</v>
      </c>
      <c r="L346" s="40">
        <f>1000*M346/VLOOKUP(D346,'Normalised Rates'!$A$7:$B$12,2,FALSE)</f>
        <v>7.9289565493181093E-3</v>
      </c>
      <c r="M346" s="34">
        <v>25</v>
      </c>
    </row>
    <row r="347" spans="1:13" ht="15" customHeight="1" x14ac:dyDescent="0.25">
      <c r="A347" s="30" t="s">
        <v>138</v>
      </c>
      <c r="B347" s="30" t="s">
        <v>88</v>
      </c>
      <c r="C347" s="9" t="s">
        <v>84</v>
      </c>
      <c r="D347" s="32">
        <v>2025</v>
      </c>
      <c r="E347" s="35" t="s">
        <v>163</v>
      </c>
      <c r="F347" s="33">
        <f t="shared" si="12"/>
        <v>555</v>
      </c>
      <c r="G347" s="33">
        <f t="shared" si="12"/>
        <v>0</v>
      </c>
      <c r="H347" s="33">
        <f t="shared" si="12"/>
        <v>0</v>
      </c>
      <c r="I347" s="40">
        <f t="shared" si="11"/>
        <v>0.17602283539486205</v>
      </c>
      <c r="J347" s="40">
        <f t="shared" si="11"/>
        <v>0</v>
      </c>
      <c r="K347" s="40">
        <f t="shared" si="11"/>
        <v>0</v>
      </c>
      <c r="L347" s="40">
        <f>1000*M347/VLOOKUP(D347,'Normalised Rates'!$A$7:$B$12,2,FALSE)</f>
        <v>0.17602283539486205</v>
      </c>
      <c r="M347" s="34">
        <v>555</v>
      </c>
    </row>
    <row r="348" spans="1:13" ht="15" customHeight="1" x14ac:dyDescent="0.25">
      <c r="A348" s="30" t="s">
        <v>138</v>
      </c>
      <c r="B348" s="30" t="s">
        <v>88</v>
      </c>
      <c r="C348" s="9" t="s">
        <v>84</v>
      </c>
      <c r="D348" s="32">
        <v>2026</v>
      </c>
      <c r="E348" s="33" t="s">
        <v>34</v>
      </c>
      <c r="F348" s="33">
        <f t="shared" si="12"/>
        <v>0</v>
      </c>
      <c r="G348" s="33">
        <f t="shared" si="12"/>
        <v>0</v>
      </c>
      <c r="H348" s="33">
        <f t="shared" si="12"/>
        <v>5</v>
      </c>
      <c r="I348" s="40">
        <f t="shared" si="11"/>
        <v>0</v>
      </c>
      <c r="J348" s="40">
        <f t="shared" si="11"/>
        <v>0</v>
      </c>
      <c r="K348" s="40">
        <f t="shared" si="11"/>
        <v>3.8058991436726928E-3</v>
      </c>
      <c r="L348" s="40">
        <f>1000*M348/VLOOKUP(D348,'Normalised Rates'!$A$7:$B$12,2,FALSE)</f>
        <v>3.8058991436726928E-3</v>
      </c>
      <c r="M348" s="34">
        <v>5</v>
      </c>
    </row>
    <row r="349" spans="1:13" ht="15" customHeight="1" x14ac:dyDescent="0.25">
      <c r="A349" s="30" t="s">
        <v>138</v>
      </c>
      <c r="B349" s="30" t="s">
        <v>88</v>
      </c>
      <c r="C349" s="9" t="s">
        <v>84</v>
      </c>
      <c r="D349" s="32">
        <v>2026</v>
      </c>
      <c r="E349" s="35" t="s">
        <v>163</v>
      </c>
      <c r="F349" s="33">
        <f t="shared" si="12"/>
        <v>12</v>
      </c>
      <c r="G349" s="33">
        <f t="shared" si="12"/>
        <v>0</v>
      </c>
      <c r="H349" s="33">
        <f t="shared" si="12"/>
        <v>0</v>
      </c>
      <c r="I349" s="40">
        <f t="shared" si="11"/>
        <v>9.1341579448144632E-3</v>
      </c>
      <c r="J349" s="40">
        <f t="shared" si="11"/>
        <v>0</v>
      </c>
      <c r="K349" s="40">
        <f t="shared" si="11"/>
        <v>0</v>
      </c>
      <c r="L349" s="40">
        <f>1000*M349/VLOOKUP(D349,'Normalised Rates'!$A$7:$B$12,2,FALSE)</f>
        <v>9.1341579448144632E-3</v>
      </c>
      <c r="M349" s="34">
        <v>12</v>
      </c>
    </row>
    <row r="350" spans="1:13" ht="15" customHeight="1" x14ac:dyDescent="0.25">
      <c r="A350" s="30" t="s">
        <v>138</v>
      </c>
      <c r="B350" s="30" t="s">
        <v>100</v>
      </c>
      <c r="C350" s="9" t="s">
        <v>67</v>
      </c>
      <c r="D350" s="32">
        <v>2021</v>
      </c>
      <c r="E350" s="33" t="s">
        <v>34</v>
      </c>
      <c r="F350" s="33">
        <f t="shared" si="12"/>
        <v>0</v>
      </c>
      <c r="G350" s="33">
        <f t="shared" si="12"/>
        <v>0</v>
      </c>
      <c r="H350" s="33">
        <f t="shared" si="12"/>
        <v>1</v>
      </c>
      <c r="I350" s="40">
        <f t="shared" si="11"/>
        <v>0</v>
      </c>
      <c r="J350" s="40">
        <f t="shared" si="11"/>
        <v>0</v>
      </c>
      <c r="K350" s="40">
        <f t="shared" si="11"/>
        <v>6.2735257214554575E-4</v>
      </c>
      <c r="L350" s="40">
        <f>1000*M350/VLOOKUP(D350,'Normalised Rates'!$A$7:$B$12,2,FALSE)</f>
        <v>6.2735257214554575E-4</v>
      </c>
      <c r="M350" s="34">
        <v>1</v>
      </c>
    </row>
    <row r="351" spans="1:13" ht="15" customHeight="1" x14ac:dyDescent="0.25">
      <c r="A351" s="30" t="s">
        <v>138</v>
      </c>
      <c r="B351" s="30" t="s">
        <v>100</v>
      </c>
      <c r="C351" s="9" t="s">
        <v>67</v>
      </c>
      <c r="D351" s="32">
        <v>2022</v>
      </c>
      <c r="E351" s="35" t="s">
        <v>163</v>
      </c>
      <c r="F351" s="33">
        <f t="shared" si="12"/>
        <v>18</v>
      </c>
      <c r="G351" s="33">
        <f t="shared" si="12"/>
        <v>0</v>
      </c>
      <c r="H351" s="33">
        <f t="shared" si="12"/>
        <v>0</v>
      </c>
      <c r="I351" s="40">
        <f t="shared" si="11"/>
        <v>9.5999999999999992E-3</v>
      </c>
      <c r="J351" s="40">
        <f t="shared" si="11"/>
        <v>0</v>
      </c>
      <c r="K351" s="40">
        <f t="shared" si="11"/>
        <v>0</v>
      </c>
      <c r="L351" s="40">
        <f>1000*M351/VLOOKUP(D351,'Normalised Rates'!$A$7:$B$12,2,FALSE)</f>
        <v>9.5999999999999992E-3</v>
      </c>
      <c r="M351" s="34">
        <v>18</v>
      </c>
    </row>
    <row r="352" spans="1:13" ht="15" customHeight="1" x14ac:dyDescent="0.25">
      <c r="A352" s="30" t="s">
        <v>138</v>
      </c>
      <c r="B352" s="30" t="s">
        <v>100</v>
      </c>
      <c r="C352" s="9" t="s">
        <v>67</v>
      </c>
      <c r="D352" s="32">
        <v>2023</v>
      </c>
      <c r="E352" s="33" t="s">
        <v>34</v>
      </c>
      <c r="F352" s="33">
        <f t="shared" si="12"/>
        <v>0</v>
      </c>
      <c r="G352" s="33">
        <f t="shared" si="12"/>
        <v>0</v>
      </c>
      <c r="H352" s="33">
        <f t="shared" si="12"/>
        <v>1</v>
      </c>
      <c r="I352" s="40">
        <f t="shared" si="11"/>
        <v>0</v>
      </c>
      <c r="J352" s="40">
        <f t="shared" si="11"/>
        <v>0</v>
      </c>
      <c r="K352" s="40">
        <f t="shared" si="11"/>
        <v>4.3744531933508313E-4</v>
      </c>
      <c r="L352" s="40">
        <f>1000*M352/VLOOKUP(D352,'Normalised Rates'!$A$7:$B$12,2,FALSE)</f>
        <v>4.3744531933508313E-4</v>
      </c>
      <c r="M352" s="34">
        <v>1</v>
      </c>
    </row>
    <row r="353" spans="1:13" ht="15" customHeight="1" x14ac:dyDescent="0.25">
      <c r="A353" s="30" t="s">
        <v>138</v>
      </c>
      <c r="B353" s="30" t="s">
        <v>100</v>
      </c>
      <c r="C353" s="9" t="s">
        <v>67</v>
      </c>
      <c r="D353" s="32">
        <v>2023</v>
      </c>
      <c r="E353" s="35" t="s">
        <v>163</v>
      </c>
      <c r="F353" s="33">
        <f t="shared" si="12"/>
        <v>65</v>
      </c>
      <c r="G353" s="33">
        <f t="shared" si="12"/>
        <v>0</v>
      </c>
      <c r="H353" s="33">
        <f t="shared" si="12"/>
        <v>0</v>
      </c>
      <c r="I353" s="40">
        <f t="shared" si="11"/>
        <v>2.8433945756780401E-2</v>
      </c>
      <c r="J353" s="40">
        <f t="shared" si="11"/>
        <v>0</v>
      </c>
      <c r="K353" s="40">
        <f t="shared" si="11"/>
        <v>0</v>
      </c>
      <c r="L353" s="40">
        <f>1000*M353/VLOOKUP(D353,'Normalised Rates'!$A$7:$B$12,2,FALSE)</f>
        <v>2.8433945756780401E-2</v>
      </c>
      <c r="M353" s="34">
        <v>65</v>
      </c>
    </row>
    <row r="354" spans="1:13" ht="15" customHeight="1" x14ac:dyDescent="0.25">
      <c r="A354" s="30" t="s">
        <v>138</v>
      </c>
      <c r="B354" s="30" t="s">
        <v>100</v>
      </c>
      <c r="C354" s="9" t="s">
        <v>67</v>
      </c>
      <c r="D354" s="32">
        <v>2024</v>
      </c>
      <c r="E354" s="33" t="s">
        <v>34</v>
      </c>
      <c r="F354" s="33">
        <f t="shared" si="12"/>
        <v>0</v>
      </c>
      <c r="G354" s="33">
        <f t="shared" si="12"/>
        <v>0</v>
      </c>
      <c r="H354" s="33">
        <f t="shared" si="12"/>
        <v>8</v>
      </c>
      <c r="I354" s="40">
        <f t="shared" si="11"/>
        <v>0</v>
      </c>
      <c r="J354" s="40">
        <f t="shared" si="11"/>
        <v>0</v>
      </c>
      <c r="K354" s="40">
        <f t="shared" si="11"/>
        <v>2.9817368617219529E-3</v>
      </c>
      <c r="L354" s="40">
        <f>1000*M354/VLOOKUP(D354,'Normalised Rates'!$A$7:$B$12,2,FALSE)</f>
        <v>2.9817368617219529E-3</v>
      </c>
      <c r="M354" s="34">
        <v>8</v>
      </c>
    </row>
    <row r="355" spans="1:13" ht="15" customHeight="1" x14ac:dyDescent="0.25">
      <c r="A355" s="30" t="s">
        <v>138</v>
      </c>
      <c r="B355" s="30" t="s">
        <v>100</v>
      </c>
      <c r="C355" s="9" t="s">
        <v>67</v>
      </c>
      <c r="D355" s="32">
        <v>2024</v>
      </c>
      <c r="E355" s="35" t="s">
        <v>163</v>
      </c>
      <c r="F355" s="33">
        <f t="shared" si="12"/>
        <v>74</v>
      </c>
      <c r="G355" s="33">
        <f t="shared" si="12"/>
        <v>0</v>
      </c>
      <c r="H355" s="33">
        <f t="shared" si="12"/>
        <v>0</v>
      </c>
      <c r="I355" s="40">
        <f t="shared" si="11"/>
        <v>2.7581065970928065E-2</v>
      </c>
      <c r="J355" s="40">
        <f t="shared" si="11"/>
        <v>0</v>
      </c>
      <c r="K355" s="40">
        <f t="shared" si="11"/>
        <v>0</v>
      </c>
      <c r="L355" s="40">
        <f>1000*M355/VLOOKUP(D355,'Normalised Rates'!$A$7:$B$12,2,FALSE)</f>
        <v>2.7581065970928065E-2</v>
      </c>
      <c r="M355" s="34">
        <v>74</v>
      </c>
    </row>
    <row r="356" spans="1:13" ht="15" customHeight="1" x14ac:dyDescent="0.25">
      <c r="A356" s="30" t="s">
        <v>138</v>
      </c>
      <c r="B356" s="30" t="s">
        <v>100</v>
      </c>
      <c r="C356" s="9" t="s">
        <v>67</v>
      </c>
      <c r="D356" s="32">
        <v>2025</v>
      </c>
      <c r="E356" s="33" t="s">
        <v>34</v>
      </c>
      <c r="F356" s="33">
        <f t="shared" si="12"/>
        <v>0</v>
      </c>
      <c r="G356" s="33">
        <f t="shared" si="12"/>
        <v>0</v>
      </c>
      <c r="H356" s="33">
        <f t="shared" si="12"/>
        <v>14</v>
      </c>
      <c r="I356" s="40">
        <f t="shared" si="11"/>
        <v>0</v>
      </c>
      <c r="J356" s="40">
        <f t="shared" si="11"/>
        <v>0</v>
      </c>
      <c r="K356" s="40">
        <f t="shared" si="11"/>
        <v>4.4402156676181413E-3</v>
      </c>
      <c r="L356" s="40">
        <f>1000*M356/VLOOKUP(D356,'Normalised Rates'!$A$7:$B$12,2,FALSE)</f>
        <v>4.4402156676181413E-3</v>
      </c>
      <c r="M356" s="34">
        <v>14</v>
      </c>
    </row>
    <row r="357" spans="1:13" ht="15" customHeight="1" x14ac:dyDescent="0.25">
      <c r="A357" s="30" t="s">
        <v>138</v>
      </c>
      <c r="B357" s="30" t="s">
        <v>100</v>
      </c>
      <c r="C357" s="9" t="s">
        <v>67</v>
      </c>
      <c r="D357" s="32">
        <v>2025</v>
      </c>
      <c r="E357" s="35" t="s">
        <v>163</v>
      </c>
      <c r="F357" s="33">
        <f t="shared" si="12"/>
        <v>314</v>
      </c>
      <c r="G357" s="33">
        <f t="shared" si="12"/>
        <v>0</v>
      </c>
      <c r="H357" s="33">
        <f t="shared" si="12"/>
        <v>0</v>
      </c>
      <c r="I357" s="40">
        <f t="shared" si="11"/>
        <v>9.9587694259435464E-2</v>
      </c>
      <c r="J357" s="40">
        <f t="shared" si="11"/>
        <v>0</v>
      </c>
      <c r="K357" s="40">
        <f t="shared" si="11"/>
        <v>0</v>
      </c>
      <c r="L357" s="40">
        <f>1000*M357/VLOOKUP(D357,'Normalised Rates'!$A$7:$B$12,2,FALSE)</f>
        <v>9.9587694259435464E-2</v>
      </c>
      <c r="M357" s="34">
        <v>314</v>
      </c>
    </row>
    <row r="358" spans="1:13" ht="15" customHeight="1" x14ac:dyDescent="0.25">
      <c r="A358" s="30" t="s">
        <v>138</v>
      </c>
      <c r="B358" s="30" t="s">
        <v>100</v>
      </c>
      <c r="C358" s="9" t="s">
        <v>67</v>
      </c>
      <c r="D358" s="32">
        <v>2026</v>
      </c>
      <c r="E358" s="33" t="s">
        <v>34</v>
      </c>
      <c r="F358" s="33">
        <f t="shared" si="12"/>
        <v>0</v>
      </c>
      <c r="G358" s="33">
        <f t="shared" si="12"/>
        <v>0</v>
      </c>
      <c r="H358" s="33">
        <f t="shared" si="12"/>
        <v>5</v>
      </c>
      <c r="I358" s="40">
        <f t="shared" si="11"/>
        <v>0</v>
      </c>
      <c r="J358" s="40">
        <f t="shared" si="11"/>
        <v>0</v>
      </c>
      <c r="K358" s="40">
        <f t="shared" si="11"/>
        <v>3.8058991436726928E-3</v>
      </c>
      <c r="L358" s="40">
        <f>1000*M358/VLOOKUP(D358,'Normalised Rates'!$A$7:$B$12,2,FALSE)</f>
        <v>3.8058991436726928E-3</v>
      </c>
      <c r="M358" s="34">
        <v>5</v>
      </c>
    </row>
    <row r="359" spans="1:13" ht="15" customHeight="1" x14ac:dyDescent="0.25">
      <c r="A359" s="30" t="s">
        <v>138</v>
      </c>
      <c r="B359" s="30" t="s">
        <v>100</v>
      </c>
      <c r="C359" s="9" t="s">
        <v>67</v>
      </c>
      <c r="D359" s="32">
        <v>2026</v>
      </c>
      <c r="E359" s="35" t="s">
        <v>163</v>
      </c>
      <c r="F359" s="33">
        <f t="shared" si="12"/>
        <v>17</v>
      </c>
      <c r="G359" s="33">
        <f t="shared" si="12"/>
        <v>0</v>
      </c>
      <c r="H359" s="33">
        <f t="shared" si="12"/>
        <v>0</v>
      </c>
      <c r="I359" s="40">
        <f t="shared" si="11"/>
        <v>1.2940057088487155E-2</v>
      </c>
      <c r="J359" s="40">
        <f t="shared" si="11"/>
        <v>0</v>
      </c>
      <c r="K359" s="40">
        <f t="shared" si="11"/>
        <v>0</v>
      </c>
      <c r="L359" s="40">
        <f>1000*M359/VLOOKUP(D359,'Normalised Rates'!$A$7:$B$12,2,FALSE)</f>
        <v>1.2940057088487155E-2</v>
      </c>
      <c r="M359" s="34">
        <v>17</v>
      </c>
    </row>
    <row r="360" spans="1:13" ht="15" customHeight="1" x14ac:dyDescent="0.25">
      <c r="A360" s="30" t="s">
        <v>138</v>
      </c>
      <c r="B360" s="30" t="s">
        <v>113</v>
      </c>
      <c r="C360" s="9" t="s">
        <v>84</v>
      </c>
      <c r="D360" s="32">
        <v>2021</v>
      </c>
      <c r="E360" s="35" t="s">
        <v>163</v>
      </c>
      <c r="F360" s="33">
        <f t="shared" si="12"/>
        <v>1</v>
      </c>
      <c r="G360" s="33">
        <f t="shared" si="12"/>
        <v>0</v>
      </c>
      <c r="H360" s="33">
        <f t="shared" si="12"/>
        <v>0</v>
      </c>
      <c r="I360" s="40">
        <f t="shared" si="11"/>
        <v>6.2735257214554575E-4</v>
      </c>
      <c r="J360" s="40">
        <f t="shared" si="11"/>
        <v>0</v>
      </c>
      <c r="K360" s="40">
        <f t="shared" si="11"/>
        <v>0</v>
      </c>
      <c r="L360" s="40">
        <f>1000*M360/VLOOKUP(D360,'Normalised Rates'!$A$7:$B$12,2,FALSE)</f>
        <v>6.2735257214554575E-4</v>
      </c>
      <c r="M360" s="34">
        <v>1</v>
      </c>
    </row>
    <row r="361" spans="1:13" ht="15" customHeight="1" x14ac:dyDescent="0.25">
      <c r="A361" s="30" t="s">
        <v>138</v>
      </c>
      <c r="B361" s="30" t="s">
        <v>113</v>
      </c>
      <c r="C361" s="9" t="s">
        <v>84</v>
      </c>
      <c r="D361" s="32">
        <v>2022</v>
      </c>
      <c r="E361" s="33" t="s">
        <v>34</v>
      </c>
      <c r="F361" s="33">
        <f t="shared" si="12"/>
        <v>0</v>
      </c>
      <c r="G361" s="33">
        <f t="shared" si="12"/>
        <v>0</v>
      </c>
      <c r="H361" s="33">
        <f t="shared" si="12"/>
        <v>4</v>
      </c>
      <c r="I361" s="40">
        <f t="shared" si="11"/>
        <v>0</v>
      </c>
      <c r="J361" s="40">
        <f t="shared" si="11"/>
        <v>0</v>
      </c>
      <c r="K361" s="40">
        <f t="shared" si="11"/>
        <v>2.1333333333333334E-3</v>
      </c>
      <c r="L361" s="40">
        <f>1000*M361/VLOOKUP(D361,'Normalised Rates'!$A$7:$B$12,2,FALSE)</f>
        <v>2.1333333333333334E-3</v>
      </c>
      <c r="M361" s="34">
        <v>4</v>
      </c>
    </row>
    <row r="362" spans="1:13" ht="15" customHeight="1" x14ac:dyDescent="0.25">
      <c r="A362" s="30" t="s">
        <v>138</v>
      </c>
      <c r="B362" s="30" t="s">
        <v>113</v>
      </c>
      <c r="C362" s="9" t="s">
        <v>84</v>
      </c>
      <c r="D362" s="32">
        <v>2022</v>
      </c>
      <c r="E362" s="35" t="s">
        <v>163</v>
      </c>
      <c r="F362" s="33">
        <f t="shared" si="12"/>
        <v>15</v>
      </c>
      <c r="G362" s="33">
        <f t="shared" si="12"/>
        <v>0</v>
      </c>
      <c r="H362" s="33">
        <f t="shared" si="12"/>
        <v>0</v>
      </c>
      <c r="I362" s="40">
        <f t="shared" si="11"/>
        <v>8.0000000000000002E-3</v>
      </c>
      <c r="J362" s="40">
        <f t="shared" si="11"/>
        <v>0</v>
      </c>
      <c r="K362" s="40">
        <f t="shared" si="11"/>
        <v>0</v>
      </c>
      <c r="L362" s="40">
        <f>1000*M362/VLOOKUP(D362,'Normalised Rates'!$A$7:$B$12,2,FALSE)</f>
        <v>8.0000000000000002E-3</v>
      </c>
      <c r="M362" s="34">
        <v>15</v>
      </c>
    </row>
    <row r="363" spans="1:13" ht="15" customHeight="1" x14ac:dyDescent="0.25">
      <c r="A363" s="30" t="s">
        <v>138</v>
      </c>
      <c r="B363" s="30" t="s">
        <v>113</v>
      </c>
      <c r="C363" s="9" t="s">
        <v>84</v>
      </c>
      <c r="D363" s="32">
        <v>2023</v>
      </c>
      <c r="E363" s="33" t="s">
        <v>34</v>
      </c>
      <c r="F363" s="33">
        <f t="shared" si="12"/>
        <v>0</v>
      </c>
      <c r="G363" s="33">
        <f t="shared" si="12"/>
        <v>0</v>
      </c>
      <c r="H363" s="33">
        <f t="shared" si="12"/>
        <v>3</v>
      </c>
      <c r="I363" s="40">
        <f t="shared" si="11"/>
        <v>0</v>
      </c>
      <c r="J363" s="40">
        <f t="shared" si="11"/>
        <v>0</v>
      </c>
      <c r="K363" s="40">
        <f t="shared" si="11"/>
        <v>1.3123359580052493E-3</v>
      </c>
      <c r="L363" s="40">
        <f>1000*M363/VLOOKUP(D363,'Normalised Rates'!$A$7:$B$12,2,FALSE)</f>
        <v>1.3123359580052493E-3</v>
      </c>
      <c r="M363" s="34">
        <v>3</v>
      </c>
    </row>
    <row r="364" spans="1:13" ht="15" customHeight="1" x14ac:dyDescent="0.25">
      <c r="A364" s="30" t="s">
        <v>138</v>
      </c>
      <c r="B364" s="30" t="s">
        <v>113</v>
      </c>
      <c r="C364" s="9" t="s">
        <v>84</v>
      </c>
      <c r="D364" s="32">
        <v>2023</v>
      </c>
      <c r="E364" s="35" t="s">
        <v>163</v>
      </c>
      <c r="F364" s="33">
        <f t="shared" si="12"/>
        <v>70</v>
      </c>
      <c r="G364" s="33">
        <f t="shared" si="12"/>
        <v>0</v>
      </c>
      <c r="H364" s="33">
        <f t="shared" si="12"/>
        <v>0</v>
      </c>
      <c r="I364" s="40">
        <f t="shared" si="11"/>
        <v>3.0621172353455819E-2</v>
      </c>
      <c r="J364" s="40">
        <f t="shared" si="11"/>
        <v>0</v>
      </c>
      <c r="K364" s="40">
        <f t="shared" si="11"/>
        <v>0</v>
      </c>
      <c r="L364" s="40">
        <f>1000*M364/VLOOKUP(D364,'Normalised Rates'!$A$7:$B$12,2,FALSE)</f>
        <v>3.0621172353455819E-2</v>
      </c>
      <c r="M364" s="34">
        <v>70</v>
      </c>
    </row>
    <row r="365" spans="1:13" ht="15" customHeight="1" x14ac:dyDescent="0.25">
      <c r="A365" s="30" t="s">
        <v>138</v>
      </c>
      <c r="B365" s="30" t="s">
        <v>113</v>
      </c>
      <c r="C365" s="9" t="s">
        <v>84</v>
      </c>
      <c r="D365" s="32">
        <v>2024</v>
      </c>
      <c r="E365" s="33" t="s">
        <v>34</v>
      </c>
      <c r="F365" s="33">
        <f t="shared" si="12"/>
        <v>0</v>
      </c>
      <c r="G365" s="33">
        <f t="shared" si="12"/>
        <v>0</v>
      </c>
      <c r="H365" s="33">
        <f t="shared" si="12"/>
        <v>6</v>
      </c>
      <c r="I365" s="40">
        <f t="shared" si="11"/>
        <v>0</v>
      </c>
      <c r="J365" s="40">
        <f t="shared" si="11"/>
        <v>0</v>
      </c>
      <c r="K365" s="40">
        <f t="shared" si="11"/>
        <v>2.2363026462914647E-3</v>
      </c>
      <c r="L365" s="40">
        <f>1000*M365/VLOOKUP(D365,'Normalised Rates'!$A$7:$B$12,2,FALSE)</f>
        <v>2.2363026462914647E-3</v>
      </c>
      <c r="M365" s="34">
        <v>6</v>
      </c>
    </row>
    <row r="366" spans="1:13" ht="15" customHeight="1" x14ac:dyDescent="0.25">
      <c r="A366" s="30" t="s">
        <v>138</v>
      </c>
      <c r="B366" s="30" t="s">
        <v>113</v>
      </c>
      <c r="C366" s="9" t="s">
        <v>84</v>
      </c>
      <c r="D366" s="32">
        <v>2024</v>
      </c>
      <c r="E366" s="35" t="s">
        <v>163</v>
      </c>
      <c r="F366" s="33">
        <f t="shared" si="12"/>
        <v>285</v>
      </c>
      <c r="G366" s="33">
        <f t="shared" si="12"/>
        <v>0</v>
      </c>
      <c r="H366" s="33">
        <f t="shared" si="12"/>
        <v>0</v>
      </c>
      <c r="I366" s="40">
        <f t="shared" si="11"/>
        <v>0.10622437569884458</v>
      </c>
      <c r="J366" s="40">
        <f t="shared" si="11"/>
        <v>0</v>
      </c>
      <c r="K366" s="40">
        <f t="shared" si="11"/>
        <v>0</v>
      </c>
      <c r="L366" s="40">
        <f>1000*M366/VLOOKUP(D366,'Normalised Rates'!$A$7:$B$12,2,FALSE)</f>
        <v>0.10622437569884458</v>
      </c>
      <c r="M366" s="34">
        <v>285</v>
      </c>
    </row>
    <row r="367" spans="1:13" ht="15" customHeight="1" x14ac:dyDescent="0.25">
      <c r="A367" s="30" t="s">
        <v>138</v>
      </c>
      <c r="B367" s="30" t="s">
        <v>113</v>
      </c>
      <c r="C367" s="9" t="s">
        <v>84</v>
      </c>
      <c r="D367" s="32">
        <v>2025</v>
      </c>
      <c r="E367" s="33" t="s">
        <v>34</v>
      </c>
      <c r="F367" s="33">
        <f t="shared" si="12"/>
        <v>0</v>
      </c>
      <c r="G367" s="33">
        <f t="shared" si="12"/>
        <v>0</v>
      </c>
      <c r="H367" s="33">
        <f t="shared" si="12"/>
        <v>3</v>
      </c>
      <c r="I367" s="40">
        <f t="shared" si="11"/>
        <v>0</v>
      </c>
      <c r="J367" s="40">
        <f t="shared" si="11"/>
        <v>0</v>
      </c>
      <c r="K367" s="40">
        <f t="shared" si="11"/>
        <v>9.5147478591817321E-4</v>
      </c>
      <c r="L367" s="40">
        <f>1000*M367/VLOOKUP(D367,'Normalised Rates'!$A$7:$B$12,2,FALSE)</f>
        <v>9.5147478591817321E-4</v>
      </c>
      <c r="M367" s="34">
        <v>3</v>
      </c>
    </row>
    <row r="368" spans="1:13" ht="15" customHeight="1" x14ac:dyDescent="0.25">
      <c r="A368" s="30" t="s">
        <v>138</v>
      </c>
      <c r="B368" s="30" t="s">
        <v>113</v>
      </c>
      <c r="C368" s="9" t="s">
        <v>84</v>
      </c>
      <c r="D368" s="32">
        <v>2025</v>
      </c>
      <c r="E368" s="35" t="s">
        <v>163</v>
      </c>
      <c r="F368" s="33">
        <f t="shared" si="12"/>
        <v>52</v>
      </c>
      <c r="G368" s="33">
        <f t="shared" si="12"/>
        <v>0</v>
      </c>
      <c r="H368" s="33">
        <f t="shared" si="12"/>
        <v>0</v>
      </c>
      <c r="I368" s="40">
        <f t="shared" si="11"/>
        <v>1.6492229622581667E-2</v>
      </c>
      <c r="J368" s="40">
        <f t="shared" si="11"/>
        <v>0</v>
      </c>
      <c r="K368" s="40">
        <f t="shared" si="11"/>
        <v>0</v>
      </c>
      <c r="L368" s="40">
        <f>1000*M368/VLOOKUP(D368,'Normalised Rates'!$A$7:$B$12,2,FALSE)</f>
        <v>1.6492229622581667E-2</v>
      </c>
      <c r="M368" s="34">
        <v>52</v>
      </c>
    </row>
    <row r="369" spans="1:13" ht="15" customHeight="1" x14ac:dyDescent="0.25">
      <c r="A369" s="30" t="s">
        <v>138</v>
      </c>
      <c r="B369" s="30" t="s">
        <v>115</v>
      </c>
      <c r="C369" s="9" t="s">
        <v>84</v>
      </c>
      <c r="D369" s="32">
        <v>2021</v>
      </c>
      <c r="E369" s="33" t="s">
        <v>34</v>
      </c>
      <c r="F369" s="33">
        <f t="shared" si="12"/>
        <v>0</v>
      </c>
      <c r="G369" s="33">
        <f t="shared" si="12"/>
        <v>0</v>
      </c>
      <c r="H369" s="33">
        <f t="shared" si="12"/>
        <v>1</v>
      </c>
      <c r="I369" s="40">
        <f t="shared" si="11"/>
        <v>0</v>
      </c>
      <c r="J369" s="40">
        <f t="shared" si="11"/>
        <v>0</v>
      </c>
      <c r="K369" s="40">
        <f t="shared" si="11"/>
        <v>6.2735257214554575E-4</v>
      </c>
      <c r="L369" s="40">
        <f>1000*M369/VLOOKUP(D369,'Normalised Rates'!$A$7:$B$12,2,FALSE)</f>
        <v>6.2735257214554575E-4</v>
      </c>
      <c r="M369" s="34">
        <v>1</v>
      </c>
    </row>
    <row r="370" spans="1:13" ht="15" customHeight="1" x14ac:dyDescent="0.25">
      <c r="A370" s="30" t="s">
        <v>138</v>
      </c>
      <c r="B370" s="30" t="s">
        <v>115</v>
      </c>
      <c r="C370" s="9" t="s">
        <v>84</v>
      </c>
      <c r="D370" s="32">
        <v>2021</v>
      </c>
      <c r="E370" s="35" t="s">
        <v>163</v>
      </c>
      <c r="F370" s="33">
        <f t="shared" si="12"/>
        <v>2</v>
      </c>
      <c r="G370" s="33">
        <f t="shared" si="12"/>
        <v>0</v>
      </c>
      <c r="H370" s="33">
        <f t="shared" si="12"/>
        <v>0</v>
      </c>
      <c r="I370" s="40">
        <f t="shared" si="11"/>
        <v>1.2547051442910915E-3</v>
      </c>
      <c r="J370" s="40">
        <f t="shared" si="11"/>
        <v>0</v>
      </c>
      <c r="K370" s="40">
        <f t="shared" si="11"/>
        <v>0</v>
      </c>
      <c r="L370" s="40">
        <f>1000*M370/VLOOKUP(D370,'Normalised Rates'!$A$7:$B$12,2,FALSE)</f>
        <v>1.2547051442910915E-3</v>
      </c>
      <c r="M370" s="34">
        <v>2</v>
      </c>
    </row>
    <row r="371" spans="1:13" ht="15" customHeight="1" x14ac:dyDescent="0.25">
      <c r="A371" s="30" t="s">
        <v>138</v>
      </c>
      <c r="B371" s="30" t="s">
        <v>115</v>
      </c>
      <c r="C371" s="9" t="s">
        <v>84</v>
      </c>
      <c r="D371" s="32">
        <v>2022</v>
      </c>
      <c r="E371" s="33" t="s">
        <v>34</v>
      </c>
      <c r="F371" s="33">
        <f t="shared" si="12"/>
        <v>0</v>
      </c>
      <c r="G371" s="33">
        <f t="shared" si="12"/>
        <v>0</v>
      </c>
      <c r="H371" s="33">
        <f t="shared" si="12"/>
        <v>1</v>
      </c>
      <c r="I371" s="40">
        <f t="shared" si="11"/>
        <v>0</v>
      </c>
      <c r="J371" s="40">
        <f t="shared" si="11"/>
        <v>0</v>
      </c>
      <c r="K371" s="40">
        <f t="shared" si="11"/>
        <v>5.3333333333333336E-4</v>
      </c>
      <c r="L371" s="40">
        <f>1000*M371/VLOOKUP(D371,'Normalised Rates'!$A$7:$B$12,2,FALSE)</f>
        <v>5.3333333333333336E-4</v>
      </c>
      <c r="M371" s="34">
        <v>1</v>
      </c>
    </row>
    <row r="372" spans="1:13" ht="15" customHeight="1" x14ac:dyDescent="0.25">
      <c r="A372" s="30" t="s">
        <v>138</v>
      </c>
      <c r="B372" s="30" t="s">
        <v>115</v>
      </c>
      <c r="C372" s="9" t="s">
        <v>84</v>
      </c>
      <c r="D372" s="32">
        <v>2022</v>
      </c>
      <c r="E372" s="35" t="s">
        <v>163</v>
      </c>
      <c r="F372" s="33">
        <f t="shared" si="12"/>
        <v>24</v>
      </c>
      <c r="G372" s="33">
        <f t="shared" si="12"/>
        <v>0</v>
      </c>
      <c r="H372" s="33">
        <f t="shared" si="12"/>
        <v>0</v>
      </c>
      <c r="I372" s="40">
        <f t="shared" si="11"/>
        <v>1.2800000000000001E-2</v>
      </c>
      <c r="J372" s="40">
        <f t="shared" si="11"/>
        <v>0</v>
      </c>
      <c r="K372" s="40">
        <f t="shared" si="11"/>
        <v>0</v>
      </c>
      <c r="L372" s="40">
        <f>1000*M372/VLOOKUP(D372,'Normalised Rates'!$A$7:$B$12,2,FALSE)</f>
        <v>1.2800000000000001E-2</v>
      </c>
      <c r="M372" s="34">
        <v>24</v>
      </c>
    </row>
    <row r="373" spans="1:13" ht="15" customHeight="1" x14ac:dyDescent="0.25">
      <c r="A373" s="30" t="s">
        <v>138</v>
      </c>
      <c r="B373" s="30" t="s">
        <v>115</v>
      </c>
      <c r="C373" s="9" t="s">
        <v>84</v>
      </c>
      <c r="D373" s="32">
        <v>2023</v>
      </c>
      <c r="E373" s="35" t="s">
        <v>163</v>
      </c>
      <c r="F373" s="33">
        <f t="shared" si="12"/>
        <v>53</v>
      </c>
      <c r="G373" s="33">
        <f t="shared" si="12"/>
        <v>0</v>
      </c>
      <c r="H373" s="33">
        <f t="shared" si="12"/>
        <v>0</v>
      </c>
      <c r="I373" s="40">
        <f t="shared" si="11"/>
        <v>2.3184601924759404E-2</v>
      </c>
      <c r="J373" s="40">
        <f t="shared" si="11"/>
        <v>0</v>
      </c>
      <c r="K373" s="40">
        <f t="shared" si="11"/>
        <v>0</v>
      </c>
      <c r="L373" s="40">
        <f>1000*M373/VLOOKUP(D373,'Normalised Rates'!$A$7:$B$12,2,FALSE)</f>
        <v>2.3184601924759404E-2</v>
      </c>
      <c r="M373" s="34">
        <v>53</v>
      </c>
    </row>
    <row r="374" spans="1:13" ht="15" customHeight="1" x14ac:dyDescent="0.25">
      <c r="A374" s="30" t="s">
        <v>138</v>
      </c>
      <c r="B374" s="30" t="s">
        <v>115</v>
      </c>
      <c r="C374" s="9" t="s">
        <v>84</v>
      </c>
      <c r="D374" s="32">
        <v>2024</v>
      </c>
      <c r="E374" s="33" t="s">
        <v>34</v>
      </c>
      <c r="F374" s="33">
        <f t="shared" si="12"/>
        <v>0</v>
      </c>
      <c r="G374" s="33">
        <f t="shared" si="12"/>
        <v>0</v>
      </c>
      <c r="H374" s="33">
        <f t="shared" si="12"/>
        <v>5</v>
      </c>
      <c r="I374" s="40">
        <f t="shared" si="11"/>
        <v>0</v>
      </c>
      <c r="J374" s="40">
        <f t="shared" si="11"/>
        <v>0</v>
      </c>
      <c r="K374" s="40">
        <f t="shared" si="11"/>
        <v>1.8635855385762206E-3</v>
      </c>
      <c r="L374" s="40">
        <f>1000*M374/VLOOKUP(D374,'Normalised Rates'!$A$7:$B$12,2,FALSE)</f>
        <v>1.8635855385762206E-3</v>
      </c>
      <c r="M374" s="34">
        <v>5</v>
      </c>
    </row>
    <row r="375" spans="1:13" ht="15" customHeight="1" x14ac:dyDescent="0.25">
      <c r="A375" s="30" t="s">
        <v>138</v>
      </c>
      <c r="B375" s="30" t="s">
        <v>115</v>
      </c>
      <c r="C375" s="9" t="s">
        <v>84</v>
      </c>
      <c r="D375" s="32">
        <v>2024</v>
      </c>
      <c r="E375" s="35" t="s">
        <v>163</v>
      </c>
      <c r="F375" s="33">
        <f t="shared" si="12"/>
        <v>242</v>
      </c>
      <c r="G375" s="33">
        <f t="shared" si="12"/>
        <v>0</v>
      </c>
      <c r="H375" s="33">
        <f t="shared" si="12"/>
        <v>0</v>
      </c>
      <c r="I375" s="40">
        <f t="shared" si="11"/>
        <v>9.0197540067089077E-2</v>
      </c>
      <c r="J375" s="40">
        <f t="shared" si="11"/>
        <v>0</v>
      </c>
      <c r="K375" s="40">
        <f t="shared" si="11"/>
        <v>0</v>
      </c>
      <c r="L375" s="40">
        <f>1000*M375/VLOOKUP(D375,'Normalised Rates'!$A$7:$B$12,2,FALSE)</f>
        <v>9.0197540067089077E-2</v>
      </c>
      <c r="M375" s="34">
        <v>242</v>
      </c>
    </row>
    <row r="376" spans="1:13" ht="15" customHeight="1" x14ac:dyDescent="0.25">
      <c r="A376" s="30" t="s">
        <v>138</v>
      </c>
      <c r="B376" s="30" t="s">
        <v>115</v>
      </c>
      <c r="C376" s="9" t="s">
        <v>84</v>
      </c>
      <c r="D376" s="32">
        <v>2025</v>
      </c>
      <c r="E376" s="33" t="s">
        <v>34</v>
      </c>
      <c r="F376" s="33">
        <f t="shared" si="12"/>
        <v>0</v>
      </c>
      <c r="G376" s="33">
        <f t="shared" si="12"/>
        <v>0</v>
      </c>
      <c r="H376" s="33">
        <f t="shared" si="12"/>
        <v>1</v>
      </c>
      <c r="I376" s="40">
        <f t="shared" si="11"/>
        <v>0</v>
      </c>
      <c r="J376" s="40">
        <f t="shared" si="11"/>
        <v>0</v>
      </c>
      <c r="K376" s="40">
        <f t="shared" si="11"/>
        <v>3.1715826197272439E-4</v>
      </c>
      <c r="L376" s="40">
        <f>1000*M376/VLOOKUP(D376,'Normalised Rates'!$A$7:$B$12,2,FALSE)</f>
        <v>3.1715826197272439E-4</v>
      </c>
      <c r="M376" s="34">
        <v>1</v>
      </c>
    </row>
    <row r="377" spans="1:13" ht="15" customHeight="1" x14ac:dyDescent="0.25">
      <c r="A377" s="30" t="s">
        <v>138</v>
      </c>
      <c r="B377" s="30" t="s">
        <v>115</v>
      </c>
      <c r="C377" s="9" t="s">
        <v>84</v>
      </c>
      <c r="D377" s="32">
        <v>2025</v>
      </c>
      <c r="E377" s="35" t="s">
        <v>163</v>
      </c>
      <c r="F377" s="33">
        <f t="shared" si="12"/>
        <v>50</v>
      </c>
      <c r="G377" s="33">
        <f t="shared" si="12"/>
        <v>0</v>
      </c>
      <c r="H377" s="33">
        <f t="shared" si="12"/>
        <v>0</v>
      </c>
      <c r="I377" s="40">
        <f t="shared" si="11"/>
        <v>1.5857913098636219E-2</v>
      </c>
      <c r="J377" s="40">
        <f t="shared" si="11"/>
        <v>0</v>
      </c>
      <c r="K377" s="40">
        <f t="shared" si="11"/>
        <v>0</v>
      </c>
      <c r="L377" s="40">
        <f>1000*M377/VLOOKUP(D377,'Normalised Rates'!$A$7:$B$12,2,FALSE)</f>
        <v>1.5857913098636219E-2</v>
      </c>
      <c r="M377" s="34">
        <v>50</v>
      </c>
    </row>
    <row r="378" spans="1:13" ht="15" customHeight="1" x14ac:dyDescent="0.25">
      <c r="A378" s="30" t="s">
        <v>138</v>
      </c>
      <c r="B378" s="30" t="s">
        <v>75</v>
      </c>
      <c r="C378" s="9" t="s">
        <v>67</v>
      </c>
      <c r="D378" s="32">
        <v>2021</v>
      </c>
      <c r="E378" s="33" t="s">
        <v>34</v>
      </c>
      <c r="F378" s="33">
        <f t="shared" si="12"/>
        <v>0</v>
      </c>
      <c r="G378" s="33">
        <f t="shared" si="12"/>
        <v>0</v>
      </c>
      <c r="H378" s="33">
        <f t="shared" si="12"/>
        <v>1</v>
      </c>
      <c r="I378" s="40">
        <f t="shared" si="11"/>
        <v>0</v>
      </c>
      <c r="J378" s="40">
        <f t="shared" si="11"/>
        <v>0</v>
      </c>
      <c r="K378" s="40">
        <f t="shared" si="11"/>
        <v>6.2735257214554575E-4</v>
      </c>
      <c r="L378" s="40">
        <f>1000*M378/VLOOKUP(D378,'Normalised Rates'!$A$7:$B$12,2,FALSE)</f>
        <v>6.2735257214554575E-4</v>
      </c>
      <c r="M378" s="34">
        <v>1</v>
      </c>
    </row>
    <row r="379" spans="1:13" ht="15" customHeight="1" x14ac:dyDescent="0.25">
      <c r="A379" s="30" t="s">
        <v>138</v>
      </c>
      <c r="B379" s="30" t="s">
        <v>75</v>
      </c>
      <c r="C379" s="9" t="s">
        <v>67</v>
      </c>
      <c r="D379" s="32">
        <v>2021</v>
      </c>
      <c r="E379" s="35" t="s">
        <v>163</v>
      </c>
      <c r="F379" s="33">
        <f t="shared" si="12"/>
        <v>2</v>
      </c>
      <c r="G379" s="33">
        <f t="shared" si="12"/>
        <v>0</v>
      </c>
      <c r="H379" s="33">
        <f t="shared" si="12"/>
        <v>0</v>
      </c>
      <c r="I379" s="40">
        <f t="shared" si="11"/>
        <v>1.2547051442910915E-3</v>
      </c>
      <c r="J379" s="40">
        <f t="shared" si="11"/>
        <v>0</v>
      </c>
      <c r="K379" s="40">
        <f t="shared" si="11"/>
        <v>0</v>
      </c>
      <c r="L379" s="40">
        <f>1000*M379/VLOOKUP(D379,'Normalised Rates'!$A$7:$B$12,2,FALSE)</f>
        <v>1.2547051442910915E-3</v>
      </c>
      <c r="M379" s="34">
        <v>2</v>
      </c>
    </row>
    <row r="380" spans="1:13" ht="15" customHeight="1" x14ac:dyDescent="0.25">
      <c r="A380" s="30" t="s">
        <v>138</v>
      </c>
      <c r="B380" s="30" t="s">
        <v>75</v>
      </c>
      <c r="C380" s="9" t="s">
        <v>67</v>
      </c>
      <c r="D380" s="32">
        <v>2022</v>
      </c>
      <c r="E380" s="33" t="s">
        <v>34</v>
      </c>
      <c r="F380" s="33">
        <f t="shared" si="12"/>
        <v>0</v>
      </c>
      <c r="G380" s="33">
        <f t="shared" si="12"/>
        <v>0</v>
      </c>
      <c r="H380" s="33">
        <f t="shared" si="12"/>
        <v>2</v>
      </c>
      <c r="I380" s="40">
        <f t="shared" si="11"/>
        <v>0</v>
      </c>
      <c r="J380" s="40">
        <f t="shared" si="11"/>
        <v>0</v>
      </c>
      <c r="K380" s="40">
        <f t="shared" si="11"/>
        <v>1.0666666666666667E-3</v>
      </c>
      <c r="L380" s="40">
        <f>1000*M380/VLOOKUP(D380,'Normalised Rates'!$A$7:$B$12,2,FALSE)</f>
        <v>1.0666666666666667E-3</v>
      </c>
      <c r="M380" s="34">
        <v>2</v>
      </c>
    </row>
    <row r="381" spans="1:13" ht="15" customHeight="1" x14ac:dyDescent="0.25">
      <c r="A381" s="30" t="s">
        <v>138</v>
      </c>
      <c r="B381" s="30" t="s">
        <v>75</v>
      </c>
      <c r="C381" s="9" t="s">
        <v>67</v>
      </c>
      <c r="D381" s="32">
        <v>2022</v>
      </c>
      <c r="E381" s="35" t="s">
        <v>163</v>
      </c>
      <c r="F381" s="33">
        <f t="shared" si="12"/>
        <v>6</v>
      </c>
      <c r="G381" s="33">
        <f t="shared" si="12"/>
        <v>0</v>
      </c>
      <c r="H381" s="33">
        <f t="shared" si="12"/>
        <v>0</v>
      </c>
      <c r="I381" s="40">
        <f t="shared" si="11"/>
        <v>3.2000000000000002E-3</v>
      </c>
      <c r="J381" s="40">
        <f t="shared" si="11"/>
        <v>0</v>
      </c>
      <c r="K381" s="40">
        <f t="shared" si="11"/>
        <v>0</v>
      </c>
      <c r="L381" s="40">
        <f>1000*M381/VLOOKUP(D381,'Normalised Rates'!$A$7:$B$12,2,FALSE)</f>
        <v>3.2000000000000002E-3</v>
      </c>
      <c r="M381" s="34">
        <v>6</v>
      </c>
    </row>
    <row r="382" spans="1:13" ht="15" customHeight="1" x14ac:dyDescent="0.25">
      <c r="A382" s="30" t="s">
        <v>138</v>
      </c>
      <c r="B382" s="30" t="s">
        <v>75</v>
      </c>
      <c r="C382" s="9" t="s">
        <v>67</v>
      </c>
      <c r="D382" s="32">
        <v>2023</v>
      </c>
      <c r="E382" s="33" t="s">
        <v>34</v>
      </c>
      <c r="F382" s="33">
        <f t="shared" si="12"/>
        <v>0</v>
      </c>
      <c r="G382" s="33">
        <f t="shared" si="12"/>
        <v>0</v>
      </c>
      <c r="H382" s="33">
        <f t="shared" si="12"/>
        <v>9</v>
      </c>
      <c r="I382" s="40">
        <f t="shared" si="11"/>
        <v>0</v>
      </c>
      <c r="J382" s="40">
        <f t="shared" si="11"/>
        <v>0</v>
      </c>
      <c r="K382" s="40">
        <f t="shared" si="11"/>
        <v>3.937007874015748E-3</v>
      </c>
      <c r="L382" s="40">
        <f>1000*M382/VLOOKUP(D382,'Normalised Rates'!$A$7:$B$12,2,FALSE)</f>
        <v>3.937007874015748E-3</v>
      </c>
      <c r="M382" s="34">
        <v>9</v>
      </c>
    </row>
    <row r="383" spans="1:13" ht="15" customHeight="1" x14ac:dyDescent="0.25">
      <c r="A383" s="30" t="s">
        <v>138</v>
      </c>
      <c r="B383" s="30" t="s">
        <v>75</v>
      </c>
      <c r="C383" s="9" t="s">
        <v>67</v>
      </c>
      <c r="D383" s="32">
        <v>2023</v>
      </c>
      <c r="E383" s="35" t="s">
        <v>163</v>
      </c>
      <c r="F383" s="33">
        <f t="shared" si="12"/>
        <v>35</v>
      </c>
      <c r="G383" s="33">
        <f t="shared" si="12"/>
        <v>0</v>
      </c>
      <c r="H383" s="33">
        <f t="shared" si="12"/>
        <v>0</v>
      </c>
      <c r="I383" s="40">
        <f t="shared" si="11"/>
        <v>1.5310586176727909E-2</v>
      </c>
      <c r="J383" s="40">
        <f t="shared" si="11"/>
        <v>0</v>
      </c>
      <c r="K383" s="40">
        <f t="shared" si="11"/>
        <v>0</v>
      </c>
      <c r="L383" s="40">
        <f>1000*M383/VLOOKUP(D383,'Normalised Rates'!$A$7:$B$12,2,FALSE)</f>
        <v>1.5310586176727909E-2</v>
      </c>
      <c r="M383" s="34">
        <v>35</v>
      </c>
    </row>
    <row r="384" spans="1:13" ht="15" customHeight="1" x14ac:dyDescent="0.25">
      <c r="A384" s="30" t="s">
        <v>138</v>
      </c>
      <c r="B384" s="30" t="s">
        <v>75</v>
      </c>
      <c r="C384" s="9" t="s">
        <v>67</v>
      </c>
      <c r="D384" s="32">
        <v>2024</v>
      </c>
      <c r="E384" s="33" t="s">
        <v>34</v>
      </c>
      <c r="F384" s="33">
        <f t="shared" si="12"/>
        <v>0</v>
      </c>
      <c r="G384" s="33">
        <f t="shared" si="12"/>
        <v>0</v>
      </c>
      <c r="H384" s="33">
        <f t="shared" si="12"/>
        <v>18</v>
      </c>
      <c r="I384" s="40">
        <f t="shared" si="11"/>
        <v>0</v>
      </c>
      <c r="J384" s="40">
        <f t="shared" si="11"/>
        <v>0</v>
      </c>
      <c r="K384" s="40">
        <f t="shared" si="11"/>
        <v>6.7089079388743941E-3</v>
      </c>
      <c r="L384" s="40">
        <f>1000*M384/VLOOKUP(D384,'Normalised Rates'!$A$7:$B$12,2,FALSE)</f>
        <v>6.7089079388743941E-3</v>
      </c>
      <c r="M384" s="34">
        <v>18</v>
      </c>
    </row>
    <row r="385" spans="1:13" ht="15" customHeight="1" x14ac:dyDescent="0.25">
      <c r="A385" s="30" t="s">
        <v>138</v>
      </c>
      <c r="B385" s="30" t="s">
        <v>75</v>
      </c>
      <c r="C385" s="9" t="s">
        <v>67</v>
      </c>
      <c r="D385" s="32">
        <v>2024</v>
      </c>
      <c r="E385" s="35" t="s">
        <v>163</v>
      </c>
      <c r="F385" s="33">
        <f t="shared" si="12"/>
        <v>44</v>
      </c>
      <c r="G385" s="33">
        <f t="shared" si="12"/>
        <v>0</v>
      </c>
      <c r="H385" s="33">
        <f t="shared" si="12"/>
        <v>0</v>
      </c>
      <c r="I385" s="40">
        <f t="shared" si="11"/>
        <v>1.6399552739470743E-2</v>
      </c>
      <c r="J385" s="40">
        <f t="shared" si="11"/>
        <v>0</v>
      </c>
      <c r="K385" s="40">
        <f t="shared" si="11"/>
        <v>0</v>
      </c>
      <c r="L385" s="40">
        <f>1000*M385/VLOOKUP(D385,'Normalised Rates'!$A$7:$B$12,2,FALSE)</f>
        <v>1.6399552739470743E-2</v>
      </c>
      <c r="M385" s="34">
        <v>44</v>
      </c>
    </row>
    <row r="386" spans="1:13" ht="15" customHeight="1" x14ac:dyDescent="0.25">
      <c r="A386" s="30" t="s">
        <v>138</v>
      </c>
      <c r="B386" s="30" t="s">
        <v>75</v>
      </c>
      <c r="C386" s="9" t="s">
        <v>67</v>
      </c>
      <c r="D386" s="32">
        <v>2025</v>
      </c>
      <c r="E386" s="33" t="s">
        <v>34</v>
      </c>
      <c r="F386" s="33">
        <f t="shared" si="12"/>
        <v>0</v>
      </c>
      <c r="G386" s="33">
        <f t="shared" si="12"/>
        <v>0</v>
      </c>
      <c r="H386" s="33">
        <f t="shared" si="12"/>
        <v>36</v>
      </c>
      <c r="I386" s="40">
        <f t="shared" si="11"/>
        <v>0</v>
      </c>
      <c r="J386" s="40">
        <f t="shared" si="11"/>
        <v>0</v>
      </c>
      <c r="K386" s="40">
        <f t="shared" si="11"/>
        <v>1.1417697431018078E-2</v>
      </c>
      <c r="L386" s="40">
        <f>1000*M386/VLOOKUP(D386,'Normalised Rates'!$A$7:$B$12,2,FALSE)</f>
        <v>1.1417697431018078E-2</v>
      </c>
      <c r="M386" s="34">
        <v>36</v>
      </c>
    </row>
    <row r="387" spans="1:13" ht="15" customHeight="1" x14ac:dyDescent="0.25">
      <c r="A387" s="30" t="s">
        <v>138</v>
      </c>
      <c r="B387" s="30" t="s">
        <v>75</v>
      </c>
      <c r="C387" s="9" t="s">
        <v>67</v>
      </c>
      <c r="D387" s="32">
        <v>2025</v>
      </c>
      <c r="E387" s="35" t="s">
        <v>163</v>
      </c>
      <c r="F387" s="33">
        <f t="shared" si="12"/>
        <v>48</v>
      </c>
      <c r="G387" s="33">
        <f t="shared" si="12"/>
        <v>0</v>
      </c>
      <c r="H387" s="33">
        <f t="shared" si="12"/>
        <v>0</v>
      </c>
      <c r="I387" s="40">
        <f t="shared" si="11"/>
        <v>1.5223596574690771E-2</v>
      </c>
      <c r="J387" s="40">
        <f t="shared" si="11"/>
        <v>0</v>
      </c>
      <c r="K387" s="40">
        <f t="shared" si="11"/>
        <v>0</v>
      </c>
      <c r="L387" s="40">
        <f>1000*M387/VLOOKUP(D387,'Normalised Rates'!$A$7:$B$12,2,FALSE)</f>
        <v>1.5223596574690771E-2</v>
      </c>
      <c r="M387" s="34">
        <v>48</v>
      </c>
    </row>
    <row r="388" spans="1:13" ht="15" customHeight="1" x14ac:dyDescent="0.25">
      <c r="A388" s="30" t="s">
        <v>138</v>
      </c>
      <c r="B388" s="30" t="s">
        <v>75</v>
      </c>
      <c r="C388" s="9" t="s">
        <v>67</v>
      </c>
      <c r="D388" s="32">
        <v>2026</v>
      </c>
      <c r="E388" s="33" t="s">
        <v>34</v>
      </c>
      <c r="F388" s="33">
        <f t="shared" si="12"/>
        <v>0</v>
      </c>
      <c r="G388" s="33">
        <f t="shared" si="12"/>
        <v>0</v>
      </c>
      <c r="H388" s="33">
        <f t="shared" si="12"/>
        <v>10</v>
      </c>
      <c r="I388" s="40">
        <f t="shared" si="11"/>
        <v>0</v>
      </c>
      <c r="J388" s="40">
        <f t="shared" si="11"/>
        <v>0</v>
      </c>
      <c r="K388" s="40">
        <f t="shared" si="11"/>
        <v>7.6117982873453857E-3</v>
      </c>
      <c r="L388" s="40">
        <f>1000*M388/VLOOKUP(D388,'Normalised Rates'!$A$7:$B$12,2,FALSE)</f>
        <v>7.6117982873453857E-3</v>
      </c>
      <c r="M388" s="34">
        <v>10</v>
      </c>
    </row>
    <row r="389" spans="1:13" ht="15" customHeight="1" x14ac:dyDescent="0.25">
      <c r="A389" s="30" t="s">
        <v>138</v>
      </c>
      <c r="B389" s="30" t="s">
        <v>75</v>
      </c>
      <c r="C389" s="9" t="s">
        <v>67</v>
      </c>
      <c r="D389" s="32">
        <v>2026</v>
      </c>
      <c r="E389" s="35" t="s">
        <v>163</v>
      </c>
      <c r="F389" s="33">
        <f t="shared" si="12"/>
        <v>6</v>
      </c>
      <c r="G389" s="33">
        <f t="shared" si="12"/>
        <v>0</v>
      </c>
      <c r="H389" s="33">
        <f t="shared" si="12"/>
        <v>0</v>
      </c>
      <c r="I389" s="40">
        <f t="shared" si="11"/>
        <v>4.5670789724072316E-3</v>
      </c>
      <c r="J389" s="40">
        <f t="shared" si="11"/>
        <v>0</v>
      </c>
      <c r="K389" s="40">
        <f t="shared" si="11"/>
        <v>0</v>
      </c>
      <c r="L389" s="40">
        <f>1000*M389/VLOOKUP(D389,'Normalised Rates'!$A$7:$B$12,2,FALSE)</f>
        <v>4.5670789724072316E-3</v>
      </c>
      <c r="M389" s="34">
        <v>6</v>
      </c>
    </row>
    <row r="390" spans="1:13" ht="15" customHeight="1" x14ac:dyDescent="0.25">
      <c r="A390" s="30" t="s">
        <v>138</v>
      </c>
      <c r="B390" s="30" t="s">
        <v>90</v>
      </c>
      <c r="C390" s="9" t="s">
        <v>67</v>
      </c>
      <c r="D390" s="32">
        <v>2021</v>
      </c>
      <c r="E390" s="33" t="s">
        <v>34</v>
      </c>
      <c r="F390" s="33">
        <f t="shared" si="12"/>
        <v>0</v>
      </c>
      <c r="G390" s="33">
        <f t="shared" si="12"/>
        <v>0</v>
      </c>
      <c r="H390" s="33">
        <f t="shared" si="12"/>
        <v>1</v>
      </c>
      <c r="I390" s="40">
        <f t="shared" si="11"/>
        <v>0</v>
      </c>
      <c r="J390" s="40">
        <f t="shared" si="11"/>
        <v>0</v>
      </c>
      <c r="K390" s="40">
        <f t="shared" si="11"/>
        <v>6.2735257214554575E-4</v>
      </c>
      <c r="L390" s="40">
        <f>1000*M390/VLOOKUP(D390,'Normalised Rates'!$A$7:$B$12,2,FALSE)</f>
        <v>6.2735257214554575E-4</v>
      </c>
      <c r="M390" s="34">
        <v>1</v>
      </c>
    </row>
    <row r="391" spans="1:13" ht="15" customHeight="1" x14ac:dyDescent="0.25">
      <c r="A391" s="30" t="s">
        <v>138</v>
      </c>
      <c r="B391" s="30" t="s">
        <v>90</v>
      </c>
      <c r="C391" s="9" t="s">
        <v>67</v>
      </c>
      <c r="D391" s="32">
        <v>2022</v>
      </c>
      <c r="E391" s="33" t="s">
        <v>34</v>
      </c>
      <c r="F391" s="33">
        <f t="shared" si="12"/>
        <v>0</v>
      </c>
      <c r="G391" s="33">
        <f t="shared" si="12"/>
        <v>0</v>
      </c>
      <c r="H391" s="33">
        <f t="shared" si="12"/>
        <v>2</v>
      </c>
      <c r="I391" s="40">
        <f t="shared" ref="I391:K454" si="13">IF(_xlfn.CONCAT($E391,"%")=I$5,$L391,0)</f>
        <v>0</v>
      </c>
      <c r="J391" s="40">
        <f t="shared" si="13"/>
        <v>0</v>
      </c>
      <c r="K391" s="40">
        <f t="shared" si="13"/>
        <v>1.0666666666666667E-3</v>
      </c>
      <c r="L391" s="40">
        <f>1000*M391/VLOOKUP(D391,'Normalised Rates'!$A$7:$B$12,2,FALSE)</f>
        <v>1.0666666666666667E-3</v>
      </c>
      <c r="M391" s="34">
        <v>2</v>
      </c>
    </row>
    <row r="392" spans="1:13" ht="15" customHeight="1" x14ac:dyDescent="0.25">
      <c r="A392" s="30" t="s">
        <v>138</v>
      </c>
      <c r="B392" s="30" t="s">
        <v>90</v>
      </c>
      <c r="C392" s="9" t="s">
        <v>67</v>
      </c>
      <c r="D392" s="32">
        <v>2022</v>
      </c>
      <c r="E392" s="35" t="s">
        <v>163</v>
      </c>
      <c r="F392" s="33">
        <f t="shared" si="12"/>
        <v>11</v>
      </c>
      <c r="G392" s="33">
        <f t="shared" si="12"/>
        <v>0</v>
      </c>
      <c r="H392" s="33">
        <f t="shared" si="12"/>
        <v>0</v>
      </c>
      <c r="I392" s="40">
        <f t="shared" si="13"/>
        <v>5.8666666666666667E-3</v>
      </c>
      <c r="J392" s="40">
        <f t="shared" si="13"/>
        <v>0</v>
      </c>
      <c r="K392" s="40">
        <f t="shared" si="13"/>
        <v>0</v>
      </c>
      <c r="L392" s="40">
        <f>1000*M392/VLOOKUP(D392,'Normalised Rates'!$A$7:$B$12,2,FALSE)</f>
        <v>5.8666666666666667E-3</v>
      </c>
      <c r="M392" s="34">
        <v>11</v>
      </c>
    </row>
    <row r="393" spans="1:13" ht="15" customHeight="1" x14ac:dyDescent="0.25">
      <c r="A393" s="30" t="s">
        <v>138</v>
      </c>
      <c r="B393" s="30" t="s">
        <v>90</v>
      </c>
      <c r="C393" s="9" t="s">
        <v>67</v>
      </c>
      <c r="D393" s="32">
        <v>2023</v>
      </c>
      <c r="E393" s="33" t="s">
        <v>34</v>
      </c>
      <c r="F393" s="33">
        <f t="shared" ref="F393:H456" si="14">IF($E393=F$5,$M393,0)</f>
        <v>0</v>
      </c>
      <c r="G393" s="33">
        <f t="shared" si="14"/>
        <v>0</v>
      </c>
      <c r="H393" s="33">
        <f t="shared" si="14"/>
        <v>3</v>
      </c>
      <c r="I393" s="40">
        <f t="shared" si="13"/>
        <v>0</v>
      </c>
      <c r="J393" s="40">
        <f t="shared" si="13"/>
        <v>0</v>
      </c>
      <c r="K393" s="40">
        <f t="shared" si="13"/>
        <v>1.3123359580052493E-3</v>
      </c>
      <c r="L393" s="40">
        <f>1000*M393/VLOOKUP(D393,'Normalised Rates'!$A$7:$B$12,2,FALSE)</f>
        <v>1.3123359580052493E-3</v>
      </c>
      <c r="M393" s="34">
        <v>3</v>
      </c>
    </row>
    <row r="394" spans="1:13" ht="15" customHeight="1" x14ac:dyDescent="0.25">
      <c r="A394" s="30" t="s">
        <v>138</v>
      </c>
      <c r="B394" s="30" t="s">
        <v>90</v>
      </c>
      <c r="C394" s="9" t="s">
        <v>67</v>
      </c>
      <c r="D394" s="32">
        <v>2023</v>
      </c>
      <c r="E394" s="35" t="s">
        <v>163</v>
      </c>
      <c r="F394" s="33">
        <f t="shared" si="14"/>
        <v>43</v>
      </c>
      <c r="G394" s="33">
        <f t="shared" si="14"/>
        <v>0</v>
      </c>
      <c r="H394" s="33">
        <f t="shared" si="14"/>
        <v>0</v>
      </c>
      <c r="I394" s="40">
        <f t="shared" si="13"/>
        <v>1.8810148731408575E-2</v>
      </c>
      <c r="J394" s="40">
        <f t="shared" si="13"/>
        <v>0</v>
      </c>
      <c r="K394" s="40">
        <f t="shared" si="13"/>
        <v>0</v>
      </c>
      <c r="L394" s="40">
        <f>1000*M394/VLOOKUP(D394,'Normalised Rates'!$A$7:$B$12,2,FALSE)</f>
        <v>1.8810148731408575E-2</v>
      </c>
      <c r="M394" s="34">
        <v>43</v>
      </c>
    </row>
    <row r="395" spans="1:13" ht="15" customHeight="1" x14ac:dyDescent="0.25">
      <c r="A395" s="30" t="s">
        <v>138</v>
      </c>
      <c r="B395" s="30" t="s">
        <v>90</v>
      </c>
      <c r="C395" s="9" t="s">
        <v>67</v>
      </c>
      <c r="D395" s="32">
        <v>2024</v>
      </c>
      <c r="E395" s="33" t="s">
        <v>34</v>
      </c>
      <c r="F395" s="33">
        <f t="shared" si="14"/>
        <v>0</v>
      </c>
      <c r="G395" s="33">
        <f t="shared" si="14"/>
        <v>0</v>
      </c>
      <c r="H395" s="33">
        <f t="shared" si="14"/>
        <v>10</v>
      </c>
      <c r="I395" s="40">
        <f t="shared" si="13"/>
        <v>0</v>
      </c>
      <c r="J395" s="40">
        <f t="shared" si="13"/>
        <v>0</v>
      </c>
      <c r="K395" s="40">
        <f t="shared" si="13"/>
        <v>3.7271710771524412E-3</v>
      </c>
      <c r="L395" s="40">
        <f>1000*M395/VLOOKUP(D395,'Normalised Rates'!$A$7:$B$12,2,FALSE)</f>
        <v>3.7271710771524412E-3</v>
      </c>
      <c r="M395" s="34">
        <v>10</v>
      </c>
    </row>
    <row r="396" spans="1:13" ht="15" customHeight="1" x14ac:dyDescent="0.25">
      <c r="A396" s="30" t="s">
        <v>138</v>
      </c>
      <c r="B396" s="30" t="s">
        <v>90</v>
      </c>
      <c r="C396" s="9" t="s">
        <v>67</v>
      </c>
      <c r="D396" s="32">
        <v>2024</v>
      </c>
      <c r="E396" s="35" t="s">
        <v>163</v>
      </c>
      <c r="F396" s="33">
        <f t="shared" si="14"/>
        <v>59</v>
      </c>
      <c r="G396" s="33">
        <f t="shared" si="14"/>
        <v>0</v>
      </c>
      <c r="H396" s="33">
        <f t="shared" si="14"/>
        <v>0</v>
      </c>
      <c r="I396" s="40">
        <f t="shared" si="13"/>
        <v>2.1990309355199404E-2</v>
      </c>
      <c r="J396" s="40">
        <f t="shared" si="13"/>
        <v>0</v>
      </c>
      <c r="K396" s="40">
        <f t="shared" si="13"/>
        <v>0</v>
      </c>
      <c r="L396" s="40">
        <f>1000*M396/VLOOKUP(D396,'Normalised Rates'!$A$7:$B$12,2,FALSE)</f>
        <v>2.1990309355199404E-2</v>
      </c>
      <c r="M396" s="34">
        <v>59</v>
      </c>
    </row>
    <row r="397" spans="1:13" ht="15" customHeight="1" x14ac:dyDescent="0.25">
      <c r="A397" s="30" t="s">
        <v>138</v>
      </c>
      <c r="B397" s="30" t="s">
        <v>90</v>
      </c>
      <c r="C397" s="9" t="s">
        <v>67</v>
      </c>
      <c r="D397" s="32">
        <v>2025</v>
      </c>
      <c r="E397" s="33" t="s">
        <v>34</v>
      </c>
      <c r="F397" s="33">
        <f t="shared" si="14"/>
        <v>0</v>
      </c>
      <c r="G397" s="33">
        <f t="shared" si="14"/>
        <v>0</v>
      </c>
      <c r="H397" s="33">
        <f t="shared" si="14"/>
        <v>34</v>
      </c>
      <c r="I397" s="40">
        <f t="shared" si="13"/>
        <v>0</v>
      </c>
      <c r="J397" s="40">
        <f t="shared" si="13"/>
        <v>0</v>
      </c>
      <c r="K397" s="40">
        <f t="shared" si="13"/>
        <v>1.0783380907072629E-2</v>
      </c>
      <c r="L397" s="40">
        <f>1000*M397/VLOOKUP(D397,'Normalised Rates'!$A$7:$B$12,2,FALSE)</f>
        <v>1.0783380907072629E-2</v>
      </c>
      <c r="M397" s="34">
        <v>34</v>
      </c>
    </row>
    <row r="398" spans="1:13" ht="15" customHeight="1" x14ac:dyDescent="0.25">
      <c r="A398" s="30" t="s">
        <v>138</v>
      </c>
      <c r="B398" s="30" t="s">
        <v>90</v>
      </c>
      <c r="C398" s="9" t="s">
        <v>67</v>
      </c>
      <c r="D398" s="32">
        <v>2025</v>
      </c>
      <c r="E398" s="35" t="s">
        <v>163</v>
      </c>
      <c r="F398" s="33">
        <f t="shared" si="14"/>
        <v>31</v>
      </c>
      <c r="G398" s="33">
        <f t="shared" si="14"/>
        <v>0</v>
      </c>
      <c r="H398" s="33">
        <f t="shared" si="14"/>
        <v>0</v>
      </c>
      <c r="I398" s="40">
        <f t="shared" si="13"/>
        <v>9.8319061211544559E-3</v>
      </c>
      <c r="J398" s="40">
        <f t="shared" si="13"/>
        <v>0</v>
      </c>
      <c r="K398" s="40">
        <f t="shared" si="13"/>
        <v>0</v>
      </c>
      <c r="L398" s="40">
        <f>1000*M398/VLOOKUP(D398,'Normalised Rates'!$A$7:$B$12,2,FALSE)</f>
        <v>9.8319061211544559E-3</v>
      </c>
      <c r="M398" s="34">
        <v>31</v>
      </c>
    </row>
    <row r="399" spans="1:13" ht="15" customHeight="1" x14ac:dyDescent="0.25">
      <c r="A399" s="30" t="s">
        <v>138</v>
      </c>
      <c r="B399" s="30" t="s">
        <v>90</v>
      </c>
      <c r="C399" s="9" t="s">
        <v>67</v>
      </c>
      <c r="D399" s="32">
        <v>2026</v>
      </c>
      <c r="E399" s="33" t="s">
        <v>34</v>
      </c>
      <c r="F399" s="33">
        <f t="shared" si="14"/>
        <v>0</v>
      </c>
      <c r="G399" s="33">
        <f t="shared" si="14"/>
        <v>0</v>
      </c>
      <c r="H399" s="33">
        <f t="shared" si="14"/>
        <v>13</v>
      </c>
      <c r="I399" s="40">
        <f t="shared" si="13"/>
        <v>0</v>
      </c>
      <c r="J399" s="40">
        <f t="shared" si="13"/>
        <v>0</v>
      </c>
      <c r="K399" s="40">
        <f t="shared" si="13"/>
        <v>9.8953377735490015E-3</v>
      </c>
      <c r="L399" s="40">
        <f>1000*M399/VLOOKUP(D399,'Normalised Rates'!$A$7:$B$12,2,FALSE)</f>
        <v>9.8953377735490015E-3</v>
      </c>
      <c r="M399" s="34">
        <v>13</v>
      </c>
    </row>
    <row r="400" spans="1:13" ht="15" customHeight="1" x14ac:dyDescent="0.25">
      <c r="A400" s="30" t="s">
        <v>138</v>
      </c>
      <c r="B400" s="30" t="s">
        <v>90</v>
      </c>
      <c r="C400" s="9" t="s">
        <v>67</v>
      </c>
      <c r="D400" s="32">
        <v>2026</v>
      </c>
      <c r="E400" s="35" t="s">
        <v>163</v>
      </c>
      <c r="F400" s="33">
        <f t="shared" si="14"/>
        <v>9</v>
      </c>
      <c r="G400" s="33">
        <f t="shared" si="14"/>
        <v>0</v>
      </c>
      <c r="H400" s="33">
        <f t="shared" si="14"/>
        <v>0</v>
      </c>
      <c r="I400" s="40">
        <f t="shared" si="13"/>
        <v>6.8506184586108465E-3</v>
      </c>
      <c r="J400" s="40">
        <f t="shared" si="13"/>
        <v>0</v>
      </c>
      <c r="K400" s="40">
        <f t="shared" si="13"/>
        <v>0</v>
      </c>
      <c r="L400" s="40">
        <f>1000*M400/VLOOKUP(D400,'Normalised Rates'!$A$7:$B$12,2,FALSE)</f>
        <v>6.8506184586108465E-3</v>
      </c>
      <c r="M400" s="34">
        <v>9</v>
      </c>
    </row>
    <row r="401" spans="1:13" ht="15" customHeight="1" x14ac:dyDescent="0.25">
      <c r="A401" s="30" t="s">
        <v>138</v>
      </c>
      <c r="B401" s="30" t="s">
        <v>66</v>
      </c>
      <c r="C401" s="9" t="s">
        <v>67</v>
      </c>
      <c r="D401" s="32">
        <v>2021</v>
      </c>
      <c r="E401" s="33" t="s">
        <v>34</v>
      </c>
      <c r="F401" s="33">
        <f t="shared" si="14"/>
        <v>0</v>
      </c>
      <c r="G401" s="33">
        <f t="shared" si="14"/>
        <v>0</v>
      </c>
      <c r="H401" s="33">
        <f t="shared" si="14"/>
        <v>1</v>
      </c>
      <c r="I401" s="40">
        <f t="shared" si="13"/>
        <v>0</v>
      </c>
      <c r="J401" s="40">
        <f t="shared" si="13"/>
        <v>0</v>
      </c>
      <c r="K401" s="40">
        <f t="shared" si="13"/>
        <v>6.2735257214554575E-4</v>
      </c>
      <c r="L401" s="40">
        <f>1000*M401/VLOOKUP(D401,'Normalised Rates'!$A$7:$B$12,2,FALSE)</f>
        <v>6.2735257214554575E-4</v>
      </c>
      <c r="M401" s="34">
        <v>1</v>
      </c>
    </row>
    <row r="402" spans="1:13" ht="15" customHeight="1" x14ac:dyDescent="0.25">
      <c r="A402" s="30" t="s">
        <v>138</v>
      </c>
      <c r="B402" s="30" t="s">
        <v>66</v>
      </c>
      <c r="C402" s="9" t="s">
        <v>67</v>
      </c>
      <c r="D402" s="32">
        <v>2022</v>
      </c>
      <c r="E402" s="33" t="s">
        <v>34</v>
      </c>
      <c r="F402" s="33">
        <f t="shared" si="14"/>
        <v>0</v>
      </c>
      <c r="G402" s="33">
        <f t="shared" si="14"/>
        <v>0</v>
      </c>
      <c r="H402" s="33">
        <f t="shared" si="14"/>
        <v>8</v>
      </c>
      <c r="I402" s="40">
        <f t="shared" si="13"/>
        <v>0</v>
      </c>
      <c r="J402" s="40">
        <f t="shared" si="13"/>
        <v>0</v>
      </c>
      <c r="K402" s="40">
        <f t="shared" si="13"/>
        <v>4.2666666666666669E-3</v>
      </c>
      <c r="L402" s="40">
        <f>1000*M402/VLOOKUP(D402,'Normalised Rates'!$A$7:$B$12,2,FALSE)</f>
        <v>4.2666666666666669E-3</v>
      </c>
      <c r="M402" s="34">
        <v>8</v>
      </c>
    </row>
    <row r="403" spans="1:13" ht="15" customHeight="1" x14ac:dyDescent="0.25">
      <c r="A403" s="30" t="s">
        <v>138</v>
      </c>
      <c r="B403" s="30" t="s">
        <v>66</v>
      </c>
      <c r="C403" s="9" t="s">
        <v>67</v>
      </c>
      <c r="D403" s="32">
        <v>2022</v>
      </c>
      <c r="E403" s="35" t="s">
        <v>163</v>
      </c>
      <c r="F403" s="33">
        <f t="shared" si="14"/>
        <v>5</v>
      </c>
      <c r="G403" s="33">
        <f t="shared" si="14"/>
        <v>0</v>
      </c>
      <c r="H403" s="33">
        <f t="shared" si="14"/>
        <v>0</v>
      </c>
      <c r="I403" s="40">
        <f t="shared" si="13"/>
        <v>2.6666666666666666E-3</v>
      </c>
      <c r="J403" s="40">
        <f t="shared" si="13"/>
        <v>0</v>
      </c>
      <c r="K403" s="40">
        <f t="shared" si="13"/>
        <v>0</v>
      </c>
      <c r="L403" s="40">
        <f>1000*M403/VLOOKUP(D403,'Normalised Rates'!$A$7:$B$12,2,FALSE)</f>
        <v>2.6666666666666666E-3</v>
      </c>
      <c r="M403" s="34">
        <v>5</v>
      </c>
    </row>
    <row r="404" spans="1:13" ht="15" customHeight="1" x14ac:dyDescent="0.25">
      <c r="A404" s="30" t="s">
        <v>138</v>
      </c>
      <c r="B404" s="30" t="s">
        <v>66</v>
      </c>
      <c r="C404" s="9" t="s">
        <v>67</v>
      </c>
      <c r="D404" s="32">
        <v>2023</v>
      </c>
      <c r="E404" s="33" t="s">
        <v>34</v>
      </c>
      <c r="F404" s="33">
        <f t="shared" si="14"/>
        <v>0</v>
      </c>
      <c r="G404" s="33">
        <f t="shared" si="14"/>
        <v>0</v>
      </c>
      <c r="H404" s="33">
        <f t="shared" si="14"/>
        <v>13</v>
      </c>
      <c r="I404" s="40">
        <f t="shared" si="13"/>
        <v>0</v>
      </c>
      <c r="J404" s="40">
        <f t="shared" si="13"/>
        <v>0</v>
      </c>
      <c r="K404" s="40">
        <f t="shared" si="13"/>
        <v>5.6867891513560807E-3</v>
      </c>
      <c r="L404" s="40">
        <f>1000*M404/VLOOKUP(D404,'Normalised Rates'!$A$7:$B$12,2,FALSE)</f>
        <v>5.6867891513560807E-3</v>
      </c>
      <c r="M404" s="34">
        <v>13</v>
      </c>
    </row>
    <row r="405" spans="1:13" ht="15" customHeight="1" x14ac:dyDescent="0.25">
      <c r="A405" s="30" t="s">
        <v>138</v>
      </c>
      <c r="B405" s="30" t="s">
        <v>66</v>
      </c>
      <c r="C405" s="9" t="s">
        <v>67</v>
      </c>
      <c r="D405" s="32">
        <v>2023</v>
      </c>
      <c r="E405" s="35" t="s">
        <v>163</v>
      </c>
      <c r="F405" s="33">
        <f t="shared" si="14"/>
        <v>5</v>
      </c>
      <c r="G405" s="33">
        <f t="shared" si="14"/>
        <v>0</v>
      </c>
      <c r="H405" s="33">
        <f t="shared" si="14"/>
        <v>0</v>
      </c>
      <c r="I405" s="40">
        <f t="shared" si="13"/>
        <v>2.1872265966754157E-3</v>
      </c>
      <c r="J405" s="40">
        <f t="shared" si="13"/>
        <v>0</v>
      </c>
      <c r="K405" s="40">
        <f t="shared" si="13"/>
        <v>0</v>
      </c>
      <c r="L405" s="40">
        <f>1000*M405/VLOOKUP(D405,'Normalised Rates'!$A$7:$B$12,2,FALSE)</f>
        <v>2.1872265966754157E-3</v>
      </c>
      <c r="M405" s="34">
        <v>5</v>
      </c>
    </row>
    <row r="406" spans="1:13" ht="15" customHeight="1" x14ac:dyDescent="0.25">
      <c r="A406" s="30" t="s">
        <v>138</v>
      </c>
      <c r="B406" s="30" t="s">
        <v>66</v>
      </c>
      <c r="C406" s="9" t="s">
        <v>67</v>
      </c>
      <c r="D406" s="32">
        <v>2024</v>
      </c>
      <c r="E406" s="33" t="s">
        <v>34</v>
      </c>
      <c r="F406" s="33">
        <f t="shared" si="14"/>
        <v>0</v>
      </c>
      <c r="G406" s="33">
        <f t="shared" si="14"/>
        <v>0</v>
      </c>
      <c r="H406" s="33">
        <f t="shared" si="14"/>
        <v>46</v>
      </c>
      <c r="I406" s="40">
        <f t="shared" si="13"/>
        <v>0</v>
      </c>
      <c r="J406" s="40">
        <f t="shared" si="13"/>
        <v>0</v>
      </c>
      <c r="K406" s="40">
        <f t="shared" si="13"/>
        <v>1.7144986954901228E-2</v>
      </c>
      <c r="L406" s="40">
        <f>1000*M406/VLOOKUP(D406,'Normalised Rates'!$A$7:$B$12,2,FALSE)</f>
        <v>1.7144986954901228E-2</v>
      </c>
      <c r="M406" s="34">
        <v>46</v>
      </c>
    </row>
    <row r="407" spans="1:13" ht="15" customHeight="1" x14ac:dyDescent="0.25">
      <c r="A407" s="30" t="s">
        <v>138</v>
      </c>
      <c r="B407" s="30" t="s">
        <v>66</v>
      </c>
      <c r="C407" s="9" t="s">
        <v>67</v>
      </c>
      <c r="D407" s="32">
        <v>2024</v>
      </c>
      <c r="E407" s="35" t="s">
        <v>163</v>
      </c>
      <c r="F407" s="33">
        <f t="shared" si="14"/>
        <v>22</v>
      </c>
      <c r="G407" s="33">
        <f t="shared" si="14"/>
        <v>0</v>
      </c>
      <c r="H407" s="33">
        <f t="shared" si="14"/>
        <v>0</v>
      </c>
      <c r="I407" s="40">
        <f t="shared" si="13"/>
        <v>8.1997763697353714E-3</v>
      </c>
      <c r="J407" s="40">
        <f t="shared" si="13"/>
        <v>0</v>
      </c>
      <c r="K407" s="40">
        <f t="shared" si="13"/>
        <v>0</v>
      </c>
      <c r="L407" s="40">
        <f>1000*M407/VLOOKUP(D407,'Normalised Rates'!$A$7:$B$12,2,FALSE)</f>
        <v>8.1997763697353714E-3</v>
      </c>
      <c r="M407" s="34">
        <v>22</v>
      </c>
    </row>
    <row r="408" spans="1:13" ht="15" customHeight="1" x14ac:dyDescent="0.25">
      <c r="A408" s="30" t="s">
        <v>138</v>
      </c>
      <c r="B408" s="30" t="s">
        <v>66</v>
      </c>
      <c r="C408" s="9" t="s">
        <v>67</v>
      </c>
      <c r="D408" s="32">
        <v>2025</v>
      </c>
      <c r="E408" s="33" t="s">
        <v>34</v>
      </c>
      <c r="F408" s="33">
        <f t="shared" si="14"/>
        <v>0</v>
      </c>
      <c r="G408" s="33">
        <f t="shared" si="14"/>
        <v>0</v>
      </c>
      <c r="H408" s="33">
        <f t="shared" si="14"/>
        <v>85</v>
      </c>
      <c r="I408" s="40">
        <f t="shared" si="13"/>
        <v>0</v>
      </c>
      <c r="J408" s="40">
        <f t="shared" si="13"/>
        <v>0</v>
      </c>
      <c r="K408" s="40">
        <f t="shared" si="13"/>
        <v>2.6958452267681572E-2</v>
      </c>
      <c r="L408" s="40">
        <f>1000*M408/VLOOKUP(D408,'Normalised Rates'!$A$7:$B$12,2,FALSE)</f>
        <v>2.6958452267681572E-2</v>
      </c>
      <c r="M408" s="34">
        <v>85</v>
      </c>
    </row>
    <row r="409" spans="1:13" ht="15" customHeight="1" x14ac:dyDescent="0.25">
      <c r="A409" s="30" t="s">
        <v>138</v>
      </c>
      <c r="B409" s="30" t="s">
        <v>66</v>
      </c>
      <c r="C409" s="9" t="s">
        <v>67</v>
      </c>
      <c r="D409" s="32">
        <v>2025</v>
      </c>
      <c r="E409" s="35" t="s">
        <v>163</v>
      </c>
      <c r="F409" s="33">
        <f t="shared" si="14"/>
        <v>6</v>
      </c>
      <c r="G409" s="33">
        <f t="shared" si="14"/>
        <v>0</v>
      </c>
      <c r="H409" s="33">
        <f t="shared" si="14"/>
        <v>0</v>
      </c>
      <c r="I409" s="40">
        <f t="shared" si="13"/>
        <v>1.9029495718363464E-3</v>
      </c>
      <c r="J409" s="40">
        <f t="shared" si="13"/>
        <v>0</v>
      </c>
      <c r="K409" s="40">
        <f t="shared" si="13"/>
        <v>0</v>
      </c>
      <c r="L409" s="40">
        <f>1000*M409/VLOOKUP(D409,'Normalised Rates'!$A$7:$B$12,2,FALSE)</f>
        <v>1.9029495718363464E-3</v>
      </c>
      <c r="M409" s="34">
        <v>6</v>
      </c>
    </row>
    <row r="410" spans="1:13" ht="15" customHeight="1" x14ac:dyDescent="0.25">
      <c r="A410" s="30" t="s">
        <v>138</v>
      </c>
      <c r="B410" s="30" t="s">
        <v>66</v>
      </c>
      <c r="C410" s="9" t="s">
        <v>67</v>
      </c>
      <c r="D410" s="32">
        <v>2026</v>
      </c>
      <c r="E410" s="33" t="s">
        <v>34</v>
      </c>
      <c r="F410" s="33">
        <f t="shared" si="14"/>
        <v>0</v>
      </c>
      <c r="G410" s="33">
        <f t="shared" si="14"/>
        <v>0</v>
      </c>
      <c r="H410" s="33">
        <f t="shared" si="14"/>
        <v>10</v>
      </c>
      <c r="I410" s="40">
        <f t="shared" si="13"/>
        <v>0</v>
      </c>
      <c r="J410" s="40">
        <f t="shared" si="13"/>
        <v>0</v>
      </c>
      <c r="K410" s="40">
        <f t="shared" si="13"/>
        <v>7.6117982873453857E-3</v>
      </c>
      <c r="L410" s="40">
        <f>1000*M410/VLOOKUP(D410,'Normalised Rates'!$A$7:$B$12,2,FALSE)</f>
        <v>7.6117982873453857E-3</v>
      </c>
      <c r="M410" s="34">
        <v>10</v>
      </c>
    </row>
    <row r="411" spans="1:13" ht="15" customHeight="1" x14ac:dyDescent="0.25">
      <c r="A411" s="30" t="s">
        <v>138</v>
      </c>
      <c r="B411" s="30" t="s">
        <v>66</v>
      </c>
      <c r="C411" s="9" t="s">
        <v>67</v>
      </c>
      <c r="D411" s="32">
        <v>2026</v>
      </c>
      <c r="E411" s="35" t="s">
        <v>163</v>
      </c>
      <c r="F411" s="33">
        <f t="shared" si="14"/>
        <v>4</v>
      </c>
      <c r="G411" s="33">
        <f t="shared" si="14"/>
        <v>0</v>
      </c>
      <c r="H411" s="33">
        <f t="shared" si="14"/>
        <v>0</v>
      </c>
      <c r="I411" s="40">
        <f t="shared" si="13"/>
        <v>3.0447193149381541E-3</v>
      </c>
      <c r="J411" s="40">
        <f t="shared" si="13"/>
        <v>0</v>
      </c>
      <c r="K411" s="40">
        <f t="shared" si="13"/>
        <v>0</v>
      </c>
      <c r="L411" s="40">
        <f>1000*M411/VLOOKUP(D411,'Normalised Rates'!$A$7:$B$12,2,FALSE)</f>
        <v>3.0447193149381541E-3</v>
      </c>
      <c r="M411" s="34">
        <v>4</v>
      </c>
    </row>
    <row r="412" spans="1:13" ht="15" customHeight="1" x14ac:dyDescent="0.25">
      <c r="A412" s="30" t="s">
        <v>138</v>
      </c>
      <c r="B412" s="30" t="s">
        <v>98</v>
      </c>
      <c r="C412" s="9" t="s">
        <v>84</v>
      </c>
      <c r="D412" s="32">
        <v>2021</v>
      </c>
      <c r="E412" s="35" t="s">
        <v>163</v>
      </c>
      <c r="F412" s="33">
        <f t="shared" si="14"/>
        <v>1</v>
      </c>
      <c r="G412" s="33">
        <f t="shared" si="14"/>
        <v>0</v>
      </c>
      <c r="H412" s="33">
        <f t="shared" si="14"/>
        <v>0</v>
      </c>
      <c r="I412" s="40">
        <f t="shared" si="13"/>
        <v>6.2735257214554575E-4</v>
      </c>
      <c r="J412" s="40">
        <f t="shared" si="13"/>
        <v>0</v>
      </c>
      <c r="K412" s="40">
        <f t="shared" si="13"/>
        <v>0</v>
      </c>
      <c r="L412" s="40">
        <f>1000*M412/VLOOKUP(D412,'Normalised Rates'!$A$7:$B$12,2,FALSE)</f>
        <v>6.2735257214554575E-4</v>
      </c>
      <c r="M412" s="34">
        <v>1</v>
      </c>
    </row>
    <row r="413" spans="1:13" ht="15" customHeight="1" x14ac:dyDescent="0.25">
      <c r="A413" s="30" t="s">
        <v>138</v>
      </c>
      <c r="B413" s="30" t="s">
        <v>98</v>
      </c>
      <c r="C413" s="9" t="s">
        <v>84</v>
      </c>
      <c r="D413" s="32">
        <v>2022</v>
      </c>
      <c r="E413" s="33" t="s">
        <v>34</v>
      </c>
      <c r="F413" s="33">
        <f t="shared" si="14"/>
        <v>0</v>
      </c>
      <c r="G413" s="33">
        <f t="shared" si="14"/>
        <v>0</v>
      </c>
      <c r="H413" s="33">
        <f t="shared" si="14"/>
        <v>2</v>
      </c>
      <c r="I413" s="40">
        <f t="shared" si="13"/>
        <v>0</v>
      </c>
      <c r="J413" s="40">
        <f t="shared" si="13"/>
        <v>0</v>
      </c>
      <c r="K413" s="40">
        <f t="shared" si="13"/>
        <v>1.0666666666666667E-3</v>
      </c>
      <c r="L413" s="40">
        <f>1000*M413/VLOOKUP(D413,'Normalised Rates'!$A$7:$B$12,2,FALSE)</f>
        <v>1.0666666666666667E-3</v>
      </c>
      <c r="M413" s="34">
        <v>2</v>
      </c>
    </row>
    <row r="414" spans="1:13" ht="15" customHeight="1" x14ac:dyDescent="0.25">
      <c r="A414" s="30" t="s">
        <v>138</v>
      </c>
      <c r="B414" s="30" t="s">
        <v>98</v>
      </c>
      <c r="C414" s="9" t="s">
        <v>84</v>
      </c>
      <c r="D414" s="32">
        <v>2022</v>
      </c>
      <c r="E414" s="35" t="s">
        <v>163</v>
      </c>
      <c r="F414" s="33">
        <f t="shared" si="14"/>
        <v>4</v>
      </c>
      <c r="G414" s="33">
        <f t="shared" si="14"/>
        <v>0</v>
      </c>
      <c r="H414" s="33">
        <f t="shared" si="14"/>
        <v>0</v>
      </c>
      <c r="I414" s="40">
        <f t="shared" si="13"/>
        <v>2.1333333333333334E-3</v>
      </c>
      <c r="J414" s="40">
        <f t="shared" si="13"/>
        <v>0</v>
      </c>
      <c r="K414" s="40">
        <f t="shared" si="13"/>
        <v>0</v>
      </c>
      <c r="L414" s="40">
        <f>1000*M414/VLOOKUP(D414,'Normalised Rates'!$A$7:$B$12,2,FALSE)</f>
        <v>2.1333333333333334E-3</v>
      </c>
      <c r="M414" s="34">
        <v>4</v>
      </c>
    </row>
    <row r="415" spans="1:13" ht="15" customHeight="1" x14ac:dyDescent="0.25">
      <c r="A415" s="30" t="s">
        <v>138</v>
      </c>
      <c r="B415" s="30" t="s">
        <v>98</v>
      </c>
      <c r="C415" s="9" t="s">
        <v>84</v>
      </c>
      <c r="D415" s="32">
        <v>2023</v>
      </c>
      <c r="E415" s="33" t="s">
        <v>34</v>
      </c>
      <c r="F415" s="33">
        <f t="shared" si="14"/>
        <v>0</v>
      </c>
      <c r="G415" s="33">
        <f t="shared" si="14"/>
        <v>0</v>
      </c>
      <c r="H415" s="33">
        <f t="shared" si="14"/>
        <v>10</v>
      </c>
      <c r="I415" s="40">
        <f t="shared" si="13"/>
        <v>0</v>
      </c>
      <c r="J415" s="40">
        <f t="shared" si="13"/>
        <v>0</v>
      </c>
      <c r="K415" s="40">
        <f t="shared" si="13"/>
        <v>4.3744531933508314E-3</v>
      </c>
      <c r="L415" s="40">
        <f>1000*M415/VLOOKUP(D415,'Normalised Rates'!$A$7:$B$12,2,FALSE)</f>
        <v>4.3744531933508314E-3</v>
      </c>
      <c r="M415" s="34">
        <v>10</v>
      </c>
    </row>
    <row r="416" spans="1:13" ht="15" customHeight="1" x14ac:dyDescent="0.25">
      <c r="A416" s="30" t="s">
        <v>138</v>
      </c>
      <c r="B416" s="30" t="s">
        <v>98</v>
      </c>
      <c r="C416" s="9" t="s">
        <v>84</v>
      </c>
      <c r="D416" s="32">
        <v>2023</v>
      </c>
      <c r="E416" s="35" t="s">
        <v>163</v>
      </c>
      <c r="F416" s="33">
        <f t="shared" si="14"/>
        <v>15</v>
      </c>
      <c r="G416" s="33">
        <f t="shared" si="14"/>
        <v>0</v>
      </c>
      <c r="H416" s="33">
        <f t="shared" si="14"/>
        <v>0</v>
      </c>
      <c r="I416" s="40">
        <f t="shared" si="13"/>
        <v>6.5616797900262466E-3</v>
      </c>
      <c r="J416" s="40">
        <f t="shared" si="13"/>
        <v>0</v>
      </c>
      <c r="K416" s="40">
        <f t="shared" si="13"/>
        <v>0</v>
      </c>
      <c r="L416" s="40">
        <f>1000*M416/VLOOKUP(D416,'Normalised Rates'!$A$7:$B$12,2,FALSE)</f>
        <v>6.5616797900262466E-3</v>
      </c>
      <c r="M416" s="34">
        <v>15</v>
      </c>
    </row>
    <row r="417" spans="1:13" ht="15" customHeight="1" x14ac:dyDescent="0.25">
      <c r="A417" s="30" t="s">
        <v>138</v>
      </c>
      <c r="B417" s="30" t="s">
        <v>98</v>
      </c>
      <c r="C417" s="9" t="s">
        <v>84</v>
      </c>
      <c r="D417" s="32">
        <v>2024</v>
      </c>
      <c r="E417" s="33" t="s">
        <v>34</v>
      </c>
      <c r="F417" s="33">
        <f t="shared" si="14"/>
        <v>0</v>
      </c>
      <c r="G417" s="33">
        <f t="shared" si="14"/>
        <v>0</v>
      </c>
      <c r="H417" s="33">
        <f t="shared" si="14"/>
        <v>3</v>
      </c>
      <c r="I417" s="40">
        <f t="shared" si="13"/>
        <v>0</v>
      </c>
      <c r="J417" s="40">
        <f t="shared" si="13"/>
        <v>0</v>
      </c>
      <c r="K417" s="40">
        <f t="shared" si="13"/>
        <v>1.1181513231457323E-3</v>
      </c>
      <c r="L417" s="40">
        <f>1000*M417/VLOOKUP(D417,'Normalised Rates'!$A$7:$B$12,2,FALSE)</f>
        <v>1.1181513231457323E-3</v>
      </c>
      <c r="M417" s="34">
        <v>3</v>
      </c>
    </row>
    <row r="418" spans="1:13" ht="15" customHeight="1" x14ac:dyDescent="0.25">
      <c r="A418" s="30" t="s">
        <v>138</v>
      </c>
      <c r="B418" s="30" t="s">
        <v>98</v>
      </c>
      <c r="C418" s="9" t="s">
        <v>84</v>
      </c>
      <c r="D418" s="32">
        <v>2024</v>
      </c>
      <c r="E418" s="35" t="s">
        <v>163</v>
      </c>
      <c r="F418" s="33">
        <f t="shared" si="14"/>
        <v>9</v>
      </c>
      <c r="G418" s="33">
        <f t="shared" si="14"/>
        <v>0</v>
      </c>
      <c r="H418" s="33">
        <f t="shared" si="14"/>
        <v>0</v>
      </c>
      <c r="I418" s="40">
        <f t="shared" si="13"/>
        <v>3.354453969437197E-3</v>
      </c>
      <c r="J418" s="40">
        <f t="shared" si="13"/>
        <v>0</v>
      </c>
      <c r="K418" s="40">
        <f t="shared" si="13"/>
        <v>0</v>
      </c>
      <c r="L418" s="40">
        <f>1000*M418/VLOOKUP(D418,'Normalised Rates'!$A$7:$B$12,2,FALSE)</f>
        <v>3.354453969437197E-3</v>
      </c>
      <c r="M418" s="34">
        <v>9</v>
      </c>
    </row>
    <row r="419" spans="1:13" ht="15" customHeight="1" x14ac:dyDescent="0.25">
      <c r="A419" s="30" t="s">
        <v>138</v>
      </c>
      <c r="B419" s="30" t="s">
        <v>98</v>
      </c>
      <c r="C419" s="9" t="s">
        <v>84</v>
      </c>
      <c r="D419" s="32">
        <v>2025</v>
      </c>
      <c r="E419" s="33" t="s">
        <v>34</v>
      </c>
      <c r="F419" s="33">
        <f t="shared" si="14"/>
        <v>0</v>
      </c>
      <c r="G419" s="33">
        <f t="shared" si="14"/>
        <v>0</v>
      </c>
      <c r="H419" s="33">
        <f t="shared" si="14"/>
        <v>7</v>
      </c>
      <c r="I419" s="40">
        <f t="shared" si="13"/>
        <v>0</v>
      </c>
      <c r="J419" s="40">
        <f t="shared" si="13"/>
        <v>0</v>
      </c>
      <c r="K419" s="40">
        <f t="shared" si="13"/>
        <v>2.2201078338090706E-3</v>
      </c>
      <c r="L419" s="40">
        <f>1000*M419/VLOOKUP(D419,'Normalised Rates'!$A$7:$B$12,2,FALSE)</f>
        <v>2.2201078338090706E-3</v>
      </c>
      <c r="M419" s="34">
        <v>7</v>
      </c>
    </row>
    <row r="420" spans="1:13" ht="15" customHeight="1" x14ac:dyDescent="0.25">
      <c r="A420" s="30" t="s">
        <v>138</v>
      </c>
      <c r="B420" s="30" t="s">
        <v>98</v>
      </c>
      <c r="C420" s="9" t="s">
        <v>84</v>
      </c>
      <c r="D420" s="32">
        <v>2025</v>
      </c>
      <c r="E420" s="35" t="s">
        <v>163</v>
      </c>
      <c r="F420" s="33">
        <f t="shared" si="14"/>
        <v>81</v>
      </c>
      <c r="G420" s="33">
        <f t="shared" si="14"/>
        <v>0</v>
      </c>
      <c r="H420" s="33">
        <f t="shared" si="14"/>
        <v>0</v>
      </c>
      <c r="I420" s="40">
        <f t="shared" si="13"/>
        <v>2.5689819219790674E-2</v>
      </c>
      <c r="J420" s="40">
        <f t="shared" si="13"/>
        <v>0</v>
      </c>
      <c r="K420" s="40">
        <f t="shared" si="13"/>
        <v>0</v>
      </c>
      <c r="L420" s="40">
        <f>1000*M420/VLOOKUP(D420,'Normalised Rates'!$A$7:$B$12,2,FALSE)</f>
        <v>2.5689819219790674E-2</v>
      </c>
      <c r="M420" s="34">
        <v>81</v>
      </c>
    </row>
    <row r="421" spans="1:13" ht="15" customHeight="1" x14ac:dyDescent="0.25">
      <c r="A421" s="30" t="s">
        <v>138</v>
      </c>
      <c r="B421" s="30" t="s">
        <v>98</v>
      </c>
      <c r="C421" s="9" t="s">
        <v>84</v>
      </c>
      <c r="D421" s="32">
        <v>2026</v>
      </c>
      <c r="E421" s="33" t="s">
        <v>34</v>
      </c>
      <c r="F421" s="33">
        <f t="shared" si="14"/>
        <v>0</v>
      </c>
      <c r="G421" s="33">
        <f t="shared" si="14"/>
        <v>0</v>
      </c>
      <c r="H421" s="33">
        <f t="shared" si="14"/>
        <v>3</v>
      </c>
      <c r="I421" s="40">
        <f t="shared" si="13"/>
        <v>0</v>
      </c>
      <c r="J421" s="40">
        <f t="shared" si="13"/>
        <v>0</v>
      </c>
      <c r="K421" s="40">
        <f t="shared" si="13"/>
        <v>2.2835394862036158E-3</v>
      </c>
      <c r="L421" s="40">
        <f>1000*M421/VLOOKUP(D421,'Normalised Rates'!$A$7:$B$12,2,FALSE)</f>
        <v>2.2835394862036158E-3</v>
      </c>
      <c r="M421" s="34">
        <v>3</v>
      </c>
    </row>
    <row r="422" spans="1:13" ht="15" customHeight="1" x14ac:dyDescent="0.25">
      <c r="A422" s="30" t="s">
        <v>138</v>
      </c>
      <c r="B422" s="30" t="s">
        <v>98</v>
      </c>
      <c r="C422" s="9" t="s">
        <v>84</v>
      </c>
      <c r="D422" s="32">
        <v>2026</v>
      </c>
      <c r="E422" s="35" t="s">
        <v>163</v>
      </c>
      <c r="F422" s="33">
        <f t="shared" si="14"/>
        <v>4</v>
      </c>
      <c r="G422" s="33">
        <f t="shared" si="14"/>
        <v>0</v>
      </c>
      <c r="H422" s="33">
        <f t="shared" si="14"/>
        <v>0</v>
      </c>
      <c r="I422" s="40">
        <f t="shared" si="13"/>
        <v>3.0447193149381541E-3</v>
      </c>
      <c r="J422" s="40">
        <f t="shared" si="13"/>
        <v>0</v>
      </c>
      <c r="K422" s="40">
        <f t="shared" si="13"/>
        <v>0</v>
      </c>
      <c r="L422" s="40">
        <f>1000*M422/VLOOKUP(D422,'Normalised Rates'!$A$7:$B$12,2,FALSE)</f>
        <v>3.0447193149381541E-3</v>
      </c>
      <c r="M422" s="34">
        <v>4</v>
      </c>
    </row>
    <row r="423" spans="1:13" ht="15" customHeight="1" x14ac:dyDescent="0.25">
      <c r="A423" s="30" t="s">
        <v>138</v>
      </c>
      <c r="B423" s="30" t="s">
        <v>102</v>
      </c>
      <c r="C423" s="9" t="s">
        <v>84</v>
      </c>
      <c r="D423" s="32">
        <v>2021</v>
      </c>
      <c r="E423" s="33" t="s">
        <v>34</v>
      </c>
      <c r="F423" s="33">
        <f t="shared" si="14"/>
        <v>0</v>
      </c>
      <c r="G423" s="33">
        <f t="shared" si="14"/>
        <v>0</v>
      </c>
      <c r="H423" s="33">
        <f t="shared" si="14"/>
        <v>1</v>
      </c>
      <c r="I423" s="40">
        <f t="shared" si="13"/>
        <v>0</v>
      </c>
      <c r="J423" s="40">
        <f t="shared" si="13"/>
        <v>0</v>
      </c>
      <c r="K423" s="40">
        <f t="shared" si="13"/>
        <v>6.2735257214554575E-4</v>
      </c>
      <c r="L423" s="40">
        <f>1000*M423/VLOOKUP(D423,'Normalised Rates'!$A$7:$B$12,2,FALSE)</f>
        <v>6.2735257214554575E-4</v>
      </c>
      <c r="M423" s="34">
        <v>1</v>
      </c>
    </row>
    <row r="424" spans="1:13" ht="15" customHeight="1" x14ac:dyDescent="0.25">
      <c r="A424" s="30" t="s">
        <v>138</v>
      </c>
      <c r="B424" s="30" t="s">
        <v>102</v>
      </c>
      <c r="C424" s="9" t="s">
        <v>84</v>
      </c>
      <c r="D424" s="32">
        <v>2022</v>
      </c>
      <c r="E424" s="33" t="s">
        <v>34</v>
      </c>
      <c r="F424" s="33">
        <f t="shared" si="14"/>
        <v>0</v>
      </c>
      <c r="G424" s="33">
        <f t="shared" si="14"/>
        <v>0</v>
      </c>
      <c r="H424" s="33">
        <f t="shared" si="14"/>
        <v>1</v>
      </c>
      <c r="I424" s="40">
        <f t="shared" si="13"/>
        <v>0</v>
      </c>
      <c r="J424" s="40">
        <f t="shared" si="13"/>
        <v>0</v>
      </c>
      <c r="K424" s="40">
        <f t="shared" si="13"/>
        <v>5.3333333333333336E-4</v>
      </c>
      <c r="L424" s="40">
        <f>1000*M424/VLOOKUP(D424,'Normalised Rates'!$A$7:$B$12,2,FALSE)</f>
        <v>5.3333333333333336E-4</v>
      </c>
      <c r="M424" s="34">
        <v>1</v>
      </c>
    </row>
    <row r="425" spans="1:13" ht="15" customHeight="1" x14ac:dyDescent="0.25">
      <c r="A425" s="30" t="s">
        <v>138</v>
      </c>
      <c r="B425" s="30" t="s">
        <v>102</v>
      </c>
      <c r="C425" s="9" t="s">
        <v>84</v>
      </c>
      <c r="D425" s="32">
        <v>2022</v>
      </c>
      <c r="E425" s="35" t="s">
        <v>163</v>
      </c>
      <c r="F425" s="33">
        <f t="shared" si="14"/>
        <v>9</v>
      </c>
      <c r="G425" s="33">
        <f t="shared" si="14"/>
        <v>0</v>
      </c>
      <c r="H425" s="33">
        <f t="shared" si="14"/>
        <v>0</v>
      </c>
      <c r="I425" s="40">
        <f t="shared" si="13"/>
        <v>4.7999999999999996E-3</v>
      </c>
      <c r="J425" s="40">
        <f t="shared" si="13"/>
        <v>0</v>
      </c>
      <c r="K425" s="40">
        <f t="shared" si="13"/>
        <v>0</v>
      </c>
      <c r="L425" s="40">
        <f>1000*M425/VLOOKUP(D425,'Normalised Rates'!$A$7:$B$12,2,FALSE)</f>
        <v>4.7999999999999996E-3</v>
      </c>
      <c r="M425" s="34">
        <v>9</v>
      </c>
    </row>
    <row r="426" spans="1:13" ht="15" customHeight="1" x14ac:dyDescent="0.25">
      <c r="A426" s="30" t="s">
        <v>138</v>
      </c>
      <c r="B426" s="30" t="s">
        <v>102</v>
      </c>
      <c r="C426" s="9" t="s">
        <v>84</v>
      </c>
      <c r="D426" s="32">
        <v>2023</v>
      </c>
      <c r="E426" s="33" t="s">
        <v>34</v>
      </c>
      <c r="F426" s="33">
        <f t="shared" si="14"/>
        <v>0</v>
      </c>
      <c r="G426" s="33">
        <f t="shared" si="14"/>
        <v>0</v>
      </c>
      <c r="H426" s="33">
        <f t="shared" si="14"/>
        <v>4</v>
      </c>
      <c r="I426" s="40">
        <f t="shared" si="13"/>
        <v>0</v>
      </c>
      <c r="J426" s="40">
        <f t="shared" si="13"/>
        <v>0</v>
      </c>
      <c r="K426" s="40">
        <f t="shared" si="13"/>
        <v>1.7497812773403325E-3</v>
      </c>
      <c r="L426" s="40">
        <f>1000*M426/VLOOKUP(D426,'Normalised Rates'!$A$7:$B$12,2,FALSE)</f>
        <v>1.7497812773403325E-3</v>
      </c>
      <c r="M426" s="34">
        <v>4</v>
      </c>
    </row>
    <row r="427" spans="1:13" ht="15" customHeight="1" x14ac:dyDescent="0.25">
      <c r="A427" s="30" t="s">
        <v>138</v>
      </c>
      <c r="B427" s="30" t="s">
        <v>102</v>
      </c>
      <c r="C427" s="9" t="s">
        <v>84</v>
      </c>
      <c r="D427" s="32">
        <v>2023</v>
      </c>
      <c r="E427" s="35" t="s">
        <v>163</v>
      </c>
      <c r="F427" s="33">
        <f t="shared" si="14"/>
        <v>13</v>
      </c>
      <c r="G427" s="33">
        <f t="shared" si="14"/>
        <v>0</v>
      </c>
      <c r="H427" s="33">
        <f t="shared" si="14"/>
        <v>0</v>
      </c>
      <c r="I427" s="40">
        <f t="shared" si="13"/>
        <v>5.6867891513560807E-3</v>
      </c>
      <c r="J427" s="40">
        <f t="shared" si="13"/>
        <v>0</v>
      </c>
      <c r="K427" s="40">
        <f t="shared" si="13"/>
        <v>0</v>
      </c>
      <c r="L427" s="40">
        <f>1000*M427/VLOOKUP(D427,'Normalised Rates'!$A$7:$B$12,2,FALSE)</f>
        <v>5.6867891513560807E-3</v>
      </c>
      <c r="M427" s="34">
        <v>13</v>
      </c>
    </row>
    <row r="428" spans="1:13" ht="15" customHeight="1" x14ac:dyDescent="0.25">
      <c r="A428" s="30" t="s">
        <v>138</v>
      </c>
      <c r="B428" s="30" t="s">
        <v>102</v>
      </c>
      <c r="C428" s="9" t="s">
        <v>84</v>
      </c>
      <c r="D428" s="32">
        <v>2024</v>
      </c>
      <c r="E428" s="33" t="s">
        <v>34</v>
      </c>
      <c r="F428" s="33">
        <f t="shared" si="14"/>
        <v>0</v>
      </c>
      <c r="G428" s="33">
        <f t="shared" si="14"/>
        <v>0</v>
      </c>
      <c r="H428" s="33">
        <f t="shared" si="14"/>
        <v>6</v>
      </c>
      <c r="I428" s="40">
        <f t="shared" si="13"/>
        <v>0</v>
      </c>
      <c r="J428" s="40">
        <f t="shared" si="13"/>
        <v>0</v>
      </c>
      <c r="K428" s="40">
        <f t="shared" si="13"/>
        <v>2.2363026462914647E-3</v>
      </c>
      <c r="L428" s="40">
        <f>1000*M428/VLOOKUP(D428,'Normalised Rates'!$A$7:$B$12,2,FALSE)</f>
        <v>2.2363026462914647E-3</v>
      </c>
      <c r="M428" s="34">
        <v>6</v>
      </c>
    </row>
    <row r="429" spans="1:13" ht="15" customHeight="1" x14ac:dyDescent="0.25">
      <c r="A429" s="30" t="s">
        <v>138</v>
      </c>
      <c r="B429" s="30" t="s">
        <v>102</v>
      </c>
      <c r="C429" s="9" t="s">
        <v>84</v>
      </c>
      <c r="D429" s="32">
        <v>2024</v>
      </c>
      <c r="E429" s="35" t="s">
        <v>163</v>
      </c>
      <c r="F429" s="33">
        <f t="shared" si="14"/>
        <v>14</v>
      </c>
      <c r="G429" s="33">
        <f t="shared" si="14"/>
        <v>0</v>
      </c>
      <c r="H429" s="33">
        <f t="shared" si="14"/>
        <v>0</v>
      </c>
      <c r="I429" s="40">
        <f t="shared" si="13"/>
        <v>5.2180395080134176E-3</v>
      </c>
      <c r="J429" s="40">
        <f t="shared" si="13"/>
        <v>0</v>
      </c>
      <c r="K429" s="40">
        <f t="shared" si="13"/>
        <v>0</v>
      </c>
      <c r="L429" s="40">
        <f>1000*M429/VLOOKUP(D429,'Normalised Rates'!$A$7:$B$12,2,FALSE)</f>
        <v>5.2180395080134176E-3</v>
      </c>
      <c r="M429" s="34">
        <v>14</v>
      </c>
    </row>
    <row r="430" spans="1:13" ht="15" customHeight="1" x14ac:dyDescent="0.25">
      <c r="A430" s="30" t="s">
        <v>138</v>
      </c>
      <c r="B430" s="30" t="s">
        <v>102</v>
      </c>
      <c r="C430" s="9" t="s">
        <v>84</v>
      </c>
      <c r="D430" s="32">
        <v>2025</v>
      </c>
      <c r="E430" s="33" t="s">
        <v>34</v>
      </c>
      <c r="F430" s="33">
        <f t="shared" si="14"/>
        <v>0</v>
      </c>
      <c r="G430" s="33">
        <f t="shared" si="14"/>
        <v>0</v>
      </c>
      <c r="H430" s="33">
        <f t="shared" si="14"/>
        <v>13</v>
      </c>
      <c r="I430" s="40">
        <f t="shared" si="13"/>
        <v>0</v>
      </c>
      <c r="J430" s="40">
        <f t="shared" si="13"/>
        <v>0</v>
      </c>
      <c r="K430" s="40">
        <f t="shared" si="13"/>
        <v>4.1230574056454168E-3</v>
      </c>
      <c r="L430" s="40">
        <f>1000*M430/VLOOKUP(D430,'Normalised Rates'!$A$7:$B$12,2,FALSE)</f>
        <v>4.1230574056454168E-3</v>
      </c>
      <c r="M430" s="34">
        <v>13</v>
      </c>
    </row>
    <row r="431" spans="1:13" ht="15" customHeight="1" x14ac:dyDescent="0.25">
      <c r="A431" s="30" t="s">
        <v>138</v>
      </c>
      <c r="B431" s="30" t="s">
        <v>102</v>
      </c>
      <c r="C431" s="9" t="s">
        <v>84</v>
      </c>
      <c r="D431" s="32">
        <v>2025</v>
      </c>
      <c r="E431" s="35" t="s">
        <v>163</v>
      </c>
      <c r="F431" s="33">
        <f t="shared" si="14"/>
        <v>61</v>
      </c>
      <c r="G431" s="33">
        <f t="shared" si="14"/>
        <v>0</v>
      </c>
      <c r="H431" s="33">
        <f t="shared" si="14"/>
        <v>0</v>
      </c>
      <c r="I431" s="40">
        <f t="shared" si="13"/>
        <v>1.9346653980336189E-2</v>
      </c>
      <c r="J431" s="40">
        <f t="shared" si="13"/>
        <v>0</v>
      </c>
      <c r="K431" s="40">
        <f t="shared" si="13"/>
        <v>0</v>
      </c>
      <c r="L431" s="40">
        <f>1000*M431/VLOOKUP(D431,'Normalised Rates'!$A$7:$B$12,2,FALSE)</f>
        <v>1.9346653980336189E-2</v>
      </c>
      <c r="M431" s="34">
        <v>61</v>
      </c>
    </row>
    <row r="432" spans="1:13" ht="15" customHeight="1" x14ac:dyDescent="0.25">
      <c r="A432" s="30" t="s">
        <v>138</v>
      </c>
      <c r="B432" s="30" t="s">
        <v>102</v>
      </c>
      <c r="C432" s="9" t="s">
        <v>84</v>
      </c>
      <c r="D432" s="32">
        <v>2026</v>
      </c>
      <c r="E432" s="33" t="s">
        <v>34</v>
      </c>
      <c r="F432" s="33">
        <f t="shared" si="14"/>
        <v>0</v>
      </c>
      <c r="G432" s="33">
        <f t="shared" si="14"/>
        <v>0</v>
      </c>
      <c r="H432" s="33">
        <f t="shared" si="14"/>
        <v>5</v>
      </c>
      <c r="I432" s="40">
        <f t="shared" si="13"/>
        <v>0</v>
      </c>
      <c r="J432" s="40">
        <f t="shared" si="13"/>
        <v>0</v>
      </c>
      <c r="K432" s="40">
        <f t="shared" si="13"/>
        <v>3.8058991436726928E-3</v>
      </c>
      <c r="L432" s="40">
        <f>1000*M432/VLOOKUP(D432,'Normalised Rates'!$A$7:$B$12,2,FALSE)</f>
        <v>3.8058991436726928E-3</v>
      </c>
      <c r="M432" s="34">
        <v>5</v>
      </c>
    </row>
    <row r="433" spans="1:13" ht="15" customHeight="1" x14ac:dyDescent="0.25">
      <c r="A433" s="30" t="s">
        <v>138</v>
      </c>
      <c r="B433" s="30" t="s">
        <v>102</v>
      </c>
      <c r="C433" s="9" t="s">
        <v>84</v>
      </c>
      <c r="D433" s="32">
        <v>2026</v>
      </c>
      <c r="E433" s="35" t="s">
        <v>163</v>
      </c>
      <c r="F433" s="33">
        <f t="shared" si="14"/>
        <v>4</v>
      </c>
      <c r="G433" s="33">
        <f t="shared" si="14"/>
        <v>0</v>
      </c>
      <c r="H433" s="33">
        <f t="shared" si="14"/>
        <v>0</v>
      </c>
      <c r="I433" s="40">
        <f t="shared" si="13"/>
        <v>3.0447193149381541E-3</v>
      </c>
      <c r="J433" s="40">
        <f t="shared" si="13"/>
        <v>0</v>
      </c>
      <c r="K433" s="40">
        <f t="shared" si="13"/>
        <v>0</v>
      </c>
      <c r="L433" s="40">
        <f>1000*M433/VLOOKUP(D433,'Normalised Rates'!$A$7:$B$12,2,FALSE)</f>
        <v>3.0447193149381541E-3</v>
      </c>
      <c r="M433" s="34">
        <v>4</v>
      </c>
    </row>
    <row r="434" spans="1:13" ht="15" customHeight="1" x14ac:dyDescent="0.25">
      <c r="A434" s="30" t="s">
        <v>138</v>
      </c>
      <c r="B434" s="30" t="s">
        <v>83</v>
      </c>
      <c r="C434" s="9" t="s">
        <v>84</v>
      </c>
      <c r="D434" s="32">
        <v>2022</v>
      </c>
      <c r="E434" s="33" t="s">
        <v>34</v>
      </c>
      <c r="F434" s="33">
        <f t="shared" si="14"/>
        <v>0</v>
      </c>
      <c r="G434" s="33">
        <f t="shared" si="14"/>
        <v>0</v>
      </c>
      <c r="H434" s="33">
        <f t="shared" si="14"/>
        <v>3</v>
      </c>
      <c r="I434" s="40">
        <f t="shared" si="13"/>
        <v>0</v>
      </c>
      <c r="J434" s="40">
        <f t="shared" si="13"/>
        <v>0</v>
      </c>
      <c r="K434" s="40">
        <f t="shared" si="13"/>
        <v>1.6000000000000001E-3</v>
      </c>
      <c r="L434" s="40">
        <f>1000*M434/VLOOKUP(D434,'Normalised Rates'!$A$7:$B$12,2,FALSE)</f>
        <v>1.6000000000000001E-3</v>
      </c>
      <c r="M434" s="34">
        <v>3</v>
      </c>
    </row>
    <row r="435" spans="1:13" ht="15" customHeight="1" x14ac:dyDescent="0.25">
      <c r="A435" s="30" t="s">
        <v>138</v>
      </c>
      <c r="B435" s="30" t="s">
        <v>83</v>
      </c>
      <c r="C435" s="9" t="s">
        <v>84</v>
      </c>
      <c r="D435" s="32">
        <v>2022</v>
      </c>
      <c r="E435" s="35" t="s">
        <v>163</v>
      </c>
      <c r="F435" s="33">
        <f t="shared" si="14"/>
        <v>11</v>
      </c>
      <c r="G435" s="33">
        <f t="shared" si="14"/>
        <v>0</v>
      </c>
      <c r="H435" s="33">
        <f t="shared" si="14"/>
        <v>0</v>
      </c>
      <c r="I435" s="40">
        <f t="shared" si="13"/>
        <v>5.8666666666666667E-3</v>
      </c>
      <c r="J435" s="40">
        <f t="shared" si="13"/>
        <v>0</v>
      </c>
      <c r="K435" s="40">
        <f t="shared" si="13"/>
        <v>0</v>
      </c>
      <c r="L435" s="40">
        <f>1000*M435/VLOOKUP(D435,'Normalised Rates'!$A$7:$B$12,2,FALSE)</f>
        <v>5.8666666666666667E-3</v>
      </c>
      <c r="M435" s="34">
        <v>11</v>
      </c>
    </row>
    <row r="436" spans="1:13" ht="15" customHeight="1" x14ac:dyDescent="0.25">
      <c r="A436" s="30" t="s">
        <v>138</v>
      </c>
      <c r="B436" s="30" t="s">
        <v>83</v>
      </c>
      <c r="C436" s="9" t="s">
        <v>84</v>
      </c>
      <c r="D436" s="32">
        <v>2023</v>
      </c>
      <c r="E436" s="33" t="s">
        <v>34</v>
      </c>
      <c r="F436" s="33">
        <f t="shared" si="14"/>
        <v>0</v>
      </c>
      <c r="G436" s="33">
        <f t="shared" si="14"/>
        <v>0</v>
      </c>
      <c r="H436" s="33">
        <f t="shared" si="14"/>
        <v>1</v>
      </c>
      <c r="I436" s="40">
        <f t="shared" si="13"/>
        <v>0</v>
      </c>
      <c r="J436" s="40">
        <f t="shared" si="13"/>
        <v>0</v>
      </c>
      <c r="K436" s="40">
        <f t="shared" si="13"/>
        <v>4.3744531933508313E-4</v>
      </c>
      <c r="L436" s="40">
        <f>1000*M436/VLOOKUP(D436,'Normalised Rates'!$A$7:$B$12,2,FALSE)</f>
        <v>4.3744531933508313E-4</v>
      </c>
      <c r="M436" s="34">
        <v>1</v>
      </c>
    </row>
    <row r="437" spans="1:13" ht="15" customHeight="1" x14ac:dyDescent="0.25">
      <c r="A437" s="30" t="s">
        <v>138</v>
      </c>
      <c r="B437" s="30" t="s">
        <v>83</v>
      </c>
      <c r="C437" s="9" t="s">
        <v>84</v>
      </c>
      <c r="D437" s="32">
        <v>2023</v>
      </c>
      <c r="E437" s="35" t="s">
        <v>163</v>
      </c>
      <c r="F437" s="33">
        <f t="shared" si="14"/>
        <v>14</v>
      </c>
      <c r="G437" s="33">
        <f t="shared" si="14"/>
        <v>0</v>
      </c>
      <c r="H437" s="33">
        <f t="shared" si="14"/>
        <v>0</v>
      </c>
      <c r="I437" s="40">
        <f t="shared" si="13"/>
        <v>6.1242344706911632E-3</v>
      </c>
      <c r="J437" s="40">
        <f t="shared" si="13"/>
        <v>0</v>
      </c>
      <c r="K437" s="40">
        <f t="shared" si="13"/>
        <v>0</v>
      </c>
      <c r="L437" s="40">
        <f>1000*M437/VLOOKUP(D437,'Normalised Rates'!$A$7:$B$12,2,FALSE)</f>
        <v>6.1242344706911632E-3</v>
      </c>
      <c r="M437" s="34">
        <v>14</v>
      </c>
    </row>
    <row r="438" spans="1:13" ht="15" customHeight="1" x14ac:dyDescent="0.25">
      <c r="A438" s="30" t="s">
        <v>138</v>
      </c>
      <c r="B438" s="30" t="s">
        <v>83</v>
      </c>
      <c r="C438" s="9" t="s">
        <v>84</v>
      </c>
      <c r="D438" s="32">
        <v>2024</v>
      </c>
      <c r="E438" s="33" t="s">
        <v>34</v>
      </c>
      <c r="F438" s="33">
        <f t="shared" si="14"/>
        <v>0</v>
      </c>
      <c r="G438" s="33">
        <f t="shared" si="14"/>
        <v>0</v>
      </c>
      <c r="H438" s="33">
        <f t="shared" si="14"/>
        <v>1</v>
      </c>
      <c r="I438" s="40">
        <f t="shared" si="13"/>
        <v>0</v>
      </c>
      <c r="J438" s="40">
        <f t="shared" si="13"/>
        <v>0</v>
      </c>
      <c r="K438" s="40">
        <f t="shared" si="13"/>
        <v>3.7271710771524412E-4</v>
      </c>
      <c r="L438" s="40">
        <f>1000*M438/VLOOKUP(D438,'Normalised Rates'!$A$7:$B$12,2,FALSE)</f>
        <v>3.7271710771524412E-4</v>
      </c>
      <c r="M438" s="34">
        <v>1</v>
      </c>
    </row>
    <row r="439" spans="1:13" ht="15" customHeight="1" x14ac:dyDescent="0.25">
      <c r="A439" s="30" t="s">
        <v>138</v>
      </c>
      <c r="B439" s="30" t="s">
        <v>83</v>
      </c>
      <c r="C439" s="9" t="s">
        <v>84</v>
      </c>
      <c r="D439" s="32">
        <v>2024</v>
      </c>
      <c r="E439" s="35" t="s">
        <v>163</v>
      </c>
      <c r="F439" s="33">
        <f t="shared" si="14"/>
        <v>28</v>
      </c>
      <c r="G439" s="33">
        <f t="shared" si="14"/>
        <v>0</v>
      </c>
      <c r="H439" s="33">
        <f t="shared" si="14"/>
        <v>0</v>
      </c>
      <c r="I439" s="40">
        <f t="shared" si="13"/>
        <v>1.0436079016026835E-2</v>
      </c>
      <c r="J439" s="40">
        <f t="shared" si="13"/>
        <v>0</v>
      </c>
      <c r="K439" s="40">
        <f t="shared" si="13"/>
        <v>0</v>
      </c>
      <c r="L439" s="40">
        <f>1000*M439/VLOOKUP(D439,'Normalised Rates'!$A$7:$B$12,2,FALSE)</f>
        <v>1.0436079016026835E-2</v>
      </c>
      <c r="M439" s="34">
        <v>28</v>
      </c>
    </row>
    <row r="440" spans="1:13" ht="15" customHeight="1" x14ac:dyDescent="0.25">
      <c r="A440" s="30" t="s">
        <v>138</v>
      </c>
      <c r="B440" s="30" t="s">
        <v>83</v>
      </c>
      <c r="C440" s="9" t="s">
        <v>84</v>
      </c>
      <c r="D440" s="32">
        <v>2025</v>
      </c>
      <c r="E440" s="33" t="s">
        <v>34</v>
      </c>
      <c r="F440" s="33">
        <f t="shared" si="14"/>
        <v>0</v>
      </c>
      <c r="G440" s="33">
        <f t="shared" si="14"/>
        <v>0</v>
      </c>
      <c r="H440" s="33">
        <f t="shared" si="14"/>
        <v>3</v>
      </c>
      <c r="I440" s="40">
        <f t="shared" si="13"/>
        <v>0</v>
      </c>
      <c r="J440" s="40">
        <f t="shared" si="13"/>
        <v>0</v>
      </c>
      <c r="K440" s="40">
        <f t="shared" si="13"/>
        <v>9.5147478591817321E-4</v>
      </c>
      <c r="L440" s="40">
        <f>1000*M440/VLOOKUP(D440,'Normalised Rates'!$A$7:$B$12,2,FALSE)</f>
        <v>9.5147478591817321E-4</v>
      </c>
      <c r="M440" s="34">
        <v>3</v>
      </c>
    </row>
    <row r="441" spans="1:13" ht="15" customHeight="1" x14ac:dyDescent="0.25">
      <c r="A441" s="30" t="s">
        <v>138</v>
      </c>
      <c r="B441" s="30" t="s">
        <v>83</v>
      </c>
      <c r="C441" s="9" t="s">
        <v>84</v>
      </c>
      <c r="D441" s="32">
        <v>2025</v>
      </c>
      <c r="E441" s="35" t="s">
        <v>163</v>
      </c>
      <c r="F441" s="33">
        <f t="shared" si="14"/>
        <v>41</v>
      </c>
      <c r="G441" s="33">
        <f t="shared" si="14"/>
        <v>0</v>
      </c>
      <c r="H441" s="33">
        <f t="shared" si="14"/>
        <v>0</v>
      </c>
      <c r="I441" s="40">
        <f t="shared" si="13"/>
        <v>1.30034887408817E-2</v>
      </c>
      <c r="J441" s="40">
        <f t="shared" si="13"/>
        <v>0</v>
      </c>
      <c r="K441" s="40">
        <f t="shared" si="13"/>
        <v>0</v>
      </c>
      <c r="L441" s="40">
        <f>1000*M441/VLOOKUP(D441,'Normalised Rates'!$A$7:$B$12,2,FALSE)</f>
        <v>1.30034887408817E-2</v>
      </c>
      <c r="M441" s="34">
        <v>41</v>
      </c>
    </row>
    <row r="442" spans="1:13" ht="15" customHeight="1" x14ac:dyDescent="0.25">
      <c r="A442" s="30" t="s">
        <v>138</v>
      </c>
      <c r="B442" s="30" t="s">
        <v>83</v>
      </c>
      <c r="C442" s="9" t="s">
        <v>84</v>
      </c>
      <c r="D442" s="32">
        <v>2026</v>
      </c>
      <c r="E442" s="33" t="s">
        <v>34</v>
      </c>
      <c r="F442" s="33">
        <f t="shared" si="14"/>
        <v>0</v>
      </c>
      <c r="G442" s="33">
        <f t="shared" si="14"/>
        <v>0</v>
      </c>
      <c r="H442" s="33">
        <f t="shared" si="14"/>
        <v>1</v>
      </c>
      <c r="I442" s="40">
        <f t="shared" si="13"/>
        <v>0</v>
      </c>
      <c r="J442" s="40">
        <f t="shared" si="13"/>
        <v>0</v>
      </c>
      <c r="K442" s="40">
        <f t="shared" si="13"/>
        <v>7.6117982873453852E-4</v>
      </c>
      <c r="L442" s="40">
        <f>1000*M442/VLOOKUP(D442,'Normalised Rates'!$A$7:$B$12,2,FALSE)</f>
        <v>7.6117982873453852E-4</v>
      </c>
      <c r="M442" s="34">
        <v>1</v>
      </c>
    </row>
    <row r="443" spans="1:13" ht="15" customHeight="1" x14ac:dyDescent="0.25">
      <c r="A443" s="30" t="s">
        <v>138</v>
      </c>
      <c r="B443" s="30" t="s">
        <v>83</v>
      </c>
      <c r="C443" s="9" t="s">
        <v>84</v>
      </c>
      <c r="D443" s="32">
        <v>2026</v>
      </c>
      <c r="E443" s="35" t="s">
        <v>163</v>
      </c>
      <c r="F443" s="33">
        <f t="shared" si="14"/>
        <v>5</v>
      </c>
      <c r="G443" s="33">
        <f t="shared" si="14"/>
        <v>0</v>
      </c>
      <c r="H443" s="33">
        <f t="shared" si="14"/>
        <v>0</v>
      </c>
      <c r="I443" s="40">
        <f t="shared" si="13"/>
        <v>3.8058991436726928E-3</v>
      </c>
      <c r="J443" s="40">
        <f t="shared" si="13"/>
        <v>0</v>
      </c>
      <c r="K443" s="40">
        <f t="shared" si="13"/>
        <v>0</v>
      </c>
      <c r="L443" s="40">
        <f>1000*M443/VLOOKUP(D443,'Normalised Rates'!$A$7:$B$12,2,FALSE)</f>
        <v>3.8058991436726928E-3</v>
      </c>
      <c r="M443" s="34">
        <v>5</v>
      </c>
    </row>
    <row r="444" spans="1:13" ht="15" customHeight="1" x14ac:dyDescent="0.25">
      <c r="A444" s="30" t="s">
        <v>138</v>
      </c>
      <c r="B444" s="30" t="s">
        <v>109</v>
      </c>
      <c r="C444" s="9" t="s">
        <v>67</v>
      </c>
      <c r="D444" s="32">
        <v>2021</v>
      </c>
      <c r="E444" s="35" t="s">
        <v>163</v>
      </c>
      <c r="F444" s="33">
        <f t="shared" si="14"/>
        <v>1</v>
      </c>
      <c r="G444" s="33">
        <f t="shared" si="14"/>
        <v>0</v>
      </c>
      <c r="H444" s="33">
        <f t="shared" si="14"/>
        <v>0</v>
      </c>
      <c r="I444" s="40">
        <f t="shared" si="13"/>
        <v>6.2735257214554575E-4</v>
      </c>
      <c r="J444" s="40">
        <f t="shared" si="13"/>
        <v>0</v>
      </c>
      <c r="K444" s="40">
        <f t="shared" si="13"/>
        <v>0</v>
      </c>
      <c r="L444" s="40">
        <f>1000*M444/VLOOKUP(D444,'Normalised Rates'!$A$7:$B$12,2,FALSE)</f>
        <v>6.2735257214554575E-4</v>
      </c>
      <c r="M444" s="34">
        <v>1</v>
      </c>
    </row>
    <row r="445" spans="1:13" ht="15" customHeight="1" x14ac:dyDescent="0.25">
      <c r="A445" s="30" t="s">
        <v>138</v>
      </c>
      <c r="B445" s="30" t="s">
        <v>109</v>
      </c>
      <c r="C445" s="9" t="s">
        <v>67</v>
      </c>
      <c r="D445" s="32">
        <v>2022</v>
      </c>
      <c r="E445" s="33" t="s">
        <v>34</v>
      </c>
      <c r="F445" s="33">
        <f t="shared" si="14"/>
        <v>0</v>
      </c>
      <c r="G445" s="33">
        <f t="shared" si="14"/>
        <v>0</v>
      </c>
      <c r="H445" s="33">
        <f t="shared" si="14"/>
        <v>1</v>
      </c>
      <c r="I445" s="40">
        <f t="shared" si="13"/>
        <v>0</v>
      </c>
      <c r="J445" s="40">
        <f t="shared" si="13"/>
        <v>0</v>
      </c>
      <c r="K445" s="40">
        <f t="shared" si="13"/>
        <v>5.3333333333333336E-4</v>
      </c>
      <c r="L445" s="40">
        <f>1000*M445/VLOOKUP(D445,'Normalised Rates'!$A$7:$B$12,2,FALSE)</f>
        <v>5.3333333333333336E-4</v>
      </c>
      <c r="M445" s="34">
        <v>1</v>
      </c>
    </row>
    <row r="446" spans="1:13" ht="15" customHeight="1" x14ac:dyDescent="0.25">
      <c r="A446" s="30" t="s">
        <v>138</v>
      </c>
      <c r="B446" s="30" t="s">
        <v>109</v>
      </c>
      <c r="C446" s="9" t="s">
        <v>67</v>
      </c>
      <c r="D446" s="32">
        <v>2022</v>
      </c>
      <c r="E446" s="35" t="s">
        <v>163</v>
      </c>
      <c r="F446" s="33">
        <f t="shared" si="14"/>
        <v>5</v>
      </c>
      <c r="G446" s="33">
        <f t="shared" si="14"/>
        <v>0</v>
      </c>
      <c r="H446" s="33">
        <f t="shared" si="14"/>
        <v>0</v>
      </c>
      <c r="I446" s="40">
        <f t="shared" si="13"/>
        <v>2.6666666666666666E-3</v>
      </c>
      <c r="J446" s="40">
        <f t="shared" si="13"/>
        <v>0</v>
      </c>
      <c r="K446" s="40">
        <f t="shared" si="13"/>
        <v>0</v>
      </c>
      <c r="L446" s="40">
        <f>1000*M446/VLOOKUP(D446,'Normalised Rates'!$A$7:$B$12,2,FALSE)</f>
        <v>2.6666666666666666E-3</v>
      </c>
      <c r="M446" s="34">
        <v>5</v>
      </c>
    </row>
    <row r="447" spans="1:13" ht="15" customHeight="1" x14ac:dyDescent="0.25">
      <c r="A447" s="30" t="s">
        <v>138</v>
      </c>
      <c r="B447" s="30" t="s">
        <v>109</v>
      </c>
      <c r="C447" s="9" t="s">
        <v>67</v>
      </c>
      <c r="D447" s="32">
        <v>2023</v>
      </c>
      <c r="E447" s="35" t="s">
        <v>163</v>
      </c>
      <c r="F447" s="33">
        <f t="shared" si="14"/>
        <v>20</v>
      </c>
      <c r="G447" s="33">
        <f t="shared" si="14"/>
        <v>0</v>
      </c>
      <c r="H447" s="33">
        <f t="shared" si="14"/>
        <v>0</v>
      </c>
      <c r="I447" s="40">
        <f t="shared" si="13"/>
        <v>8.7489063867016627E-3</v>
      </c>
      <c r="J447" s="40">
        <f t="shared" si="13"/>
        <v>0</v>
      </c>
      <c r="K447" s="40">
        <f t="shared" si="13"/>
        <v>0</v>
      </c>
      <c r="L447" s="40">
        <f>1000*M447/VLOOKUP(D447,'Normalised Rates'!$A$7:$B$12,2,FALSE)</f>
        <v>8.7489063867016627E-3</v>
      </c>
      <c r="M447" s="34">
        <v>20</v>
      </c>
    </row>
    <row r="448" spans="1:13" ht="15" customHeight="1" x14ac:dyDescent="0.25">
      <c r="A448" s="30" t="s">
        <v>138</v>
      </c>
      <c r="B448" s="30" t="s">
        <v>109</v>
      </c>
      <c r="C448" s="9" t="s">
        <v>67</v>
      </c>
      <c r="D448" s="32">
        <v>2024</v>
      </c>
      <c r="E448" s="33" t="s">
        <v>34</v>
      </c>
      <c r="F448" s="33">
        <f t="shared" si="14"/>
        <v>0</v>
      </c>
      <c r="G448" s="33">
        <f t="shared" si="14"/>
        <v>0</v>
      </c>
      <c r="H448" s="33">
        <f t="shared" si="14"/>
        <v>2</v>
      </c>
      <c r="I448" s="40">
        <f t="shared" si="13"/>
        <v>0</v>
      </c>
      <c r="J448" s="40">
        <f t="shared" si="13"/>
        <v>0</v>
      </c>
      <c r="K448" s="40">
        <f t="shared" si="13"/>
        <v>7.4543421543048823E-4</v>
      </c>
      <c r="L448" s="40">
        <f>1000*M448/VLOOKUP(D448,'Normalised Rates'!$A$7:$B$12,2,FALSE)</f>
        <v>7.4543421543048823E-4</v>
      </c>
      <c r="M448" s="34">
        <v>2</v>
      </c>
    </row>
    <row r="449" spans="1:13" ht="15" customHeight="1" x14ac:dyDescent="0.25">
      <c r="A449" s="30" t="s">
        <v>138</v>
      </c>
      <c r="B449" s="30" t="s">
        <v>109</v>
      </c>
      <c r="C449" s="9" t="s">
        <v>67</v>
      </c>
      <c r="D449" s="32">
        <v>2024</v>
      </c>
      <c r="E449" s="35" t="s">
        <v>163</v>
      </c>
      <c r="F449" s="33">
        <f t="shared" si="14"/>
        <v>50</v>
      </c>
      <c r="G449" s="33">
        <f t="shared" si="14"/>
        <v>0</v>
      </c>
      <c r="H449" s="33">
        <f t="shared" si="14"/>
        <v>0</v>
      </c>
      <c r="I449" s="40">
        <f t="shared" si="13"/>
        <v>1.8635855385762207E-2</v>
      </c>
      <c r="J449" s="40">
        <f t="shared" si="13"/>
        <v>0</v>
      </c>
      <c r="K449" s="40">
        <f t="shared" si="13"/>
        <v>0</v>
      </c>
      <c r="L449" s="40">
        <f>1000*M449/VLOOKUP(D449,'Normalised Rates'!$A$7:$B$12,2,FALSE)</f>
        <v>1.8635855385762207E-2</v>
      </c>
      <c r="M449" s="34">
        <v>50</v>
      </c>
    </row>
    <row r="450" spans="1:13" ht="15" customHeight="1" x14ac:dyDescent="0.25">
      <c r="A450" s="30" t="s">
        <v>138</v>
      </c>
      <c r="B450" s="30" t="s">
        <v>109</v>
      </c>
      <c r="C450" s="9" t="s">
        <v>67</v>
      </c>
      <c r="D450" s="32">
        <v>2025</v>
      </c>
      <c r="E450" s="33" t="s">
        <v>34</v>
      </c>
      <c r="F450" s="33">
        <f t="shared" si="14"/>
        <v>0</v>
      </c>
      <c r="G450" s="33">
        <f t="shared" si="14"/>
        <v>0</v>
      </c>
      <c r="H450" s="33">
        <f t="shared" si="14"/>
        <v>10</v>
      </c>
      <c r="I450" s="40">
        <f t="shared" si="13"/>
        <v>0</v>
      </c>
      <c r="J450" s="40">
        <f t="shared" si="13"/>
        <v>0</v>
      </c>
      <c r="K450" s="40">
        <f t="shared" si="13"/>
        <v>3.171582619727244E-3</v>
      </c>
      <c r="L450" s="40">
        <f>1000*M450/VLOOKUP(D450,'Normalised Rates'!$A$7:$B$12,2,FALSE)</f>
        <v>3.171582619727244E-3</v>
      </c>
      <c r="M450" s="34">
        <v>10</v>
      </c>
    </row>
    <row r="451" spans="1:13" ht="15" customHeight="1" x14ac:dyDescent="0.25">
      <c r="A451" s="30" t="s">
        <v>138</v>
      </c>
      <c r="B451" s="30" t="s">
        <v>109</v>
      </c>
      <c r="C451" s="9" t="s">
        <v>67</v>
      </c>
      <c r="D451" s="32">
        <v>2025</v>
      </c>
      <c r="E451" s="35" t="s">
        <v>163</v>
      </c>
      <c r="F451" s="33">
        <f t="shared" si="14"/>
        <v>10</v>
      </c>
      <c r="G451" s="33">
        <f t="shared" si="14"/>
        <v>0</v>
      </c>
      <c r="H451" s="33">
        <f t="shared" si="14"/>
        <v>0</v>
      </c>
      <c r="I451" s="40">
        <f t="shared" si="13"/>
        <v>3.171582619727244E-3</v>
      </c>
      <c r="J451" s="40">
        <f t="shared" si="13"/>
        <v>0</v>
      </c>
      <c r="K451" s="40">
        <f t="shared" si="13"/>
        <v>0</v>
      </c>
      <c r="L451" s="40">
        <f>1000*M451/VLOOKUP(D451,'Normalised Rates'!$A$7:$B$12,2,FALSE)</f>
        <v>3.171582619727244E-3</v>
      </c>
      <c r="M451" s="34">
        <v>10</v>
      </c>
    </row>
    <row r="452" spans="1:13" ht="15" customHeight="1" x14ac:dyDescent="0.25">
      <c r="A452" s="30" t="s">
        <v>138</v>
      </c>
      <c r="B452" s="30" t="s">
        <v>109</v>
      </c>
      <c r="C452" s="9" t="s">
        <v>67</v>
      </c>
      <c r="D452" s="32">
        <v>2026</v>
      </c>
      <c r="E452" s="33" t="s">
        <v>34</v>
      </c>
      <c r="F452" s="33">
        <f t="shared" si="14"/>
        <v>0</v>
      </c>
      <c r="G452" s="33">
        <f t="shared" si="14"/>
        <v>0</v>
      </c>
      <c r="H452" s="33">
        <f t="shared" si="14"/>
        <v>3</v>
      </c>
      <c r="I452" s="40">
        <f t="shared" si="13"/>
        <v>0</v>
      </c>
      <c r="J452" s="40">
        <f t="shared" si="13"/>
        <v>0</v>
      </c>
      <c r="K452" s="40">
        <f t="shared" si="13"/>
        <v>2.2835394862036158E-3</v>
      </c>
      <c r="L452" s="40">
        <f>1000*M452/VLOOKUP(D452,'Normalised Rates'!$A$7:$B$12,2,FALSE)</f>
        <v>2.2835394862036158E-3</v>
      </c>
      <c r="M452" s="34">
        <v>3</v>
      </c>
    </row>
    <row r="453" spans="1:13" ht="15" customHeight="1" x14ac:dyDescent="0.25">
      <c r="A453" s="30" t="s">
        <v>138</v>
      </c>
      <c r="B453" s="30" t="s">
        <v>109</v>
      </c>
      <c r="C453" s="9" t="s">
        <v>67</v>
      </c>
      <c r="D453" s="32">
        <v>2026</v>
      </c>
      <c r="E453" s="35" t="s">
        <v>163</v>
      </c>
      <c r="F453" s="33">
        <f t="shared" si="14"/>
        <v>1</v>
      </c>
      <c r="G453" s="33">
        <f t="shared" si="14"/>
        <v>0</v>
      </c>
      <c r="H453" s="33">
        <f t="shared" si="14"/>
        <v>0</v>
      </c>
      <c r="I453" s="40">
        <f t="shared" si="13"/>
        <v>7.6117982873453852E-4</v>
      </c>
      <c r="J453" s="40">
        <f t="shared" si="13"/>
        <v>0</v>
      </c>
      <c r="K453" s="40">
        <f t="shared" si="13"/>
        <v>0</v>
      </c>
      <c r="L453" s="40">
        <f>1000*M453/VLOOKUP(D453,'Normalised Rates'!$A$7:$B$12,2,FALSE)</f>
        <v>7.6117982873453852E-4</v>
      </c>
      <c r="M453" s="34">
        <v>1</v>
      </c>
    </row>
    <row r="454" spans="1:13" ht="15" customHeight="1" x14ac:dyDescent="0.25">
      <c r="A454" s="30" t="s">
        <v>138</v>
      </c>
      <c r="B454" s="30" t="s">
        <v>107</v>
      </c>
      <c r="C454" s="9" t="s">
        <v>67</v>
      </c>
      <c r="D454" s="32">
        <v>2022</v>
      </c>
      <c r="E454" s="35" t="s">
        <v>163</v>
      </c>
      <c r="F454" s="33">
        <f t="shared" si="14"/>
        <v>2</v>
      </c>
      <c r="G454" s="33">
        <f t="shared" si="14"/>
        <v>0</v>
      </c>
      <c r="H454" s="33">
        <f t="shared" si="14"/>
        <v>0</v>
      </c>
      <c r="I454" s="40">
        <f t="shared" si="13"/>
        <v>1.0666666666666667E-3</v>
      </c>
      <c r="J454" s="40">
        <f t="shared" si="13"/>
        <v>0</v>
      </c>
      <c r="K454" s="40">
        <f t="shared" si="13"/>
        <v>0</v>
      </c>
      <c r="L454" s="40">
        <f>1000*M454/VLOOKUP(D454,'Normalised Rates'!$A$7:$B$12,2,FALSE)</f>
        <v>1.0666666666666667E-3</v>
      </c>
      <c r="M454" s="34">
        <v>2</v>
      </c>
    </row>
    <row r="455" spans="1:13" ht="15" customHeight="1" x14ac:dyDescent="0.25">
      <c r="A455" s="30" t="s">
        <v>138</v>
      </c>
      <c r="B455" s="30" t="s">
        <v>107</v>
      </c>
      <c r="C455" s="9" t="s">
        <v>67</v>
      </c>
      <c r="D455" s="32">
        <v>2023</v>
      </c>
      <c r="E455" s="33" t="s">
        <v>34</v>
      </c>
      <c r="F455" s="33">
        <f t="shared" si="14"/>
        <v>0</v>
      </c>
      <c r="G455" s="33">
        <f t="shared" si="14"/>
        <v>0</v>
      </c>
      <c r="H455" s="33">
        <f t="shared" si="14"/>
        <v>1</v>
      </c>
      <c r="I455" s="40">
        <f t="shared" ref="I455:K518" si="15">IF(_xlfn.CONCAT($E455,"%")=I$5,$L455,0)</f>
        <v>0</v>
      </c>
      <c r="J455" s="40">
        <f t="shared" si="15"/>
        <v>0</v>
      </c>
      <c r="K455" s="40">
        <f t="shared" si="15"/>
        <v>4.3744531933508313E-4</v>
      </c>
      <c r="L455" s="40">
        <f>1000*M455/VLOOKUP(D455,'Normalised Rates'!$A$7:$B$12,2,FALSE)</f>
        <v>4.3744531933508313E-4</v>
      </c>
      <c r="M455" s="34">
        <v>1</v>
      </c>
    </row>
    <row r="456" spans="1:13" ht="15" customHeight="1" x14ac:dyDescent="0.25">
      <c r="A456" s="30" t="s">
        <v>138</v>
      </c>
      <c r="B456" s="30" t="s">
        <v>107</v>
      </c>
      <c r="C456" s="9" t="s">
        <v>67</v>
      </c>
      <c r="D456" s="32">
        <v>2023</v>
      </c>
      <c r="E456" s="35" t="s">
        <v>163</v>
      </c>
      <c r="F456" s="33">
        <f t="shared" si="14"/>
        <v>17</v>
      </c>
      <c r="G456" s="33">
        <f t="shared" si="14"/>
        <v>0</v>
      </c>
      <c r="H456" s="33">
        <f t="shared" si="14"/>
        <v>0</v>
      </c>
      <c r="I456" s="40">
        <f t="shared" si="15"/>
        <v>7.4365704286964126E-3</v>
      </c>
      <c r="J456" s="40">
        <f t="shared" si="15"/>
        <v>0</v>
      </c>
      <c r="K456" s="40">
        <f t="shared" si="15"/>
        <v>0</v>
      </c>
      <c r="L456" s="40">
        <f>1000*M456/VLOOKUP(D456,'Normalised Rates'!$A$7:$B$12,2,FALSE)</f>
        <v>7.4365704286964126E-3</v>
      </c>
      <c r="M456" s="34">
        <v>17</v>
      </c>
    </row>
    <row r="457" spans="1:13" ht="15" customHeight="1" x14ac:dyDescent="0.25">
      <c r="A457" s="30" t="s">
        <v>138</v>
      </c>
      <c r="B457" s="30" t="s">
        <v>107</v>
      </c>
      <c r="C457" s="9" t="s">
        <v>67</v>
      </c>
      <c r="D457" s="32">
        <v>2024</v>
      </c>
      <c r="E457" s="33" t="s">
        <v>34</v>
      </c>
      <c r="F457" s="33">
        <f t="shared" ref="F457:H520" si="16">IF($E457=F$5,$M457,0)</f>
        <v>0</v>
      </c>
      <c r="G457" s="33">
        <f t="shared" si="16"/>
        <v>0</v>
      </c>
      <c r="H457" s="33">
        <f t="shared" si="16"/>
        <v>2</v>
      </c>
      <c r="I457" s="40">
        <f t="shared" si="15"/>
        <v>0</v>
      </c>
      <c r="J457" s="40">
        <f t="shared" si="15"/>
        <v>0</v>
      </c>
      <c r="K457" s="40">
        <f t="shared" si="15"/>
        <v>7.4543421543048823E-4</v>
      </c>
      <c r="L457" s="40">
        <f>1000*M457/VLOOKUP(D457,'Normalised Rates'!$A$7:$B$12,2,FALSE)</f>
        <v>7.4543421543048823E-4</v>
      </c>
      <c r="M457" s="34">
        <v>2</v>
      </c>
    </row>
    <row r="458" spans="1:13" ht="15" customHeight="1" x14ac:dyDescent="0.25">
      <c r="A458" s="30" t="s">
        <v>138</v>
      </c>
      <c r="B458" s="30" t="s">
        <v>107</v>
      </c>
      <c r="C458" s="9" t="s">
        <v>67</v>
      </c>
      <c r="D458" s="32">
        <v>2024</v>
      </c>
      <c r="E458" s="35" t="s">
        <v>163</v>
      </c>
      <c r="F458" s="33">
        <f t="shared" si="16"/>
        <v>16</v>
      </c>
      <c r="G458" s="33">
        <f t="shared" si="16"/>
        <v>0</v>
      </c>
      <c r="H458" s="33">
        <f t="shared" si="16"/>
        <v>0</v>
      </c>
      <c r="I458" s="40">
        <f t="shared" si="15"/>
        <v>5.9634737234439059E-3</v>
      </c>
      <c r="J458" s="40">
        <f t="shared" si="15"/>
        <v>0</v>
      </c>
      <c r="K458" s="40">
        <f t="shared" si="15"/>
        <v>0</v>
      </c>
      <c r="L458" s="40">
        <f>1000*M458/VLOOKUP(D458,'Normalised Rates'!$A$7:$B$12,2,FALSE)</f>
        <v>5.9634737234439059E-3</v>
      </c>
      <c r="M458" s="34">
        <v>16</v>
      </c>
    </row>
    <row r="459" spans="1:13" ht="15" customHeight="1" x14ac:dyDescent="0.25">
      <c r="A459" s="30" t="s">
        <v>138</v>
      </c>
      <c r="B459" s="30" t="s">
        <v>107</v>
      </c>
      <c r="C459" s="9" t="s">
        <v>67</v>
      </c>
      <c r="D459" s="32">
        <v>2025</v>
      </c>
      <c r="E459" s="33" t="s">
        <v>34</v>
      </c>
      <c r="F459" s="33">
        <f t="shared" si="16"/>
        <v>0</v>
      </c>
      <c r="G459" s="33">
        <f t="shared" si="16"/>
        <v>0</v>
      </c>
      <c r="H459" s="33">
        <f t="shared" si="16"/>
        <v>10</v>
      </c>
      <c r="I459" s="40">
        <f t="shared" si="15"/>
        <v>0</v>
      </c>
      <c r="J459" s="40">
        <f t="shared" si="15"/>
        <v>0</v>
      </c>
      <c r="K459" s="40">
        <f t="shared" si="15"/>
        <v>3.171582619727244E-3</v>
      </c>
      <c r="L459" s="40">
        <f>1000*M459/VLOOKUP(D459,'Normalised Rates'!$A$7:$B$12,2,FALSE)</f>
        <v>3.171582619727244E-3</v>
      </c>
      <c r="M459" s="34">
        <v>10</v>
      </c>
    </row>
    <row r="460" spans="1:13" ht="15" customHeight="1" x14ac:dyDescent="0.25">
      <c r="A460" s="30" t="s">
        <v>138</v>
      </c>
      <c r="B460" s="30" t="s">
        <v>107</v>
      </c>
      <c r="C460" s="9" t="s">
        <v>67</v>
      </c>
      <c r="D460" s="32">
        <v>2025</v>
      </c>
      <c r="E460" s="35" t="s">
        <v>163</v>
      </c>
      <c r="F460" s="33">
        <f t="shared" si="16"/>
        <v>46</v>
      </c>
      <c r="G460" s="33">
        <f t="shared" si="16"/>
        <v>0</v>
      </c>
      <c r="H460" s="33">
        <f t="shared" si="16"/>
        <v>0</v>
      </c>
      <c r="I460" s="40">
        <f t="shared" si="15"/>
        <v>1.4589280050745322E-2</v>
      </c>
      <c r="J460" s="40">
        <f t="shared" si="15"/>
        <v>0</v>
      </c>
      <c r="K460" s="40">
        <f t="shared" si="15"/>
        <v>0</v>
      </c>
      <c r="L460" s="40">
        <f>1000*M460/VLOOKUP(D460,'Normalised Rates'!$A$7:$B$12,2,FALSE)</f>
        <v>1.4589280050745322E-2</v>
      </c>
      <c r="M460" s="34">
        <v>46</v>
      </c>
    </row>
    <row r="461" spans="1:13" ht="15" customHeight="1" x14ac:dyDescent="0.25">
      <c r="A461" s="30" t="s">
        <v>138</v>
      </c>
      <c r="B461" s="30" t="s">
        <v>69</v>
      </c>
      <c r="C461" s="9" t="s">
        <v>67</v>
      </c>
      <c r="D461" s="32">
        <v>2022</v>
      </c>
      <c r="E461" s="33" t="s">
        <v>34</v>
      </c>
      <c r="F461" s="33">
        <f t="shared" si="16"/>
        <v>0</v>
      </c>
      <c r="G461" s="33">
        <f t="shared" si="16"/>
        <v>0</v>
      </c>
      <c r="H461" s="33">
        <f t="shared" si="16"/>
        <v>2</v>
      </c>
      <c r="I461" s="40">
        <f t="shared" si="15"/>
        <v>0</v>
      </c>
      <c r="J461" s="40">
        <f t="shared" si="15"/>
        <v>0</v>
      </c>
      <c r="K461" s="40">
        <f t="shared" si="15"/>
        <v>1.0666666666666667E-3</v>
      </c>
      <c r="L461" s="40">
        <f>1000*M461/VLOOKUP(D461,'Normalised Rates'!$A$7:$B$12,2,FALSE)</f>
        <v>1.0666666666666667E-3</v>
      </c>
      <c r="M461" s="34">
        <v>2</v>
      </c>
    </row>
    <row r="462" spans="1:13" ht="15" customHeight="1" x14ac:dyDescent="0.25">
      <c r="A462" s="30" t="s">
        <v>138</v>
      </c>
      <c r="B462" s="30" t="s">
        <v>69</v>
      </c>
      <c r="C462" s="9" t="s">
        <v>67</v>
      </c>
      <c r="D462" s="32">
        <v>2022</v>
      </c>
      <c r="E462" s="35" t="s">
        <v>163</v>
      </c>
      <c r="F462" s="33">
        <f t="shared" si="16"/>
        <v>3</v>
      </c>
      <c r="G462" s="33">
        <f t="shared" si="16"/>
        <v>0</v>
      </c>
      <c r="H462" s="33">
        <f t="shared" si="16"/>
        <v>0</v>
      </c>
      <c r="I462" s="40">
        <f t="shared" si="15"/>
        <v>1.6000000000000001E-3</v>
      </c>
      <c r="J462" s="40">
        <f t="shared" si="15"/>
        <v>0</v>
      </c>
      <c r="K462" s="40">
        <f t="shared" si="15"/>
        <v>0</v>
      </c>
      <c r="L462" s="40">
        <f>1000*M462/VLOOKUP(D462,'Normalised Rates'!$A$7:$B$12,2,FALSE)</f>
        <v>1.6000000000000001E-3</v>
      </c>
      <c r="M462" s="34">
        <v>3</v>
      </c>
    </row>
    <row r="463" spans="1:13" ht="15" customHeight="1" x14ac:dyDescent="0.25">
      <c r="A463" s="30" t="s">
        <v>138</v>
      </c>
      <c r="B463" s="30" t="s">
        <v>69</v>
      </c>
      <c r="C463" s="9" t="s">
        <v>67</v>
      </c>
      <c r="D463" s="32">
        <v>2023</v>
      </c>
      <c r="E463" s="33" t="s">
        <v>34</v>
      </c>
      <c r="F463" s="33">
        <f t="shared" si="16"/>
        <v>0</v>
      </c>
      <c r="G463" s="33">
        <f t="shared" si="16"/>
        <v>0</v>
      </c>
      <c r="H463" s="33">
        <f t="shared" si="16"/>
        <v>4</v>
      </c>
      <c r="I463" s="40">
        <f t="shared" si="15"/>
        <v>0</v>
      </c>
      <c r="J463" s="40">
        <f t="shared" si="15"/>
        <v>0</v>
      </c>
      <c r="K463" s="40">
        <f t="shared" si="15"/>
        <v>1.7497812773403325E-3</v>
      </c>
      <c r="L463" s="40">
        <f>1000*M463/VLOOKUP(D463,'Normalised Rates'!$A$7:$B$12,2,FALSE)</f>
        <v>1.7497812773403325E-3</v>
      </c>
      <c r="M463" s="34">
        <v>4</v>
      </c>
    </row>
    <row r="464" spans="1:13" ht="15" customHeight="1" x14ac:dyDescent="0.25">
      <c r="A464" s="30" t="s">
        <v>138</v>
      </c>
      <c r="B464" s="30" t="s">
        <v>69</v>
      </c>
      <c r="C464" s="9" t="s">
        <v>67</v>
      </c>
      <c r="D464" s="32">
        <v>2023</v>
      </c>
      <c r="E464" s="35" t="s">
        <v>163</v>
      </c>
      <c r="F464" s="33">
        <f t="shared" si="16"/>
        <v>5</v>
      </c>
      <c r="G464" s="33">
        <f t="shared" si="16"/>
        <v>0</v>
      </c>
      <c r="H464" s="33">
        <f t="shared" si="16"/>
        <v>0</v>
      </c>
      <c r="I464" s="40">
        <f t="shared" si="15"/>
        <v>2.1872265966754157E-3</v>
      </c>
      <c r="J464" s="40">
        <f t="shared" si="15"/>
        <v>0</v>
      </c>
      <c r="K464" s="40">
        <f t="shared" si="15"/>
        <v>0</v>
      </c>
      <c r="L464" s="40">
        <f>1000*M464/VLOOKUP(D464,'Normalised Rates'!$A$7:$B$12,2,FALSE)</f>
        <v>2.1872265966754157E-3</v>
      </c>
      <c r="M464" s="34">
        <v>5</v>
      </c>
    </row>
    <row r="465" spans="1:13" ht="15" customHeight="1" x14ac:dyDescent="0.25">
      <c r="A465" s="30" t="s">
        <v>138</v>
      </c>
      <c r="B465" s="30" t="s">
        <v>69</v>
      </c>
      <c r="C465" s="9" t="s">
        <v>67</v>
      </c>
      <c r="D465" s="32">
        <v>2024</v>
      </c>
      <c r="E465" s="33" t="s">
        <v>34</v>
      </c>
      <c r="F465" s="33">
        <f t="shared" si="16"/>
        <v>0</v>
      </c>
      <c r="G465" s="33">
        <f t="shared" si="16"/>
        <v>0</v>
      </c>
      <c r="H465" s="33">
        <f t="shared" si="16"/>
        <v>24</v>
      </c>
      <c r="I465" s="40">
        <f t="shared" si="15"/>
        <v>0</v>
      </c>
      <c r="J465" s="40">
        <f t="shared" si="15"/>
        <v>0</v>
      </c>
      <c r="K465" s="40">
        <f t="shared" si="15"/>
        <v>8.9452105851658588E-3</v>
      </c>
      <c r="L465" s="40">
        <f>1000*M465/VLOOKUP(D465,'Normalised Rates'!$A$7:$B$12,2,FALSE)</f>
        <v>8.9452105851658588E-3</v>
      </c>
      <c r="M465" s="34">
        <v>24</v>
      </c>
    </row>
    <row r="466" spans="1:13" ht="15" customHeight="1" x14ac:dyDescent="0.25">
      <c r="A466" s="30" t="s">
        <v>138</v>
      </c>
      <c r="B466" s="30" t="s">
        <v>69</v>
      </c>
      <c r="C466" s="9" t="s">
        <v>67</v>
      </c>
      <c r="D466" s="32">
        <v>2024</v>
      </c>
      <c r="E466" s="35" t="s">
        <v>163</v>
      </c>
      <c r="F466" s="33">
        <f t="shared" si="16"/>
        <v>11</v>
      </c>
      <c r="G466" s="33">
        <f t="shared" si="16"/>
        <v>0</v>
      </c>
      <c r="H466" s="33">
        <f t="shared" si="16"/>
        <v>0</v>
      </c>
      <c r="I466" s="40">
        <f t="shared" si="15"/>
        <v>4.0998881848676857E-3</v>
      </c>
      <c r="J466" s="40">
        <f t="shared" si="15"/>
        <v>0</v>
      </c>
      <c r="K466" s="40">
        <f t="shared" si="15"/>
        <v>0</v>
      </c>
      <c r="L466" s="40">
        <f>1000*M466/VLOOKUP(D466,'Normalised Rates'!$A$7:$B$12,2,FALSE)</f>
        <v>4.0998881848676857E-3</v>
      </c>
      <c r="M466" s="34">
        <v>11</v>
      </c>
    </row>
    <row r="467" spans="1:13" ht="15" customHeight="1" x14ac:dyDescent="0.25">
      <c r="A467" s="30" t="s">
        <v>138</v>
      </c>
      <c r="B467" s="30" t="s">
        <v>69</v>
      </c>
      <c r="C467" s="9" t="s">
        <v>67</v>
      </c>
      <c r="D467" s="32">
        <v>2025</v>
      </c>
      <c r="E467" s="33" t="s">
        <v>34</v>
      </c>
      <c r="F467" s="33">
        <f t="shared" si="16"/>
        <v>0</v>
      </c>
      <c r="G467" s="33">
        <f t="shared" si="16"/>
        <v>0</v>
      </c>
      <c r="H467" s="33">
        <f t="shared" si="16"/>
        <v>27</v>
      </c>
      <c r="I467" s="40">
        <f t="shared" si="15"/>
        <v>0</v>
      </c>
      <c r="J467" s="40">
        <f t="shared" si="15"/>
        <v>0</v>
      </c>
      <c r="K467" s="40">
        <f t="shared" si="15"/>
        <v>8.5632730732635581E-3</v>
      </c>
      <c r="L467" s="40">
        <f>1000*M467/VLOOKUP(D467,'Normalised Rates'!$A$7:$B$12,2,FALSE)</f>
        <v>8.5632730732635581E-3</v>
      </c>
      <c r="M467" s="34">
        <v>27</v>
      </c>
    </row>
    <row r="468" spans="1:13" ht="15" customHeight="1" x14ac:dyDescent="0.25">
      <c r="A468" s="30" t="s">
        <v>138</v>
      </c>
      <c r="B468" s="30" t="s">
        <v>69</v>
      </c>
      <c r="C468" s="9" t="s">
        <v>67</v>
      </c>
      <c r="D468" s="32">
        <v>2025</v>
      </c>
      <c r="E468" s="35" t="s">
        <v>163</v>
      </c>
      <c r="F468" s="33">
        <f t="shared" si="16"/>
        <v>3</v>
      </c>
      <c r="G468" s="33">
        <f t="shared" si="16"/>
        <v>0</v>
      </c>
      <c r="H468" s="33">
        <f t="shared" si="16"/>
        <v>0</v>
      </c>
      <c r="I468" s="40">
        <f t="shared" si="15"/>
        <v>9.5147478591817321E-4</v>
      </c>
      <c r="J468" s="40">
        <f t="shared" si="15"/>
        <v>0</v>
      </c>
      <c r="K468" s="40">
        <f t="shared" si="15"/>
        <v>0</v>
      </c>
      <c r="L468" s="40">
        <f>1000*M468/VLOOKUP(D468,'Normalised Rates'!$A$7:$B$12,2,FALSE)</f>
        <v>9.5147478591817321E-4</v>
      </c>
      <c r="M468" s="34">
        <v>3</v>
      </c>
    </row>
    <row r="469" spans="1:13" ht="15" customHeight="1" x14ac:dyDescent="0.25">
      <c r="A469" s="30" t="s">
        <v>138</v>
      </c>
      <c r="B469" s="30" t="s">
        <v>69</v>
      </c>
      <c r="C469" s="9" t="s">
        <v>67</v>
      </c>
      <c r="D469" s="32">
        <v>2026</v>
      </c>
      <c r="E469" s="33" t="s">
        <v>34</v>
      </c>
      <c r="F469" s="33">
        <f t="shared" si="16"/>
        <v>0</v>
      </c>
      <c r="G469" s="33">
        <f t="shared" si="16"/>
        <v>0</v>
      </c>
      <c r="H469" s="33">
        <f t="shared" si="16"/>
        <v>5</v>
      </c>
      <c r="I469" s="40">
        <f t="shared" si="15"/>
        <v>0</v>
      </c>
      <c r="J469" s="40">
        <f t="shared" si="15"/>
        <v>0</v>
      </c>
      <c r="K469" s="40">
        <f t="shared" si="15"/>
        <v>3.8058991436726928E-3</v>
      </c>
      <c r="L469" s="40">
        <f>1000*M469/VLOOKUP(D469,'Normalised Rates'!$A$7:$B$12,2,FALSE)</f>
        <v>3.8058991436726928E-3</v>
      </c>
      <c r="M469" s="34">
        <v>5</v>
      </c>
    </row>
    <row r="470" spans="1:13" ht="15" customHeight="1" x14ac:dyDescent="0.25">
      <c r="A470" s="30" t="s">
        <v>138</v>
      </c>
      <c r="B470" s="30" t="s">
        <v>69</v>
      </c>
      <c r="C470" s="9" t="s">
        <v>67</v>
      </c>
      <c r="D470" s="32">
        <v>2026</v>
      </c>
      <c r="E470" s="35" t="s">
        <v>163</v>
      </c>
      <c r="F470" s="33">
        <f t="shared" si="16"/>
        <v>1</v>
      </c>
      <c r="G470" s="33">
        <f t="shared" si="16"/>
        <v>0</v>
      </c>
      <c r="H470" s="33">
        <f t="shared" si="16"/>
        <v>0</v>
      </c>
      <c r="I470" s="40">
        <f t="shared" si="15"/>
        <v>7.6117982873453852E-4</v>
      </c>
      <c r="J470" s="40">
        <f t="shared" si="15"/>
        <v>0</v>
      </c>
      <c r="K470" s="40">
        <f t="shared" si="15"/>
        <v>0</v>
      </c>
      <c r="L470" s="40">
        <f>1000*M470/VLOOKUP(D470,'Normalised Rates'!$A$7:$B$12,2,FALSE)</f>
        <v>7.6117982873453852E-4</v>
      </c>
      <c r="M470" s="34">
        <v>1</v>
      </c>
    </row>
    <row r="471" spans="1:13" ht="15" customHeight="1" x14ac:dyDescent="0.25">
      <c r="A471" s="30" t="s">
        <v>138</v>
      </c>
      <c r="B471" s="30" t="s">
        <v>96</v>
      </c>
      <c r="C471" s="9" t="s">
        <v>67</v>
      </c>
      <c r="D471" s="32">
        <v>2023</v>
      </c>
      <c r="E471" s="33" t="s">
        <v>34</v>
      </c>
      <c r="F471" s="33">
        <f t="shared" si="16"/>
        <v>0</v>
      </c>
      <c r="G471" s="33">
        <f t="shared" si="16"/>
        <v>0</v>
      </c>
      <c r="H471" s="33">
        <f t="shared" si="16"/>
        <v>4</v>
      </c>
      <c r="I471" s="40">
        <f t="shared" si="15"/>
        <v>0</v>
      </c>
      <c r="J471" s="40">
        <f t="shared" si="15"/>
        <v>0</v>
      </c>
      <c r="K471" s="40">
        <f t="shared" si="15"/>
        <v>1.7497812773403325E-3</v>
      </c>
      <c r="L471" s="40">
        <f>1000*M471/VLOOKUP(D471,'Normalised Rates'!$A$7:$B$12,2,FALSE)</f>
        <v>1.7497812773403325E-3</v>
      </c>
      <c r="M471" s="34">
        <v>4</v>
      </c>
    </row>
    <row r="472" spans="1:13" ht="15" customHeight="1" x14ac:dyDescent="0.25">
      <c r="A472" s="30" t="s">
        <v>138</v>
      </c>
      <c r="B472" s="30" t="s">
        <v>96</v>
      </c>
      <c r="C472" s="9" t="s">
        <v>67</v>
      </c>
      <c r="D472" s="32">
        <v>2023</v>
      </c>
      <c r="E472" s="35" t="s">
        <v>163</v>
      </c>
      <c r="F472" s="33">
        <f t="shared" si="16"/>
        <v>4</v>
      </c>
      <c r="G472" s="33">
        <f t="shared" si="16"/>
        <v>0</v>
      </c>
      <c r="H472" s="33">
        <f t="shared" si="16"/>
        <v>0</v>
      </c>
      <c r="I472" s="40">
        <f t="shared" si="15"/>
        <v>1.7497812773403325E-3</v>
      </c>
      <c r="J472" s="40">
        <f t="shared" si="15"/>
        <v>0</v>
      </c>
      <c r="K472" s="40">
        <f t="shared" si="15"/>
        <v>0</v>
      </c>
      <c r="L472" s="40">
        <f>1000*M472/VLOOKUP(D472,'Normalised Rates'!$A$7:$B$12,2,FALSE)</f>
        <v>1.7497812773403325E-3</v>
      </c>
      <c r="M472" s="34">
        <v>4</v>
      </c>
    </row>
    <row r="473" spans="1:13" ht="15" customHeight="1" x14ac:dyDescent="0.25">
      <c r="A473" s="30" t="s">
        <v>138</v>
      </c>
      <c r="B473" s="30" t="s">
        <v>96</v>
      </c>
      <c r="C473" s="9" t="s">
        <v>67</v>
      </c>
      <c r="D473" s="32">
        <v>2024</v>
      </c>
      <c r="E473" s="33" t="s">
        <v>34</v>
      </c>
      <c r="F473" s="33">
        <f t="shared" si="16"/>
        <v>0</v>
      </c>
      <c r="G473" s="33">
        <f t="shared" si="16"/>
        <v>0</v>
      </c>
      <c r="H473" s="33">
        <f t="shared" si="16"/>
        <v>4</v>
      </c>
      <c r="I473" s="40">
        <f t="shared" si="15"/>
        <v>0</v>
      </c>
      <c r="J473" s="40">
        <f t="shared" si="15"/>
        <v>0</v>
      </c>
      <c r="K473" s="40">
        <f t="shared" si="15"/>
        <v>1.4908684308609765E-3</v>
      </c>
      <c r="L473" s="40">
        <f>1000*M473/VLOOKUP(D473,'Normalised Rates'!$A$7:$B$12,2,FALSE)</f>
        <v>1.4908684308609765E-3</v>
      </c>
      <c r="M473" s="34">
        <v>4</v>
      </c>
    </row>
    <row r="474" spans="1:13" ht="15" customHeight="1" x14ac:dyDescent="0.25">
      <c r="A474" s="30" t="s">
        <v>138</v>
      </c>
      <c r="B474" s="30" t="s">
        <v>96</v>
      </c>
      <c r="C474" s="9" t="s">
        <v>67</v>
      </c>
      <c r="D474" s="32">
        <v>2024</v>
      </c>
      <c r="E474" s="35" t="s">
        <v>163</v>
      </c>
      <c r="F474" s="33">
        <f t="shared" si="16"/>
        <v>3</v>
      </c>
      <c r="G474" s="33">
        <f t="shared" si="16"/>
        <v>0</v>
      </c>
      <c r="H474" s="33">
        <f t="shared" si="16"/>
        <v>0</v>
      </c>
      <c r="I474" s="40">
        <f t="shared" si="15"/>
        <v>1.1181513231457323E-3</v>
      </c>
      <c r="J474" s="40">
        <f t="shared" si="15"/>
        <v>0</v>
      </c>
      <c r="K474" s="40">
        <f t="shared" si="15"/>
        <v>0</v>
      </c>
      <c r="L474" s="40">
        <f>1000*M474/VLOOKUP(D474,'Normalised Rates'!$A$7:$B$12,2,FALSE)</f>
        <v>1.1181513231457323E-3</v>
      </c>
      <c r="M474" s="34">
        <v>3</v>
      </c>
    </row>
    <row r="475" spans="1:13" ht="15" customHeight="1" x14ac:dyDescent="0.25">
      <c r="A475" s="30" t="s">
        <v>138</v>
      </c>
      <c r="B475" s="30" t="s">
        <v>96</v>
      </c>
      <c r="C475" s="9" t="s">
        <v>67</v>
      </c>
      <c r="D475" s="32">
        <v>2025</v>
      </c>
      <c r="E475" s="33" t="s">
        <v>34</v>
      </c>
      <c r="F475" s="33">
        <f t="shared" si="16"/>
        <v>0</v>
      </c>
      <c r="G475" s="33">
        <f t="shared" si="16"/>
        <v>0</v>
      </c>
      <c r="H475" s="33">
        <f t="shared" si="16"/>
        <v>11</v>
      </c>
      <c r="I475" s="40">
        <f t="shared" si="15"/>
        <v>0</v>
      </c>
      <c r="J475" s="40">
        <f t="shared" si="15"/>
        <v>0</v>
      </c>
      <c r="K475" s="40">
        <f t="shared" si="15"/>
        <v>3.4887408816999684E-3</v>
      </c>
      <c r="L475" s="40">
        <f>1000*M475/VLOOKUP(D475,'Normalised Rates'!$A$7:$B$12,2,FALSE)</f>
        <v>3.4887408816999684E-3</v>
      </c>
      <c r="M475" s="34">
        <v>11</v>
      </c>
    </row>
    <row r="476" spans="1:13" ht="15" customHeight="1" x14ac:dyDescent="0.25">
      <c r="A476" s="30" t="s">
        <v>138</v>
      </c>
      <c r="B476" s="30" t="s">
        <v>96</v>
      </c>
      <c r="C476" s="9" t="s">
        <v>67</v>
      </c>
      <c r="D476" s="32">
        <v>2025</v>
      </c>
      <c r="E476" s="35" t="s">
        <v>163</v>
      </c>
      <c r="F476" s="33">
        <f t="shared" si="16"/>
        <v>4</v>
      </c>
      <c r="G476" s="33">
        <f t="shared" si="16"/>
        <v>0</v>
      </c>
      <c r="H476" s="33">
        <f t="shared" si="16"/>
        <v>0</v>
      </c>
      <c r="I476" s="40">
        <f t="shared" si="15"/>
        <v>1.2686330478908975E-3</v>
      </c>
      <c r="J476" s="40">
        <f t="shared" si="15"/>
        <v>0</v>
      </c>
      <c r="K476" s="40">
        <f t="shared" si="15"/>
        <v>0</v>
      </c>
      <c r="L476" s="40">
        <f>1000*M476/VLOOKUP(D476,'Normalised Rates'!$A$7:$B$12,2,FALSE)</f>
        <v>1.2686330478908975E-3</v>
      </c>
      <c r="M476" s="34">
        <v>4</v>
      </c>
    </row>
    <row r="477" spans="1:13" ht="15" customHeight="1" x14ac:dyDescent="0.25">
      <c r="A477" s="30" t="s">
        <v>138</v>
      </c>
      <c r="B477" s="30" t="s">
        <v>96</v>
      </c>
      <c r="C477" s="9" t="s">
        <v>67</v>
      </c>
      <c r="D477" s="32">
        <v>2026</v>
      </c>
      <c r="E477" s="33" t="s">
        <v>34</v>
      </c>
      <c r="F477" s="33">
        <f t="shared" si="16"/>
        <v>0</v>
      </c>
      <c r="G477" s="33">
        <f t="shared" si="16"/>
        <v>0</v>
      </c>
      <c r="H477" s="33">
        <f t="shared" si="16"/>
        <v>6</v>
      </c>
      <c r="I477" s="40">
        <f t="shared" si="15"/>
        <v>0</v>
      </c>
      <c r="J477" s="40">
        <f t="shared" si="15"/>
        <v>0</v>
      </c>
      <c r="K477" s="40">
        <f t="shared" si="15"/>
        <v>4.5670789724072316E-3</v>
      </c>
      <c r="L477" s="40">
        <f>1000*M477/VLOOKUP(D477,'Normalised Rates'!$A$7:$B$12,2,FALSE)</f>
        <v>4.5670789724072316E-3</v>
      </c>
      <c r="M477" s="34">
        <v>6</v>
      </c>
    </row>
    <row r="478" spans="1:13" ht="15" customHeight="1" x14ac:dyDescent="0.25">
      <c r="A478" s="30" t="s">
        <v>138</v>
      </c>
      <c r="B478" s="30" t="s">
        <v>96</v>
      </c>
      <c r="C478" s="9" t="s">
        <v>67</v>
      </c>
      <c r="D478" s="32">
        <v>2026</v>
      </c>
      <c r="E478" s="35" t="s">
        <v>163</v>
      </c>
      <c r="F478" s="33">
        <f t="shared" si="16"/>
        <v>4</v>
      </c>
      <c r="G478" s="33">
        <f t="shared" si="16"/>
        <v>0</v>
      </c>
      <c r="H478" s="33">
        <f t="shared" si="16"/>
        <v>0</v>
      </c>
      <c r="I478" s="40">
        <f t="shared" si="15"/>
        <v>3.0447193149381541E-3</v>
      </c>
      <c r="J478" s="40">
        <f t="shared" si="15"/>
        <v>0</v>
      </c>
      <c r="K478" s="40">
        <f t="shared" si="15"/>
        <v>0</v>
      </c>
      <c r="L478" s="40">
        <f>1000*M478/VLOOKUP(D478,'Normalised Rates'!$A$7:$B$12,2,FALSE)</f>
        <v>3.0447193149381541E-3</v>
      </c>
      <c r="M478" s="34">
        <v>4</v>
      </c>
    </row>
    <row r="479" spans="1:13" ht="15" customHeight="1" x14ac:dyDescent="0.25">
      <c r="A479" s="30" t="s">
        <v>138</v>
      </c>
      <c r="B479" s="30" t="s">
        <v>77</v>
      </c>
      <c r="C479" s="9" t="s">
        <v>64</v>
      </c>
      <c r="D479" s="32">
        <v>2023</v>
      </c>
      <c r="E479" s="33" t="s">
        <v>34</v>
      </c>
      <c r="F479" s="33">
        <f t="shared" si="16"/>
        <v>0</v>
      </c>
      <c r="G479" s="33">
        <f t="shared" si="16"/>
        <v>0</v>
      </c>
      <c r="H479" s="33">
        <f t="shared" si="16"/>
        <v>1</v>
      </c>
      <c r="I479" s="40">
        <f t="shared" si="15"/>
        <v>0</v>
      </c>
      <c r="J479" s="40">
        <f t="shared" si="15"/>
        <v>0</v>
      </c>
      <c r="K479" s="40">
        <f t="shared" si="15"/>
        <v>4.3744531933508313E-4</v>
      </c>
      <c r="L479" s="40">
        <f>1000*M479/VLOOKUP(D479,'Normalised Rates'!$A$7:$B$12,2,FALSE)</f>
        <v>4.3744531933508313E-4</v>
      </c>
      <c r="M479" s="34">
        <v>1</v>
      </c>
    </row>
    <row r="480" spans="1:13" ht="15" customHeight="1" x14ac:dyDescent="0.25">
      <c r="A480" s="30" t="s">
        <v>138</v>
      </c>
      <c r="B480" s="30" t="s">
        <v>77</v>
      </c>
      <c r="C480" s="9" t="s">
        <v>64</v>
      </c>
      <c r="D480" s="32">
        <v>2023</v>
      </c>
      <c r="E480" s="35" t="s">
        <v>163</v>
      </c>
      <c r="F480" s="33">
        <f t="shared" si="16"/>
        <v>3</v>
      </c>
      <c r="G480" s="33">
        <f t="shared" si="16"/>
        <v>0</v>
      </c>
      <c r="H480" s="33">
        <f t="shared" si="16"/>
        <v>0</v>
      </c>
      <c r="I480" s="40">
        <f t="shared" si="15"/>
        <v>1.3123359580052493E-3</v>
      </c>
      <c r="J480" s="40">
        <f t="shared" si="15"/>
        <v>0</v>
      </c>
      <c r="K480" s="40">
        <f t="shared" si="15"/>
        <v>0</v>
      </c>
      <c r="L480" s="40">
        <f>1000*M480/VLOOKUP(D480,'Normalised Rates'!$A$7:$B$12,2,FALSE)</f>
        <v>1.3123359580052493E-3</v>
      </c>
      <c r="M480" s="34">
        <v>3</v>
      </c>
    </row>
    <row r="481" spans="1:13" ht="15" customHeight="1" x14ac:dyDescent="0.25">
      <c r="A481" s="30" t="s">
        <v>138</v>
      </c>
      <c r="B481" s="30" t="s">
        <v>77</v>
      </c>
      <c r="C481" s="9" t="s">
        <v>64</v>
      </c>
      <c r="D481" s="32">
        <v>2024</v>
      </c>
      <c r="E481" s="33" t="s">
        <v>34</v>
      </c>
      <c r="F481" s="33">
        <f t="shared" si="16"/>
        <v>0</v>
      </c>
      <c r="G481" s="33">
        <f t="shared" si="16"/>
        <v>0</v>
      </c>
      <c r="H481" s="33">
        <f t="shared" si="16"/>
        <v>2</v>
      </c>
      <c r="I481" s="40">
        <f t="shared" si="15"/>
        <v>0</v>
      </c>
      <c r="J481" s="40">
        <f t="shared" si="15"/>
        <v>0</v>
      </c>
      <c r="K481" s="40">
        <f t="shared" si="15"/>
        <v>7.4543421543048823E-4</v>
      </c>
      <c r="L481" s="40">
        <f>1000*M481/VLOOKUP(D481,'Normalised Rates'!$A$7:$B$12,2,FALSE)</f>
        <v>7.4543421543048823E-4</v>
      </c>
      <c r="M481" s="34">
        <v>2</v>
      </c>
    </row>
    <row r="482" spans="1:13" ht="15" customHeight="1" x14ac:dyDescent="0.25">
      <c r="A482" s="30" t="s">
        <v>138</v>
      </c>
      <c r="B482" s="30" t="s">
        <v>77</v>
      </c>
      <c r="C482" s="9" t="s">
        <v>64</v>
      </c>
      <c r="D482" s="32">
        <v>2024</v>
      </c>
      <c r="E482" s="35" t="s">
        <v>163</v>
      </c>
      <c r="F482" s="33">
        <f t="shared" si="16"/>
        <v>4</v>
      </c>
      <c r="G482" s="33">
        <f t="shared" si="16"/>
        <v>0</v>
      </c>
      <c r="H482" s="33">
        <f t="shared" si="16"/>
        <v>0</v>
      </c>
      <c r="I482" s="40">
        <f t="shared" si="15"/>
        <v>1.4908684308609765E-3</v>
      </c>
      <c r="J482" s="40">
        <f t="shared" si="15"/>
        <v>0</v>
      </c>
      <c r="K482" s="40">
        <f t="shared" si="15"/>
        <v>0</v>
      </c>
      <c r="L482" s="40">
        <f>1000*M482/VLOOKUP(D482,'Normalised Rates'!$A$7:$B$12,2,FALSE)</f>
        <v>1.4908684308609765E-3</v>
      </c>
      <c r="M482" s="34">
        <v>4</v>
      </c>
    </row>
    <row r="483" spans="1:13" ht="15" customHeight="1" x14ac:dyDescent="0.25">
      <c r="A483" s="30" t="s">
        <v>138</v>
      </c>
      <c r="B483" s="30" t="s">
        <v>77</v>
      </c>
      <c r="C483" s="9" t="s">
        <v>64</v>
      </c>
      <c r="D483" s="32">
        <v>2025</v>
      </c>
      <c r="E483" s="33" t="s">
        <v>34</v>
      </c>
      <c r="F483" s="33">
        <f t="shared" si="16"/>
        <v>0</v>
      </c>
      <c r="G483" s="33">
        <f t="shared" si="16"/>
        <v>0</v>
      </c>
      <c r="H483" s="33">
        <f t="shared" si="16"/>
        <v>6</v>
      </c>
      <c r="I483" s="40">
        <f t="shared" si="15"/>
        <v>0</v>
      </c>
      <c r="J483" s="40">
        <f t="shared" si="15"/>
        <v>0</v>
      </c>
      <c r="K483" s="40">
        <f t="shared" si="15"/>
        <v>1.9029495718363464E-3</v>
      </c>
      <c r="L483" s="40">
        <f>1000*M483/VLOOKUP(D483,'Normalised Rates'!$A$7:$B$12,2,FALSE)</f>
        <v>1.9029495718363464E-3</v>
      </c>
      <c r="M483" s="34">
        <v>6</v>
      </c>
    </row>
    <row r="484" spans="1:13" ht="15" customHeight="1" x14ac:dyDescent="0.25">
      <c r="A484" s="30" t="s">
        <v>138</v>
      </c>
      <c r="B484" s="30" t="s">
        <v>77</v>
      </c>
      <c r="C484" s="9" t="s">
        <v>64</v>
      </c>
      <c r="D484" s="32">
        <v>2025</v>
      </c>
      <c r="E484" s="35" t="s">
        <v>163</v>
      </c>
      <c r="F484" s="33">
        <f t="shared" si="16"/>
        <v>5</v>
      </c>
      <c r="G484" s="33">
        <f t="shared" si="16"/>
        <v>0</v>
      </c>
      <c r="H484" s="33">
        <f t="shared" si="16"/>
        <v>0</v>
      </c>
      <c r="I484" s="40">
        <f t="shared" si="15"/>
        <v>1.585791309863622E-3</v>
      </c>
      <c r="J484" s="40">
        <f t="shared" si="15"/>
        <v>0</v>
      </c>
      <c r="K484" s="40">
        <f t="shared" si="15"/>
        <v>0</v>
      </c>
      <c r="L484" s="40">
        <f>1000*M484/VLOOKUP(D484,'Normalised Rates'!$A$7:$B$12,2,FALSE)</f>
        <v>1.585791309863622E-3</v>
      </c>
      <c r="M484" s="34">
        <v>5</v>
      </c>
    </row>
    <row r="485" spans="1:13" ht="15" customHeight="1" x14ac:dyDescent="0.25">
      <c r="A485" s="30" t="s">
        <v>138</v>
      </c>
      <c r="B485" s="30" t="s">
        <v>77</v>
      </c>
      <c r="C485" s="9" t="s">
        <v>64</v>
      </c>
      <c r="D485" s="32">
        <v>2026</v>
      </c>
      <c r="E485" s="33" t="s">
        <v>34</v>
      </c>
      <c r="F485" s="33">
        <f t="shared" si="16"/>
        <v>0</v>
      </c>
      <c r="G485" s="33">
        <f t="shared" si="16"/>
        <v>0</v>
      </c>
      <c r="H485" s="33">
        <f t="shared" si="16"/>
        <v>2</v>
      </c>
      <c r="I485" s="40">
        <f t="shared" si="15"/>
        <v>0</v>
      </c>
      <c r="J485" s="40">
        <f t="shared" si="15"/>
        <v>0</v>
      </c>
      <c r="K485" s="40">
        <f t="shared" si="15"/>
        <v>1.522359657469077E-3</v>
      </c>
      <c r="L485" s="40">
        <f>1000*M485/VLOOKUP(D485,'Normalised Rates'!$A$7:$B$12,2,FALSE)</f>
        <v>1.522359657469077E-3</v>
      </c>
      <c r="M485" s="34">
        <v>2</v>
      </c>
    </row>
    <row r="486" spans="1:13" ht="15" customHeight="1" x14ac:dyDescent="0.25">
      <c r="A486" s="30" t="s">
        <v>138</v>
      </c>
      <c r="B486" s="30" t="s">
        <v>77</v>
      </c>
      <c r="C486" s="9" t="s">
        <v>64</v>
      </c>
      <c r="D486" s="32">
        <v>2026</v>
      </c>
      <c r="E486" s="35" t="s">
        <v>163</v>
      </c>
      <c r="F486" s="33">
        <f t="shared" si="16"/>
        <v>3</v>
      </c>
      <c r="G486" s="33">
        <f t="shared" si="16"/>
        <v>0</v>
      </c>
      <c r="H486" s="33">
        <f t="shared" si="16"/>
        <v>0</v>
      </c>
      <c r="I486" s="40">
        <f t="shared" si="15"/>
        <v>2.2835394862036158E-3</v>
      </c>
      <c r="J486" s="40">
        <f t="shared" si="15"/>
        <v>0</v>
      </c>
      <c r="K486" s="40">
        <f t="shared" si="15"/>
        <v>0</v>
      </c>
      <c r="L486" s="40">
        <f>1000*M486/VLOOKUP(D486,'Normalised Rates'!$A$7:$B$12,2,FALSE)</f>
        <v>2.2835394862036158E-3</v>
      </c>
      <c r="M486" s="34">
        <v>3</v>
      </c>
    </row>
    <row r="487" spans="1:13" ht="15" customHeight="1" x14ac:dyDescent="0.25">
      <c r="A487" s="30" t="s">
        <v>138</v>
      </c>
      <c r="B487" s="30" t="s">
        <v>92</v>
      </c>
      <c r="C487" s="9" t="s">
        <v>84</v>
      </c>
      <c r="D487" s="32">
        <v>2022</v>
      </c>
      <c r="E487" s="35" t="s">
        <v>163</v>
      </c>
      <c r="F487" s="33">
        <f t="shared" si="16"/>
        <v>1</v>
      </c>
      <c r="G487" s="33">
        <f t="shared" si="16"/>
        <v>0</v>
      </c>
      <c r="H487" s="33">
        <f t="shared" si="16"/>
        <v>0</v>
      </c>
      <c r="I487" s="40">
        <f t="shared" si="15"/>
        <v>5.3333333333333336E-4</v>
      </c>
      <c r="J487" s="40">
        <f t="shared" si="15"/>
        <v>0</v>
      </c>
      <c r="K487" s="40">
        <f t="shared" si="15"/>
        <v>0</v>
      </c>
      <c r="L487" s="40">
        <f>1000*M487/VLOOKUP(D487,'Normalised Rates'!$A$7:$B$12,2,FALSE)</f>
        <v>5.3333333333333336E-4</v>
      </c>
      <c r="M487" s="34">
        <v>1</v>
      </c>
    </row>
    <row r="488" spans="1:13" ht="15" customHeight="1" x14ac:dyDescent="0.25">
      <c r="A488" s="30" t="s">
        <v>138</v>
      </c>
      <c r="B488" s="30" t="s">
        <v>92</v>
      </c>
      <c r="C488" s="9" t="s">
        <v>84</v>
      </c>
      <c r="D488" s="32">
        <v>2023</v>
      </c>
      <c r="E488" s="33" t="s">
        <v>34</v>
      </c>
      <c r="F488" s="33">
        <f t="shared" si="16"/>
        <v>0</v>
      </c>
      <c r="G488" s="33">
        <f t="shared" si="16"/>
        <v>0</v>
      </c>
      <c r="H488" s="33">
        <f t="shared" si="16"/>
        <v>3</v>
      </c>
      <c r="I488" s="40">
        <f t="shared" si="15"/>
        <v>0</v>
      </c>
      <c r="J488" s="40">
        <f t="shared" si="15"/>
        <v>0</v>
      </c>
      <c r="K488" s="40">
        <f t="shared" si="15"/>
        <v>1.3123359580052493E-3</v>
      </c>
      <c r="L488" s="40">
        <f>1000*M488/VLOOKUP(D488,'Normalised Rates'!$A$7:$B$12,2,FALSE)</f>
        <v>1.3123359580052493E-3</v>
      </c>
      <c r="M488" s="34">
        <v>3</v>
      </c>
    </row>
    <row r="489" spans="1:13" ht="15" customHeight="1" x14ac:dyDescent="0.25">
      <c r="A489" s="30" t="s">
        <v>138</v>
      </c>
      <c r="B489" s="30" t="s">
        <v>92</v>
      </c>
      <c r="C489" s="9" t="s">
        <v>84</v>
      </c>
      <c r="D489" s="32">
        <v>2023</v>
      </c>
      <c r="E489" s="35" t="s">
        <v>163</v>
      </c>
      <c r="F489" s="33">
        <f t="shared" si="16"/>
        <v>3</v>
      </c>
      <c r="G489" s="33">
        <f t="shared" si="16"/>
        <v>0</v>
      </c>
      <c r="H489" s="33">
        <f t="shared" si="16"/>
        <v>0</v>
      </c>
      <c r="I489" s="40">
        <f t="shared" si="15"/>
        <v>1.3123359580052493E-3</v>
      </c>
      <c r="J489" s="40">
        <f t="shared" si="15"/>
        <v>0</v>
      </c>
      <c r="K489" s="40">
        <f t="shared" si="15"/>
        <v>0</v>
      </c>
      <c r="L489" s="40">
        <f>1000*M489/VLOOKUP(D489,'Normalised Rates'!$A$7:$B$12,2,FALSE)</f>
        <v>1.3123359580052493E-3</v>
      </c>
      <c r="M489" s="34">
        <v>3</v>
      </c>
    </row>
    <row r="490" spans="1:13" ht="15" customHeight="1" x14ac:dyDescent="0.25">
      <c r="A490" s="30" t="s">
        <v>138</v>
      </c>
      <c r="B490" s="30" t="s">
        <v>92</v>
      </c>
      <c r="C490" s="9" t="s">
        <v>84</v>
      </c>
      <c r="D490" s="32">
        <v>2024</v>
      </c>
      <c r="E490" s="35" t="s">
        <v>163</v>
      </c>
      <c r="F490" s="33">
        <f t="shared" si="16"/>
        <v>5</v>
      </c>
      <c r="G490" s="33">
        <f t="shared" si="16"/>
        <v>0</v>
      </c>
      <c r="H490" s="33">
        <f t="shared" si="16"/>
        <v>0</v>
      </c>
      <c r="I490" s="40">
        <f t="shared" si="15"/>
        <v>1.8635855385762206E-3</v>
      </c>
      <c r="J490" s="40">
        <f t="shared" si="15"/>
        <v>0</v>
      </c>
      <c r="K490" s="40">
        <f t="shared" si="15"/>
        <v>0</v>
      </c>
      <c r="L490" s="40">
        <f>1000*M490/VLOOKUP(D490,'Normalised Rates'!$A$7:$B$12,2,FALSE)</f>
        <v>1.8635855385762206E-3</v>
      </c>
      <c r="M490" s="34">
        <v>5</v>
      </c>
    </row>
    <row r="491" spans="1:13" ht="15" customHeight="1" x14ac:dyDescent="0.25">
      <c r="A491" s="30" t="s">
        <v>138</v>
      </c>
      <c r="B491" s="30" t="s">
        <v>92</v>
      </c>
      <c r="C491" s="9" t="s">
        <v>84</v>
      </c>
      <c r="D491" s="32">
        <v>2025</v>
      </c>
      <c r="E491" s="33" t="s">
        <v>34</v>
      </c>
      <c r="F491" s="33">
        <f t="shared" si="16"/>
        <v>0</v>
      </c>
      <c r="G491" s="33">
        <f t="shared" si="16"/>
        <v>0</v>
      </c>
      <c r="H491" s="33">
        <f t="shared" si="16"/>
        <v>5</v>
      </c>
      <c r="I491" s="40">
        <f t="shared" si="15"/>
        <v>0</v>
      </c>
      <c r="J491" s="40">
        <f t="shared" si="15"/>
        <v>0</v>
      </c>
      <c r="K491" s="40">
        <f t="shared" si="15"/>
        <v>1.585791309863622E-3</v>
      </c>
      <c r="L491" s="40">
        <f>1000*M491/VLOOKUP(D491,'Normalised Rates'!$A$7:$B$12,2,FALSE)</f>
        <v>1.585791309863622E-3</v>
      </c>
      <c r="M491" s="34">
        <v>5</v>
      </c>
    </row>
    <row r="492" spans="1:13" ht="15" customHeight="1" x14ac:dyDescent="0.25">
      <c r="A492" s="30" t="s">
        <v>138</v>
      </c>
      <c r="B492" s="30" t="s">
        <v>92</v>
      </c>
      <c r="C492" s="9" t="s">
        <v>84</v>
      </c>
      <c r="D492" s="32">
        <v>2025</v>
      </c>
      <c r="E492" s="35" t="s">
        <v>163</v>
      </c>
      <c r="F492" s="33">
        <f t="shared" si="16"/>
        <v>2</v>
      </c>
      <c r="G492" s="33">
        <f t="shared" si="16"/>
        <v>0</v>
      </c>
      <c r="H492" s="33">
        <f t="shared" si="16"/>
        <v>0</v>
      </c>
      <c r="I492" s="40">
        <f t="shared" si="15"/>
        <v>6.3431652394544877E-4</v>
      </c>
      <c r="J492" s="40">
        <f t="shared" si="15"/>
        <v>0</v>
      </c>
      <c r="K492" s="40">
        <f t="shared" si="15"/>
        <v>0</v>
      </c>
      <c r="L492" s="40">
        <f>1000*M492/VLOOKUP(D492,'Normalised Rates'!$A$7:$B$12,2,FALSE)</f>
        <v>6.3431652394544877E-4</v>
      </c>
      <c r="M492" s="34">
        <v>2</v>
      </c>
    </row>
    <row r="493" spans="1:13" ht="15" customHeight="1" x14ac:dyDescent="0.25">
      <c r="A493" s="30" t="s">
        <v>138</v>
      </c>
      <c r="B493" s="30" t="s">
        <v>92</v>
      </c>
      <c r="C493" s="9" t="s">
        <v>84</v>
      </c>
      <c r="D493" s="32">
        <v>2026</v>
      </c>
      <c r="E493" s="33" t="s">
        <v>34</v>
      </c>
      <c r="F493" s="33">
        <f t="shared" si="16"/>
        <v>0</v>
      </c>
      <c r="G493" s="33">
        <f t="shared" si="16"/>
        <v>0</v>
      </c>
      <c r="H493" s="33">
        <f t="shared" si="16"/>
        <v>6</v>
      </c>
      <c r="I493" s="40">
        <f t="shared" si="15"/>
        <v>0</v>
      </c>
      <c r="J493" s="40">
        <f t="shared" si="15"/>
        <v>0</v>
      </c>
      <c r="K493" s="40">
        <f t="shared" si="15"/>
        <v>4.5670789724072316E-3</v>
      </c>
      <c r="L493" s="40">
        <f>1000*M493/VLOOKUP(D493,'Normalised Rates'!$A$7:$B$12,2,FALSE)</f>
        <v>4.5670789724072316E-3</v>
      </c>
      <c r="M493" s="34">
        <v>6</v>
      </c>
    </row>
    <row r="494" spans="1:13" ht="15" customHeight="1" x14ac:dyDescent="0.25">
      <c r="A494" s="30" t="s">
        <v>138</v>
      </c>
      <c r="B494" s="30" t="s">
        <v>121</v>
      </c>
      <c r="C494" s="9" t="s">
        <v>67</v>
      </c>
      <c r="D494" s="32">
        <v>2023</v>
      </c>
      <c r="E494" s="33" t="s">
        <v>34</v>
      </c>
      <c r="F494" s="33">
        <f t="shared" si="16"/>
        <v>0</v>
      </c>
      <c r="G494" s="33">
        <f t="shared" si="16"/>
        <v>0</v>
      </c>
      <c r="H494" s="33">
        <f t="shared" si="16"/>
        <v>1</v>
      </c>
      <c r="I494" s="40">
        <f t="shared" si="15"/>
        <v>0</v>
      </c>
      <c r="J494" s="40">
        <f t="shared" si="15"/>
        <v>0</v>
      </c>
      <c r="K494" s="40">
        <f t="shared" si="15"/>
        <v>4.3744531933508313E-4</v>
      </c>
      <c r="L494" s="40">
        <f>1000*M494/VLOOKUP(D494,'Normalised Rates'!$A$7:$B$12,2,FALSE)</f>
        <v>4.3744531933508313E-4</v>
      </c>
      <c r="M494" s="34">
        <v>1</v>
      </c>
    </row>
    <row r="495" spans="1:13" ht="15" customHeight="1" x14ac:dyDescent="0.25">
      <c r="A495" s="30" t="s">
        <v>138</v>
      </c>
      <c r="B495" s="30" t="s">
        <v>121</v>
      </c>
      <c r="C495" s="9" t="s">
        <v>67</v>
      </c>
      <c r="D495" s="32">
        <v>2023</v>
      </c>
      <c r="E495" s="35" t="s">
        <v>163</v>
      </c>
      <c r="F495" s="33">
        <f t="shared" si="16"/>
        <v>1</v>
      </c>
      <c r="G495" s="33">
        <f t="shared" si="16"/>
        <v>0</v>
      </c>
      <c r="H495" s="33">
        <f t="shared" si="16"/>
        <v>0</v>
      </c>
      <c r="I495" s="40">
        <f t="shared" si="15"/>
        <v>4.3744531933508313E-4</v>
      </c>
      <c r="J495" s="40">
        <f t="shared" si="15"/>
        <v>0</v>
      </c>
      <c r="K495" s="40">
        <f t="shared" si="15"/>
        <v>0</v>
      </c>
      <c r="L495" s="40">
        <f>1000*M495/VLOOKUP(D495,'Normalised Rates'!$A$7:$B$12,2,FALSE)</f>
        <v>4.3744531933508313E-4</v>
      </c>
      <c r="M495" s="34">
        <v>1</v>
      </c>
    </row>
    <row r="496" spans="1:13" ht="15" customHeight="1" x14ac:dyDescent="0.25">
      <c r="A496" s="30" t="s">
        <v>138</v>
      </c>
      <c r="B496" s="30" t="s">
        <v>121</v>
      </c>
      <c r="C496" s="9" t="s">
        <v>67</v>
      </c>
      <c r="D496" s="32">
        <v>2024</v>
      </c>
      <c r="E496" s="35" t="s">
        <v>163</v>
      </c>
      <c r="F496" s="33">
        <f t="shared" si="16"/>
        <v>2</v>
      </c>
      <c r="G496" s="33">
        <f t="shared" si="16"/>
        <v>0</v>
      </c>
      <c r="H496" s="33">
        <f t="shared" si="16"/>
        <v>0</v>
      </c>
      <c r="I496" s="40">
        <f t="shared" si="15"/>
        <v>7.4543421543048823E-4</v>
      </c>
      <c r="J496" s="40">
        <f t="shared" si="15"/>
        <v>0</v>
      </c>
      <c r="K496" s="40">
        <f t="shared" si="15"/>
        <v>0</v>
      </c>
      <c r="L496" s="40">
        <f>1000*M496/VLOOKUP(D496,'Normalised Rates'!$A$7:$B$12,2,FALSE)</f>
        <v>7.4543421543048823E-4</v>
      </c>
      <c r="M496" s="34">
        <v>2</v>
      </c>
    </row>
    <row r="497" spans="1:13" ht="15" customHeight="1" x14ac:dyDescent="0.25">
      <c r="A497" s="30" t="s">
        <v>138</v>
      </c>
      <c r="B497" s="30" t="s">
        <v>121</v>
      </c>
      <c r="C497" s="9" t="s">
        <v>67</v>
      </c>
      <c r="D497" s="32">
        <v>2025</v>
      </c>
      <c r="E497" s="33" t="s">
        <v>34</v>
      </c>
      <c r="F497" s="33">
        <f t="shared" si="16"/>
        <v>0</v>
      </c>
      <c r="G497" s="33">
        <f t="shared" si="16"/>
        <v>0</v>
      </c>
      <c r="H497" s="33">
        <f t="shared" si="16"/>
        <v>2</v>
      </c>
      <c r="I497" s="40">
        <f t="shared" si="15"/>
        <v>0</v>
      </c>
      <c r="J497" s="40">
        <f t="shared" si="15"/>
        <v>0</v>
      </c>
      <c r="K497" s="40">
        <f t="shared" si="15"/>
        <v>6.3431652394544877E-4</v>
      </c>
      <c r="L497" s="40">
        <f>1000*M497/VLOOKUP(D497,'Normalised Rates'!$A$7:$B$12,2,FALSE)</f>
        <v>6.3431652394544877E-4</v>
      </c>
      <c r="M497" s="34">
        <v>2</v>
      </c>
    </row>
    <row r="498" spans="1:13" ht="15" customHeight="1" x14ac:dyDescent="0.25">
      <c r="A498" s="30" t="s">
        <v>138</v>
      </c>
      <c r="B498" s="30" t="s">
        <v>121</v>
      </c>
      <c r="C498" s="9" t="s">
        <v>67</v>
      </c>
      <c r="D498" s="32">
        <v>2025</v>
      </c>
      <c r="E498" s="35" t="s">
        <v>163</v>
      </c>
      <c r="F498" s="33">
        <f t="shared" si="16"/>
        <v>16</v>
      </c>
      <c r="G498" s="33">
        <f t="shared" si="16"/>
        <v>0</v>
      </c>
      <c r="H498" s="33">
        <f t="shared" si="16"/>
        <v>0</v>
      </c>
      <c r="I498" s="40">
        <f t="shared" si="15"/>
        <v>5.0745321915635902E-3</v>
      </c>
      <c r="J498" s="40">
        <f t="shared" si="15"/>
        <v>0</v>
      </c>
      <c r="K498" s="40">
        <f t="shared" si="15"/>
        <v>0</v>
      </c>
      <c r="L498" s="40">
        <f>1000*M498/VLOOKUP(D498,'Normalised Rates'!$A$7:$B$12,2,FALSE)</f>
        <v>5.0745321915635902E-3</v>
      </c>
      <c r="M498" s="34">
        <v>16</v>
      </c>
    </row>
    <row r="499" spans="1:13" ht="15" customHeight="1" x14ac:dyDescent="0.25">
      <c r="A499" s="30" t="s">
        <v>138</v>
      </c>
      <c r="B499" s="30" t="s">
        <v>121</v>
      </c>
      <c r="C499" s="9" t="s">
        <v>67</v>
      </c>
      <c r="D499" s="32">
        <v>2026</v>
      </c>
      <c r="E499" s="35" t="s">
        <v>163</v>
      </c>
      <c r="F499" s="33">
        <f t="shared" si="16"/>
        <v>1</v>
      </c>
      <c r="G499" s="33">
        <f t="shared" si="16"/>
        <v>0</v>
      </c>
      <c r="H499" s="33">
        <f t="shared" si="16"/>
        <v>0</v>
      </c>
      <c r="I499" s="40">
        <f t="shared" si="15"/>
        <v>7.6117982873453852E-4</v>
      </c>
      <c r="J499" s="40">
        <f t="shared" si="15"/>
        <v>0</v>
      </c>
      <c r="K499" s="40">
        <f t="shared" si="15"/>
        <v>0</v>
      </c>
      <c r="L499" s="40">
        <f>1000*M499/VLOOKUP(D499,'Normalised Rates'!$A$7:$B$12,2,FALSE)</f>
        <v>7.6117982873453852E-4</v>
      </c>
      <c r="M499" s="34">
        <v>1</v>
      </c>
    </row>
    <row r="500" spans="1:13" ht="15" customHeight="1" x14ac:dyDescent="0.25">
      <c r="A500" s="30" t="s">
        <v>138</v>
      </c>
      <c r="B500" s="30" t="s">
        <v>119</v>
      </c>
      <c r="C500" s="9" t="s">
        <v>84</v>
      </c>
      <c r="D500" s="32">
        <v>2022</v>
      </c>
      <c r="E500" s="35" t="s">
        <v>163</v>
      </c>
      <c r="F500" s="33">
        <f t="shared" si="16"/>
        <v>1</v>
      </c>
      <c r="G500" s="33">
        <f t="shared" si="16"/>
        <v>0</v>
      </c>
      <c r="H500" s="33">
        <f t="shared" si="16"/>
        <v>0</v>
      </c>
      <c r="I500" s="40">
        <f t="shared" si="15"/>
        <v>5.3333333333333336E-4</v>
      </c>
      <c r="J500" s="40">
        <f t="shared" si="15"/>
        <v>0</v>
      </c>
      <c r="K500" s="40">
        <f t="shared" si="15"/>
        <v>0</v>
      </c>
      <c r="L500" s="40">
        <f>1000*M500/VLOOKUP(D500,'Normalised Rates'!$A$7:$B$12,2,FALSE)</f>
        <v>5.3333333333333336E-4</v>
      </c>
      <c r="M500" s="34">
        <v>1</v>
      </c>
    </row>
    <row r="501" spans="1:13" ht="15" customHeight="1" x14ac:dyDescent="0.25">
      <c r="A501" s="30" t="s">
        <v>138</v>
      </c>
      <c r="B501" s="30" t="s">
        <v>119</v>
      </c>
      <c r="C501" s="9" t="s">
        <v>84</v>
      </c>
      <c r="D501" s="32">
        <v>2023</v>
      </c>
      <c r="E501" s="35" t="s">
        <v>163</v>
      </c>
      <c r="F501" s="33">
        <f t="shared" si="16"/>
        <v>1</v>
      </c>
      <c r="G501" s="33">
        <f t="shared" si="16"/>
        <v>0</v>
      </c>
      <c r="H501" s="33">
        <f t="shared" si="16"/>
        <v>0</v>
      </c>
      <c r="I501" s="40">
        <f t="shared" si="15"/>
        <v>4.3744531933508313E-4</v>
      </c>
      <c r="J501" s="40">
        <f t="shared" si="15"/>
        <v>0</v>
      </c>
      <c r="K501" s="40">
        <f t="shared" si="15"/>
        <v>0</v>
      </c>
      <c r="L501" s="40">
        <f>1000*M501/VLOOKUP(D501,'Normalised Rates'!$A$7:$B$12,2,FALSE)</f>
        <v>4.3744531933508313E-4</v>
      </c>
      <c r="M501" s="34">
        <v>1</v>
      </c>
    </row>
    <row r="502" spans="1:13" ht="15" customHeight="1" x14ac:dyDescent="0.25">
      <c r="A502" s="30" t="s">
        <v>138</v>
      </c>
      <c r="B502" s="30" t="s">
        <v>119</v>
      </c>
      <c r="C502" s="9" t="s">
        <v>84</v>
      </c>
      <c r="D502" s="32">
        <v>2024</v>
      </c>
      <c r="E502" s="35" t="s">
        <v>163</v>
      </c>
      <c r="F502" s="33">
        <f t="shared" si="16"/>
        <v>9</v>
      </c>
      <c r="G502" s="33">
        <f t="shared" si="16"/>
        <v>0</v>
      </c>
      <c r="H502" s="33">
        <f t="shared" si="16"/>
        <v>0</v>
      </c>
      <c r="I502" s="40">
        <f t="shared" si="15"/>
        <v>3.354453969437197E-3</v>
      </c>
      <c r="J502" s="40">
        <f t="shared" si="15"/>
        <v>0</v>
      </c>
      <c r="K502" s="40">
        <f t="shared" si="15"/>
        <v>0</v>
      </c>
      <c r="L502" s="40">
        <f>1000*M502/VLOOKUP(D502,'Normalised Rates'!$A$7:$B$12,2,FALSE)</f>
        <v>3.354453969437197E-3</v>
      </c>
      <c r="M502" s="34">
        <v>9</v>
      </c>
    </row>
    <row r="503" spans="1:13" ht="15" customHeight="1" x14ac:dyDescent="0.25">
      <c r="A503" s="30" t="s">
        <v>138</v>
      </c>
      <c r="B503" s="30" t="s">
        <v>119</v>
      </c>
      <c r="C503" s="9" t="s">
        <v>84</v>
      </c>
      <c r="D503" s="32">
        <v>2025</v>
      </c>
      <c r="E503" s="33" t="s">
        <v>34</v>
      </c>
      <c r="F503" s="33">
        <f t="shared" si="16"/>
        <v>0</v>
      </c>
      <c r="G503" s="33">
        <f t="shared" si="16"/>
        <v>0</v>
      </c>
      <c r="H503" s="33">
        <f t="shared" si="16"/>
        <v>1</v>
      </c>
      <c r="I503" s="40">
        <f t="shared" si="15"/>
        <v>0</v>
      </c>
      <c r="J503" s="40">
        <f t="shared" si="15"/>
        <v>0</v>
      </c>
      <c r="K503" s="40">
        <f t="shared" si="15"/>
        <v>3.1715826197272439E-4</v>
      </c>
      <c r="L503" s="40">
        <f>1000*M503/VLOOKUP(D503,'Normalised Rates'!$A$7:$B$12,2,FALSE)</f>
        <v>3.1715826197272439E-4</v>
      </c>
      <c r="M503" s="34">
        <v>1</v>
      </c>
    </row>
    <row r="504" spans="1:13" ht="15" customHeight="1" x14ac:dyDescent="0.25">
      <c r="A504" s="30" t="s">
        <v>138</v>
      </c>
      <c r="B504" s="30" t="s">
        <v>119</v>
      </c>
      <c r="C504" s="9" t="s">
        <v>84</v>
      </c>
      <c r="D504" s="32">
        <v>2025</v>
      </c>
      <c r="E504" s="35" t="s">
        <v>163</v>
      </c>
      <c r="F504" s="33">
        <f t="shared" si="16"/>
        <v>5</v>
      </c>
      <c r="G504" s="33">
        <f t="shared" si="16"/>
        <v>0</v>
      </c>
      <c r="H504" s="33">
        <f t="shared" si="16"/>
        <v>0</v>
      </c>
      <c r="I504" s="40">
        <f t="shared" si="15"/>
        <v>1.585791309863622E-3</v>
      </c>
      <c r="J504" s="40">
        <f t="shared" si="15"/>
        <v>0</v>
      </c>
      <c r="K504" s="40">
        <f t="shared" si="15"/>
        <v>0</v>
      </c>
      <c r="L504" s="40">
        <f>1000*M504/VLOOKUP(D504,'Normalised Rates'!$A$7:$B$12,2,FALSE)</f>
        <v>1.585791309863622E-3</v>
      </c>
      <c r="M504" s="34">
        <v>5</v>
      </c>
    </row>
    <row r="505" spans="1:13" ht="15" customHeight="1" x14ac:dyDescent="0.25">
      <c r="A505" s="30" t="s">
        <v>138</v>
      </c>
      <c r="B505" s="30" t="s">
        <v>119</v>
      </c>
      <c r="C505" s="9" t="s">
        <v>84</v>
      </c>
      <c r="D505" s="32">
        <v>2026</v>
      </c>
      <c r="E505" s="35" t="s">
        <v>163</v>
      </c>
      <c r="F505" s="33">
        <f t="shared" si="16"/>
        <v>1</v>
      </c>
      <c r="G505" s="33">
        <f t="shared" si="16"/>
        <v>0</v>
      </c>
      <c r="H505" s="33">
        <f t="shared" si="16"/>
        <v>0</v>
      </c>
      <c r="I505" s="40">
        <f t="shared" si="15"/>
        <v>7.6117982873453852E-4</v>
      </c>
      <c r="J505" s="40">
        <f t="shared" si="15"/>
        <v>0</v>
      </c>
      <c r="K505" s="40">
        <f t="shared" si="15"/>
        <v>0</v>
      </c>
      <c r="L505" s="40">
        <f>1000*M505/VLOOKUP(D505,'Normalised Rates'!$A$7:$B$12,2,FALSE)</f>
        <v>7.6117982873453852E-4</v>
      </c>
      <c r="M505" s="34">
        <v>1</v>
      </c>
    </row>
    <row r="506" spans="1:13" ht="15" customHeight="1" x14ac:dyDescent="0.25">
      <c r="A506" s="30" t="s">
        <v>138</v>
      </c>
      <c r="B506" s="30" t="s">
        <v>104</v>
      </c>
      <c r="C506" s="9" t="s">
        <v>105</v>
      </c>
      <c r="D506" s="32">
        <v>2022</v>
      </c>
      <c r="E506" s="33" t="s">
        <v>34</v>
      </c>
      <c r="F506" s="33">
        <f t="shared" si="16"/>
        <v>0</v>
      </c>
      <c r="G506" s="33">
        <f t="shared" si="16"/>
        <v>0</v>
      </c>
      <c r="H506" s="33">
        <f t="shared" si="16"/>
        <v>1</v>
      </c>
      <c r="I506" s="40">
        <f t="shared" si="15"/>
        <v>0</v>
      </c>
      <c r="J506" s="40">
        <f t="shared" si="15"/>
        <v>0</v>
      </c>
      <c r="K506" s="40">
        <f t="shared" si="15"/>
        <v>5.3333333333333336E-4</v>
      </c>
      <c r="L506" s="40">
        <f>1000*M506/VLOOKUP(D506,'Normalised Rates'!$A$7:$B$12,2,FALSE)</f>
        <v>5.3333333333333336E-4</v>
      </c>
      <c r="M506" s="34">
        <v>1</v>
      </c>
    </row>
    <row r="507" spans="1:13" ht="15" customHeight="1" x14ac:dyDescent="0.25">
      <c r="A507" s="30" t="s">
        <v>138</v>
      </c>
      <c r="B507" s="30" t="s">
        <v>104</v>
      </c>
      <c r="C507" s="9" t="s">
        <v>105</v>
      </c>
      <c r="D507" s="32">
        <v>2023</v>
      </c>
      <c r="E507" s="33" t="s">
        <v>34</v>
      </c>
      <c r="F507" s="33">
        <f t="shared" si="16"/>
        <v>0</v>
      </c>
      <c r="G507" s="33">
        <f t="shared" si="16"/>
        <v>0</v>
      </c>
      <c r="H507" s="33">
        <f t="shared" si="16"/>
        <v>3</v>
      </c>
      <c r="I507" s="40">
        <f t="shared" si="15"/>
        <v>0</v>
      </c>
      <c r="J507" s="40">
        <f t="shared" si="15"/>
        <v>0</v>
      </c>
      <c r="K507" s="40">
        <f t="shared" si="15"/>
        <v>1.3123359580052493E-3</v>
      </c>
      <c r="L507" s="40">
        <f>1000*M507/VLOOKUP(D507,'Normalised Rates'!$A$7:$B$12,2,FALSE)</f>
        <v>1.3123359580052493E-3</v>
      </c>
      <c r="M507" s="34">
        <v>3</v>
      </c>
    </row>
    <row r="508" spans="1:13" ht="15" customHeight="1" x14ac:dyDescent="0.25">
      <c r="A508" s="30" t="s">
        <v>138</v>
      </c>
      <c r="B508" s="30" t="s">
        <v>104</v>
      </c>
      <c r="C508" s="9" t="s">
        <v>105</v>
      </c>
      <c r="D508" s="32">
        <v>2023</v>
      </c>
      <c r="E508" s="35" t="s">
        <v>163</v>
      </c>
      <c r="F508" s="33">
        <f t="shared" si="16"/>
        <v>2</v>
      </c>
      <c r="G508" s="33">
        <f t="shared" si="16"/>
        <v>0</v>
      </c>
      <c r="H508" s="33">
        <f t="shared" si="16"/>
        <v>0</v>
      </c>
      <c r="I508" s="40">
        <f t="shared" si="15"/>
        <v>8.7489063867016625E-4</v>
      </c>
      <c r="J508" s="40">
        <f t="shared" si="15"/>
        <v>0</v>
      </c>
      <c r="K508" s="40">
        <f t="shared" si="15"/>
        <v>0</v>
      </c>
      <c r="L508" s="40">
        <f>1000*M508/VLOOKUP(D508,'Normalised Rates'!$A$7:$B$12,2,FALSE)</f>
        <v>8.7489063867016625E-4</v>
      </c>
      <c r="M508" s="34">
        <v>2</v>
      </c>
    </row>
    <row r="509" spans="1:13" ht="15" customHeight="1" x14ac:dyDescent="0.25">
      <c r="A509" s="30" t="s">
        <v>138</v>
      </c>
      <c r="B509" s="30" t="s">
        <v>104</v>
      </c>
      <c r="C509" s="9" t="s">
        <v>105</v>
      </c>
      <c r="D509" s="32">
        <v>2024</v>
      </c>
      <c r="E509" s="33" t="s">
        <v>34</v>
      </c>
      <c r="F509" s="33">
        <f t="shared" si="16"/>
        <v>0</v>
      </c>
      <c r="G509" s="33">
        <f t="shared" si="16"/>
        <v>0</v>
      </c>
      <c r="H509" s="33">
        <f t="shared" si="16"/>
        <v>2</v>
      </c>
      <c r="I509" s="40">
        <f t="shared" si="15"/>
        <v>0</v>
      </c>
      <c r="J509" s="40">
        <f t="shared" si="15"/>
        <v>0</v>
      </c>
      <c r="K509" s="40">
        <f t="shared" si="15"/>
        <v>7.4543421543048823E-4</v>
      </c>
      <c r="L509" s="40">
        <f>1000*M509/VLOOKUP(D509,'Normalised Rates'!$A$7:$B$12,2,FALSE)</f>
        <v>7.4543421543048823E-4</v>
      </c>
      <c r="M509" s="34">
        <v>2</v>
      </c>
    </row>
    <row r="510" spans="1:13" ht="15" customHeight="1" x14ac:dyDescent="0.25">
      <c r="A510" s="30" t="s">
        <v>138</v>
      </c>
      <c r="B510" s="30" t="s">
        <v>104</v>
      </c>
      <c r="C510" s="9" t="s">
        <v>105</v>
      </c>
      <c r="D510" s="32">
        <v>2024</v>
      </c>
      <c r="E510" s="35" t="s">
        <v>163</v>
      </c>
      <c r="F510" s="33">
        <f t="shared" si="16"/>
        <v>2</v>
      </c>
      <c r="G510" s="33">
        <f t="shared" si="16"/>
        <v>0</v>
      </c>
      <c r="H510" s="33">
        <f t="shared" si="16"/>
        <v>0</v>
      </c>
      <c r="I510" s="40">
        <f t="shared" si="15"/>
        <v>7.4543421543048823E-4</v>
      </c>
      <c r="J510" s="40">
        <f t="shared" si="15"/>
        <v>0</v>
      </c>
      <c r="K510" s="40">
        <f t="shared" si="15"/>
        <v>0</v>
      </c>
      <c r="L510" s="40">
        <f>1000*M510/VLOOKUP(D510,'Normalised Rates'!$A$7:$B$12,2,FALSE)</f>
        <v>7.4543421543048823E-4</v>
      </c>
      <c r="M510" s="34">
        <v>2</v>
      </c>
    </row>
    <row r="511" spans="1:13" ht="15" customHeight="1" x14ac:dyDescent="0.25">
      <c r="A511" s="30" t="s">
        <v>138</v>
      </c>
      <c r="B511" s="30" t="s">
        <v>104</v>
      </c>
      <c r="C511" s="9" t="s">
        <v>105</v>
      </c>
      <c r="D511" s="32">
        <v>2025</v>
      </c>
      <c r="E511" s="33" t="s">
        <v>34</v>
      </c>
      <c r="F511" s="33">
        <f t="shared" si="16"/>
        <v>0</v>
      </c>
      <c r="G511" s="33">
        <f t="shared" si="16"/>
        <v>0</v>
      </c>
      <c r="H511" s="33">
        <f t="shared" si="16"/>
        <v>2</v>
      </c>
      <c r="I511" s="40">
        <f t="shared" si="15"/>
        <v>0</v>
      </c>
      <c r="J511" s="40">
        <f t="shared" si="15"/>
        <v>0</v>
      </c>
      <c r="K511" s="40">
        <f t="shared" si="15"/>
        <v>6.3431652394544877E-4</v>
      </c>
      <c r="L511" s="40">
        <f>1000*M511/VLOOKUP(D511,'Normalised Rates'!$A$7:$B$12,2,FALSE)</f>
        <v>6.3431652394544877E-4</v>
      </c>
      <c r="M511" s="34">
        <v>2</v>
      </c>
    </row>
    <row r="512" spans="1:13" ht="15" customHeight="1" x14ac:dyDescent="0.25">
      <c r="A512" s="30" t="s">
        <v>138</v>
      </c>
      <c r="B512" s="30" t="s">
        <v>104</v>
      </c>
      <c r="C512" s="9" t="s">
        <v>105</v>
      </c>
      <c r="D512" s="32">
        <v>2025</v>
      </c>
      <c r="E512" s="35" t="s">
        <v>163</v>
      </c>
      <c r="F512" s="33">
        <f t="shared" si="16"/>
        <v>2</v>
      </c>
      <c r="G512" s="33">
        <f t="shared" si="16"/>
        <v>0</v>
      </c>
      <c r="H512" s="33">
        <f t="shared" si="16"/>
        <v>0</v>
      </c>
      <c r="I512" s="40">
        <f t="shared" si="15"/>
        <v>6.3431652394544877E-4</v>
      </c>
      <c r="J512" s="40">
        <f t="shared" si="15"/>
        <v>0</v>
      </c>
      <c r="K512" s="40">
        <f t="shared" si="15"/>
        <v>0</v>
      </c>
      <c r="L512" s="40">
        <f>1000*M512/VLOOKUP(D512,'Normalised Rates'!$A$7:$B$12,2,FALSE)</f>
        <v>6.3431652394544877E-4</v>
      </c>
      <c r="M512" s="34">
        <v>2</v>
      </c>
    </row>
    <row r="513" spans="1:13" ht="15" customHeight="1" x14ac:dyDescent="0.25">
      <c r="A513" s="30" t="s">
        <v>138</v>
      </c>
      <c r="B513" s="30" t="s">
        <v>104</v>
      </c>
      <c r="C513" s="9" t="s">
        <v>105</v>
      </c>
      <c r="D513" s="32">
        <v>2026</v>
      </c>
      <c r="E513" s="33" t="s">
        <v>34</v>
      </c>
      <c r="F513" s="33">
        <f t="shared" si="16"/>
        <v>0</v>
      </c>
      <c r="G513" s="33">
        <f t="shared" si="16"/>
        <v>0</v>
      </c>
      <c r="H513" s="33">
        <f t="shared" si="16"/>
        <v>2</v>
      </c>
      <c r="I513" s="40">
        <f t="shared" si="15"/>
        <v>0</v>
      </c>
      <c r="J513" s="40">
        <f t="shared" si="15"/>
        <v>0</v>
      </c>
      <c r="K513" s="40">
        <f t="shared" si="15"/>
        <v>1.522359657469077E-3</v>
      </c>
      <c r="L513" s="40">
        <f>1000*M513/VLOOKUP(D513,'Normalised Rates'!$A$7:$B$12,2,FALSE)</f>
        <v>1.522359657469077E-3</v>
      </c>
      <c r="M513" s="34">
        <v>2</v>
      </c>
    </row>
    <row r="514" spans="1:13" ht="15" customHeight="1" x14ac:dyDescent="0.25">
      <c r="A514" s="30" t="s">
        <v>138</v>
      </c>
      <c r="B514" s="30" t="s">
        <v>79</v>
      </c>
      <c r="C514" s="9" t="s">
        <v>67</v>
      </c>
      <c r="D514" s="32">
        <v>2021</v>
      </c>
      <c r="E514" s="33" t="s">
        <v>34</v>
      </c>
      <c r="F514" s="33">
        <f t="shared" si="16"/>
        <v>0</v>
      </c>
      <c r="G514" s="33">
        <f t="shared" si="16"/>
        <v>0</v>
      </c>
      <c r="H514" s="33">
        <f t="shared" si="16"/>
        <v>1</v>
      </c>
      <c r="I514" s="40">
        <f t="shared" si="15"/>
        <v>0</v>
      </c>
      <c r="J514" s="40">
        <f t="shared" si="15"/>
        <v>0</v>
      </c>
      <c r="K514" s="40">
        <f t="shared" si="15"/>
        <v>6.2735257214554575E-4</v>
      </c>
      <c r="L514" s="40">
        <f>1000*M514/VLOOKUP(D514,'Normalised Rates'!$A$7:$B$12,2,FALSE)</f>
        <v>6.2735257214554575E-4</v>
      </c>
      <c r="M514" s="34">
        <v>1</v>
      </c>
    </row>
    <row r="515" spans="1:13" ht="15" customHeight="1" x14ac:dyDescent="0.25">
      <c r="A515" s="30" t="s">
        <v>138</v>
      </c>
      <c r="B515" s="30" t="s">
        <v>79</v>
      </c>
      <c r="C515" s="9" t="s">
        <v>67</v>
      </c>
      <c r="D515" s="32">
        <v>2021</v>
      </c>
      <c r="E515" s="35" t="s">
        <v>163</v>
      </c>
      <c r="F515" s="33">
        <f t="shared" si="16"/>
        <v>1</v>
      </c>
      <c r="G515" s="33">
        <f t="shared" si="16"/>
        <v>0</v>
      </c>
      <c r="H515" s="33">
        <f t="shared" si="16"/>
        <v>0</v>
      </c>
      <c r="I515" s="40">
        <f t="shared" si="15"/>
        <v>6.2735257214554575E-4</v>
      </c>
      <c r="J515" s="40">
        <f t="shared" si="15"/>
        <v>0</v>
      </c>
      <c r="K515" s="40">
        <f t="shared" si="15"/>
        <v>0</v>
      </c>
      <c r="L515" s="40">
        <f>1000*M515/VLOOKUP(D515,'Normalised Rates'!$A$7:$B$12,2,FALSE)</f>
        <v>6.2735257214554575E-4</v>
      </c>
      <c r="M515" s="34">
        <v>1</v>
      </c>
    </row>
    <row r="516" spans="1:13" ht="15" customHeight="1" x14ac:dyDescent="0.25">
      <c r="A516" s="30" t="s">
        <v>138</v>
      </c>
      <c r="B516" s="30" t="s">
        <v>79</v>
      </c>
      <c r="C516" s="9" t="s">
        <v>67</v>
      </c>
      <c r="D516" s="32">
        <v>2022</v>
      </c>
      <c r="E516" s="33" t="s">
        <v>34</v>
      </c>
      <c r="F516" s="33">
        <f t="shared" si="16"/>
        <v>0</v>
      </c>
      <c r="G516" s="33">
        <f t="shared" si="16"/>
        <v>0</v>
      </c>
      <c r="H516" s="33">
        <f t="shared" si="16"/>
        <v>2</v>
      </c>
      <c r="I516" s="40">
        <f t="shared" si="15"/>
        <v>0</v>
      </c>
      <c r="J516" s="40">
        <f t="shared" si="15"/>
        <v>0</v>
      </c>
      <c r="K516" s="40">
        <f t="shared" si="15"/>
        <v>1.0666666666666667E-3</v>
      </c>
      <c r="L516" s="40">
        <f>1000*M516/VLOOKUP(D516,'Normalised Rates'!$A$7:$B$12,2,FALSE)</f>
        <v>1.0666666666666667E-3</v>
      </c>
      <c r="M516" s="34">
        <v>2</v>
      </c>
    </row>
    <row r="517" spans="1:13" ht="15" customHeight="1" x14ac:dyDescent="0.25">
      <c r="A517" s="30" t="s">
        <v>138</v>
      </c>
      <c r="B517" s="30" t="s">
        <v>79</v>
      </c>
      <c r="C517" s="9" t="s">
        <v>67</v>
      </c>
      <c r="D517" s="32">
        <v>2023</v>
      </c>
      <c r="E517" s="33" t="s">
        <v>34</v>
      </c>
      <c r="F517" s="33">
        <f t="shared" si="16"/>
        <v>0</v>
      </c>
      <c r="G517" s="33">
        <f t="shared" si="16"/>
        <v>0</v>
      </c>
      <c r="H517" s="33">
        <f t="shared" si="16"/>
        <v>1</v>
      </c>
      <c r="I517" s="40">
        <f t="shared" si="15"/>
        <v>0</v>
      </c>
      <c r="J517" s="40">
        <f t="shared" si="15"/>
        <v>0</v>
      </c>
      <c r="K517" s="40">
        <f t="shared" si="15"/>
        <v>4.3744531933508313E-4</v>
      </c>
      <c r="L517" s="40">
        <f>1000*M517/VLOOKUP(D517,'Normalised Rates'!$A$7:$B$12,2,FALSE)</f>
        <v>4.3744531933508313E-4</v>
      </c>
      <c r="M517" s="34">
        <v>1</v>
      </c>
    </row>
    <row r="518" spans="1:13" ht="15" customHeight="1" x14ac:dyDescent="0.25">
      <c r="A518" s="30" t="s">
        <v>138</v>
      </c>
      <c r="B518" s="30" t="s">
        <v>79</v>
      </c>
      <c r="C518" s="9" t="s">
        <v>67</v>
      </c>
      <c r="D518" s="32">
        <v>2023</v>
      </c>
      <c r="E518" s="35" t="s">
        <v>163</v>
      </c>
      <c r="F518" s="33">
        <f t="shared" si="16"/>
        <v>2</v>
      </c>
      <c r="G518" s="33">
        <f t="shared" si="16"/>
        <v>0</v>
      </c>
      <c r="H518" s="33">
        <f t="shared" si="16"/>
        <v>0</v>
      </c>
      <c r="I518" s="40">
        <f t="shared" si="15"/>
        <v>8.7489063867016625E-4</v>
      </c>
      <c r="J518" s="40">
        <f t="shared" si="15"/>
        <v>0</v>
      </c>
      <c r="K518" s="40">
        <f t="shared" si="15"/>
        <v>0</v>
      </c>
      <c r="L518" s="40">
        <f>1000*M518/VLOOKUP(D518,'Normalised Rates'!$A$7:$B$12,2,FALSE)</f>
        <v>8.7489063867016625E-4</v>
      </c>
      <c r="M518" s="34">
        <v>2</v>
      </c>
    </row>
    <row r="519" spans="1:13" ht="15" customHeight="1" x14ac:dyDescent="0.25">
      <c r="A519" s="30" t="s">
        <v>138</v>
      </c>
      <c r="B519" s="30" t="s">
        <v>79</v>
      </c>
      <c r="C519" s="9" t="s">
        <v>67</v>
      </c>
      <c r="D519" s="32">
        <v>2024</v>
      </c>
      <c r="E519" s="33" t="s">
        <v>34</v>
      </c>
      <c r="F519" s="33">
        <f t="shared" si="16"/>
        <v>0</v>
      </c>
      <c r="G519" s="33">
        <f t="shared" si="16"/>
        <v>0</v>
      </c>
      <c r="H519" s="33">
        <f t="shared" si="16"/>
        <v>1</v>
      </c>
      <c r="I519" s="40">
        <f t="shared" ref="I519:K582" si="17">IF(_xlfn.CONCAT($E519,"%")=I$5,$L519,0)</f>
        <v>0</v>
      </c>
      <c r="J519" s="40">
        <f t="shared" si="17"/>
        <v>0</v>
      </c>
      <c r="K519" s="40">
        <f t="shared" si="17"/>
        <v>3.7271710771524412E-4</v>
      </c>
      <c r="L519" s="40">
        <f>1000*M519/VLOOKUP(D519,'Normalised Rates'!$A$7:$B$12,2,FALSE)</f>
        <v>3.7271710771524412E-4</v>
      </c>
      <c r="M519" s="34">
        <v>1</v>
      </c>
    </row>
    <row r="520" spans="1:13" ht="15" customHeight="1" x14ac:dyDescent="0.25">
      <c r="A520" s="30" t="s">
        <v>138</v>
      </c>
      <c r="B520" s="30" t="s">
        <v>79</v>
      </c>
      <c r="C520" s="9" t="s">
        <v>67</v>
      </c>
      <c r="D520" s="32">
        <v>2024</v>
      </c>
      <c r="E520" s="35" t="s">
        <v>163</v>
      </c>
      <c r="F520" s="33">
        <f t="shared" si="16"/>
        <v>3</v>
      </c>
      <c r="G520" s="33">
        <f t="shared" si="16"/>
        <v>0</v>
      </c>
      <c r="H520" s="33">
        <f t="shared" si="16"/>
        <v>0</v>
      </c>
      <c r="I520" s="40">
        <f t="shared" si="17"/>
        <v>1.1181513231457323E-3</v>
      </c>
      <c r="J520" s="40">
        <f t="shared" si="17"/>
        <v>0</v>
      </c>
      <c r="K520" s="40">
        <f t="shared" si="17"/>
        <v>0</v>
      </c>
      <c r="L520" s="40">
        <f>1000*M520/VLOOKUP(D520,'Normalised Rates'!$A$7:$B$12,2,FALSE)</f>
        <v>1.1181513231457323E-3</v>
      </c>
      <c r="M520" s="34">
        <v>3</v>
      </c>
    </row>
    <row r="521" spans="1:13" ht="15" customHeight="1" x14ac:dyDescent="0.25">
      <c r="A521" s="30" t="s">
        <v>138</v>
      </c>
      <c r="B521" s="30" t="s">
        <v>79</v>
      </c>
      <c r="C521" s="9" t="s">
        <v>67</v>
      </c>
      <c r="D521" s="32">
        <v>2025</v>
      </c>
      <c r="E521" s="33" t="s">
        <v>34</v>
      </c>
      <c r="F521" s="33">
        <f t="shared" ref="F521:H584" si="18">IF($E521=F$5,$M521,0)</f>
        <v>0</v>
      </c>
      <c r="G521" s="33">
        <f t="shared" si="18"/>
        <v>0</v>
      </c>
      <c r="H521" s="33">
        <f t="shared" si="18"/>
        <v>2</v>
      </c>
      <c r="I521" s="40">
        <f t="shared" si="17"/>
        <v>0</v>
      </c>
      <c r="J521" s="40">
        <f t="shared" si="17"/>
        <v>0</v>
      </c>
      <c r="K521" s="40">
        <f t="shared" si="17"/>
        <v>6.3431652394544877E-4</v>
      </c>
      <c r="L521" s="40">
        <f>1000*M521/VLOOKUP(D521,'Normalised Rates'!$A$7:$B$12,2,FALSE)</f>
        <v>6.3431652394544877E-4</v>
      </c>
      <c r="M521" s="34">
        <v>2</v>
      </c>
    </row>
    <row r="522" spans="1:13" ht="15" customHeight="1" x14ac:dyDescent="0.25">
      <c r="A522" s="30" t="s">
        <v>138</v>
      </c>
      <c r="B522" s="30" t="s">
        <v>79</v>
      </c>
      <c r="C522" s="9" t="s">
        <v>67</v>
      </c>
      <c r="D522" s="32">
        <v>2025</v>
      </c>
      <c r="E522" s="35" t="s">
        <v>163</v>
      </c>
      <c r="F522" s="33">
        <f t="shared" si="18"/>
        <v>1</v>
      </c>
      <c r="G522" s="33">
        <f t="shared" si="18"/>
        <v>0</v>
      </c>
      <c r="H522" s="33">
        <f t="shared" si="18"/>
        <v>0</v>
      </c>
      <c r="I522" s="40">
        <f t="shared" si="17"/>
        <v>3.1715826197272439E-4</v>
      </c>
      <c r="J522" s="40">
        <f t="shared" si="17"/>
        <v>0</v>
      </c>
      <c r="K522" s="40">
        <f t="shared" si="17"/>
        <v>0</v>
      </c>
      <c r="L522" s="40">
        <f>1000*M522/VLOOKUP(D522,'Normalised Rates'!$A$7:$B$12,2,FALSE)</f>
        <v>3.1715826197272439E-4</v>
      </c>
      <c r="M522" s="34">
        <v>1</v>
      </c>
    </row>
    <row r="523" spans="1:13" ht="15" customHeight="1" x14ac:dyDescent="0.25">
      <c r="A523" s="30" t="s">
        <v>138</v>
      </c>
      <c r="B523" s="30" t="s">
        <v>79</v>
      </c>
      <c r="C523" s="9" t="s">
        <v>67</v>
      </c>
      <c r="D523" s="32">
        <v>2026</v>
      </c>
      <c r="E523" s="33" t="s">
        <v>34</v>
      </c>
      <c r="F523" s="33">
        <f t="shared" si="18"/>
        <v>0</v>
      </c>
      <c r="G523" s="33">
        <f t="shared" si="18"/>
        <v>0</v>
      </c>
      <c r="H523" s="33">
        <f t="shared" si="18"/>
        <v>1</v>
      </c>
      <c r="I523" s="40">
        <f t="shared" si="17"/>
        <v>0</v>
      </c>
      <c r="J523" s="40">
        <f t="shared" si="17"/>
        <v>0</v>
      </c>
      <c r="K523" s="40">
        <f t="shared" si="17"/>
        <v>7.6117982873453852E-4</v>
      </c>
      <c r="L523" s="40">
        <f>1000*M523/VLOOKUP(D523,'Normalised Rates'!$A$7:$B$12,2,FALSE)</f>
        <v>7.6117982873453852E-4</v>
      </c>
      <c r="M523" s="34">
        <v>1</v>
      </c>
    </row>
    <row r="524" spans="1:13" ht="15" customHeight="1" x14ac:dyDescent="0.25">
      <c r="A524" s="30" t="s">
        <v>138</v>
      </c>
      <c r="B524" s="30" t="s">
        <v>79</v>
      </c>
      <c r="C524" s="9" t="s">
        <v>67</v>
      </c>
      <c r="D524" s="32">
        <v>2026</v>
      </c>
      <c r="E524" s="35" t="s">
        <v>163</v>
      </c>
      <c r="F524" s="33">
        <f t="shared" si="18"/>
        <v>1</v>
      </c>
      <c r="G524" s="33">
        <f t="shared" si="18"/>
        <v>0</v>
      </c>
      <c r="H524" s="33">
        <f t="shared" si="18"/>
        <v>0</v>
      </c>
      <c r="I524" s="40">
        <f t="shared" si="17"/>
        <v>7.6117982873453852E-4</v>
      </c>
      <c r="J524" s="40">
        <f t="shared" si="17"/>
        <v>0</v>
      </c>
      <c r="K524" s="40">
        <f t="shared" si="17"/>
        <v>0</v>
      </c>
      <c r="L524" s="40">
        <f>1000*M524/VLOOKUP(D524,'Normalised Rates'!$A$7:$B$12,2,FALSE)</f>
        <v>7.6117982873453852E-4</v>
      </c>
      <c r="M524" s="34">
        <v>1</v>
      </c>
    </row>
    <row r="525" spans="1:13" ht="15" customHeight="1" x14ac:dyDescent="0.25">
      <c r="A525" s="30" t="s">
        <v>138</v>
      </c>
      <c r="B525" s="30" t="s">
        <v>63</v>
      </c>
      <c r="C525" s="9" t="s">
        <v>64</v>
      </c>
      <c r="D525" s="32">
        <v>2022</v>
      </c>
      <c r="E525" s="33" t="s">
        <v>34</v>
      </c>
      <c r="F525" s="33">
        <f t="shared" si="18"/>
        <v>0</v>
      </c>
      <c r="G525" s="33">
        <f t="shared" si="18"/>
        <v>0</v>
      </c>
      <c r="H525" s="33">
        <f t="shared" si="18"/>
        <v>1</v>
      </c>
      <c r="I525" s="40">
        <f t="shared" si="17"/>
        <v>0</v>
      </c>
      <c r="J525" s="40">
        <f t="shared" si="17"/>
        <v>0</v>
      </c>
      <c r="K525" s="40">
        <f t="shared" si="17"/>
        <v>5.3333333333333336E-4</v>
      </c>
      <c r="L525" s="40">
        <f>1000*M525/VLOOKUP(D525,'Normalised Rates'!$A$7:$B$12,2,FALSE)</f>
        <v>5.3333333333333336E-4</v>
      </c>
      <c r="M525" s="34">
        <v>1</v>
      </c>
    </row>
    <row r="526" spans="1:13" ht="15" customHeight="1" x14ac:dyDescent="0.25">
      <c r="A526" s="30" t="s">
        <v>138</v>
      </c>
      <c r="B526" s="30" t="s">
        <v>63</v>
      </c>
      <c r="C526" s="9" t="s">
        <v>64</v>
      </c>
      <c r="D526" s="32">
        <v>2022</v>
      </c>
      <c r="E526" s="35" t="s">
        <v>163</v>
      </c>
      <c r="F526" s="33">
        <f t="shared" si="18"/>
        <v>1</v>
      </c>
      <c r="G526" s="33">
        <f t="shared" si="18"/>
        <v>0</v>
      </c>
      <c r="H526" s="33">
        <f t="shared" si="18"/>
        <v>0</v>
      </c>
      <c r="I526" s="40">
        <f t="shared" si="17"/>
        <v>5.3333333333333336E-4</v>
      </c>
      <c r="J526" s="40">
        <f t="shared" si="17"/>
        <v>0</v>
      </c>
      <c r="K526" s="40">
        <f t="shared" si="17"/>
        <v>0</v>
      </c>
      <c r="L526" s="40">
        <f>1000*M526/VLOOKUP(D526,'Normalised Rates'!$A$7:$B$12,2,FALSE)</f>
        <v>5.3333333333333336E-4</v>
      </c>
      <c r="M526" s="34">
        <v>1</v>
      </c>
    </row>
    <row r="527" spans="1:13" ht="15" customHeight="1" x14ac:dyDescent="0.25">
      <c r="A527" s="30" t="s">
        <v>138</v>
      </c>
      <c r="B527" s="30" t="s">
        <v>63</v>
      </c>
      <c r="C527" s="9" t="s">
        <v>64</v>
      </c>
      <c r="D527" s="32">
        <v>2023</v>
      </c>
      <c r="E527" s="33" t="s">
        <v>34</v>
      </c>
      <c r="F527" s="33">
        <f t="shared" si="18"/>
        <v>0</v>
      </c>
      <c r="G527" s="33">
        <f t="shared" si="18"/>
        <v>0</v>
      </c>
      <c r="H527" s="33">
        <f t="shared" si="18"/>
        <v>2</v>
      </c>
      <c r="I527" s="40">
        <f t="shared" si="17"/>
        <v>0</v>
      </c>
      <c r="J527" s="40">
        <f t="shared" si="17"/>
        <v>0</v>
      </c>
      <c r="K527" s="40">
        <f t="shared" si="17"/>
        <v>8.7489063867016625E-4</v>
      </c>
      <c r="L527" s="40">
        <f>1000*M527/VLOOKUP(D527,'Normalised Rates'!$A$7:$B$12,2,FALSE)</f>
        <v>8.7489063867016625E-4</v>
      </c>
      <c r="M527" s="34">
        <v>2</v>
      </c>
    </row>
    <row r="528" spans="1:13" ht="15" customHeight="1" x14ac:dyDescent="0.25">
      <c r="A528" s="30" t="s">
        <v>138</v>
      </c>
      <c r="B528" s="30" t="s">
        <v>63</v>
      </c>
      <c r="C528" s="9" t="s">
        <v>64</v>
      </c>
      <c r="D528" s="32">
        <v>2023</v>
      </c>
      <c r="E528" s="35" t="s">
        <v>163</v>
      </c>
      <c r="F528" s="33">
        <f t="shared" si="18"/>
        <v>2</v>
      </c>
      <c r="G528" s="33">
        <f t="shared" si="18"/>
        <v>0</v>
      </c>
      <c r="H528" s="33">
        <f t="shared" si="18"/>
        <v>0</v>
      </c>
      <c r="I528" s="40">
        <f t="shared" si="17"/>
        <v>8.7489063867016625E-4</v>
      </c>
      <c r="J528" s="40">
        <f t="shared" si="17"/>
        <v>0</v>
      </c>
      <c r="K528" s="40">
        <f t="shared" si="17"/>
        <v>0</v>
      </c>
      <c r="L528" s="40">
        <f>1000*M528/VLOOKUP(D528,'Normalised Rates'!$A$7:$B$12,2,FALSE)</f>
        <v>8.7489063867016625E-4</v>
      </c>
      <c r="M528" s="34">
        <v>2</v>
      </c>
    </row>
    <row r="529" spans="1:13" ht="15" customHeight="1" x14ac:dyDescent="0.25">
      <c r="A529" s="30" t="s">
        <v>138</v>
      </c>
      <c r="B529" s="30" t="s">
        <v>63</v>
      </c>
      <c r="C529" s="9" t="s">
        <v>64</v>
      </c>
      <c r="D529" s="32">
        <v>2024</v>
      </c>
      <c r="E529" s="33" t="s">
        <v>34</v>
      </c>
      <c r="F529" s="33">
        <f t="shared" si="18"/>
        <v>0</v>
      </c>
      <c r="G529" s="33">
        <f t="shared" si="18"/>
        <v>0</v>
      </c>
      <c r="H529" s="33">
        <f t="shared" si="18"/>
        <v>1</v>
      </c>
      <c r="I529" s="40">
        <f t="shared" si="17"/>
        <v>0</v>
      </c>
      <c r="J529" s="40">
        <f t="shared" si="17"/>
        <v>0</v>
      </c>
      <c r="K529" s="40">
        <f t="shared" si="17"/>
        <v>3.7271710771524412E-4</v>
      </c>
      <c r="L529" s="40">
        <f>1000*M529/VLOOKUP(D529,'Normalised Rates'!$A$7:$B$12,2,FALSE)</f>
        <v>3.7271710771524412E-4</v>
      </c>
      <c r="M529" s="34">
        <v>1</v>
      </c>
    </row>
    <row r="530" spans="1:13" ht="15" customHeight="1" x14ac:dyDescent="0.25">
      <c r="A530" s="30" t="s">
        <v>138</v>
      </c>
      <c r="B530" s="30" t="s">
        <v>63</v>
      </c>
      <c r="C530" s="9" t="s">
        <v>64</v>
      </c>
      <c r="D530" s="32">
        <v>2024</v>
      </c>
      <c r="E530" s="35" t="s">
        <v>163</v>
      </c>
      <c r="F530" s="33">
        <f t="shared" si="18"/>
        <v>2</v>
      </c>
      <c r="G530" s="33">
        <f t="shared" si="18"/>
        <v>0</v>
      </c>
      <c r="H530" s="33">
        <f t="shared" si="18"/>
        <v>0</v>
      </c>
      <c r="I530" s="40">
        <f t="shared" si="17"/>
        <v>7.4543421543048823E-4</v>
      </c>
      <c r="J530" s="40">
        <f t="shared" si="17"/>
        <v>0</v>
      </c>
      <c r="K530" s="40">
        <f t="shared" si="17"/>
        <v>0</v>
      </c>
      <c r="L530" s="40">
        <f>1000*M530/VLOOKUP(D530,'Normalised Rates'!$A$7:$B$12,2,FALSE)</f>
        <v>7.4543421543048823E-4</v>
      </c>
      <c r="M530" s="34">
        <v>2</v>
      </c>
    </row>
    <row r="531" spans="1:13" ht="15" customHeight="1" x14ac:dyDescent="0.25">
      <c r="A531" s="30" t="s">
        <v>138</v>
      </c>
      <c r="B531" s="30" t="s">
        <v>63</v>
      </c>
      <c r="C531" s="9" t="s">
        <v>64</v>
      </c>
      <c r="D531" s="32">
        <v>2025</v>
      </c>
      <c r="E531" s="33" t="s">
        <v>34</v>
      </c>
      <c r="F531" s="33">
        <f t="shared" si="18"/>
        <v>0</v>
      </c>
      <c r="G531" s="33">
        <f t="shared" si="18"/>
        <v>0</v>
      </c>
      <c r="H531" s="33">
        <f t="shared" si="18"/>
        <v>2</v>
      </c>
      <c r="I531" s="40">
        <f t="shared" si="17"/>
        <v>0</v>
      </c>
      <c r="J531" s="40">
        <f t="shared" si="17"/>
        <v>0</v>
      </c>
      <c r="K531" s="40">
        <f t="shared" si="17"/>
        <v>6.3431652394544877E-4</v>
      </c>
      <c r="L531" s="40">
        <f>1000*M531/VLOOKUP(D531,'Normalised Rates'!$A$7:$B$12,2,FALSE)</f>
        <v>6.3431652394544877E-4</v>
      </c>
      <c r="M531" s="34">
        <v>2</v>
      </c>
    </row>
    <row r="532" spans="1:13" ht="15" customHeight="1" x14ac:dyDescent="0.25">
      <c r="A532" s="30" t="s">
        <v>138</v>
      </c>
      <c r="B532" s="30" t="s">
        <v>63</v>
      </c>
      <c r="C532" s="9" t="s">
        <v>64</v>
      </c>
      <c r="D532" s="32">
        <v>2026</v>
      </c>
      <c r="E532" s="35" t="s">
        <v>163</v>
      </c>
      <c r="F532" s="33">
        <f t="shared" si="18"/>
        <v>2</v>
      </c>
      <c r="G532" s="33">
        <f t="shared" si="18"/>
        <v>0</v>
      </c>
      <c r="H532" s="33">
        <f t="shared" si="18"/>
        <v>0</v>
      </c>
      <c r="I532" s="40">
        <f t="shared" si="17"/>
        <v>1.522359657469077E-3</v>
      </c>
      <c r="J532" s="40">
        <f t="shared" si="17"/>
        <v>0</v>
      </c>
      <c r="K532" s="40">
        <f t="shared" si="17"/>
        <v>0</v>
      </c>
      <c r="L532" s="40">
        <f>1000*M532/VLOOKUP(D532,'Normalised Rates'!$A$7:$B$12,2,FALSE)</f>
        <v>1.522359657469077E-3</v>
      </c>
      <c r="M532" s="34">
        <v>2</v>
      </c>
    </row>
    <row r="533" spans="1:13" ht="15" customHeight="1" x14ac:dyDescent="0.25">
      <c r="A533" s="30" t="s">
        <v>138</v>
      </c>
      <c r="B533" s="30" t="s">
        <v>111</v>
      </c>
      <c r="C533" s="9" t="s">
        <v>105</v>
      </c>
      <c r="D533" s="32">
        <v>2022</v>
      </c>
      <c r="E533" s="33" t="s">
        <v>34</v>
      </c>
      <c r="F533" s="33">
        <f t="shared" si="18"/>
        <v>0</v>
      </c>
      <c r="G533" s="33">
        <f t="shared" si="18"/>
        <v>0</v>
      </c>
      <c r="H533" s="33">
        <f t="shared" si="18"/>
        <v>2</v>
      </c>
      <c r="I533" s="40">
        <f t="shared" si="17"/>
        <v>0</v>
      </c>
      <c r="J533" s="40">
        <f t="shared" si="17"/>
        <v>0</v>
      </c>
      <c r="K533" s="40">
        <f t="shared" si="17"/>
        <v>1.0666666666666667E-3</v>
      </c>
      <c r="L533" s="40">
        <f>1000*M533/VLOOKUP(D533,'Normalised Rates'!$A$7:$B$12,2,FALSE)</f>
        <v>1.0666666666666667E-3</v>
      </c>
      <c r="M533" s="34">
        <v>2</v>
      </c>
    </row>
    <row r="534" spans="1:13" ht="15" customHeight="1" x14ac:dyDescent="0.25">
      <c r="A534" s="30" t="s">
        <v>138</v>
      </c>
      <c r="B534" s="30" t="s">
        <v>111</v>
      </c>
      <c r="C534" s="9" t="s">
        <v>105</v>
      </c>
      <c r="D534" s="32">
        <v>2024</v>
      </c>
      <c r="E534" s="33" t="s">
        <v>34</v>
      </c>
      <c r="F534" s="33">
        <f t="shared" si="18"/>
        <v>0</v>
      </c>
      <c r="G534" s="33">
        <f t="shared" si="18"/>
        <v>0</v>
      </c>
      <c r="H534" s="33">
        <f t="shared" si="18"/>
        <v>2</v>
      </c>
      <c r="I534" s="40">
        <f t="shared" si="17"/>
        <v>0</v>
      </c>
      <c r="J534" s="40">
        <f t="shared" si="17"/>
        <v>0</v>
      </c>
      <c r="K534" s="40">
        <f t="shared" si="17"/>
        <v>7.4543421543048823E-4</v>
      </c>
      <c r="L534" s="40">
        <f>1000*M534/VLOOKUP(D534,'Normalised Rates'!$A$7:$B$12,2,FALSE)</f>
        <v>7.4543421543048823E-4</v>
      </c>
      <c r="M534" s="34">
        <v>2</v>
      </c>
    </row>
    <row r="535" spans="1:13" ht="15" customHeight="1" x14ac:dyDescent="0.25">
      <c r="A535" s="30" t="s">
        <v>138</v>
      </c>
      <c r="B535" s="30" t="s">
        <v>111</v>
      </c>
      <c r="C535" s="9" t="s">
        <v>105</v>
      </c>
      <c r="D535" s="32">
        <v>2024</v>
      </c>
      <c r="E535" s="35" t="s">
        <v>163</v>
      </c>
      <c r="F535" s="33">
        <f t="shared" si="18"/>
        <v>2</v>
      </c>
      <c r="G535" s="33">
        <f t="shared" si="18"/>
        <v>0</v>
      </c>
      <c r="H535" s="33">
        <f t="shared" si="18"/>
        <v>0</v>
      </c>
      <c r="I535" s="40">
        <f t="shared" si="17"/>
        <v>7.4543421543048823E-4</v>
      </c>
      <c r="J535" s="40">
        <f t="shared" si="17"/>
        <v>0</v>
      </c>
      <c r="K535" s="40">
        <f t="shared" si="17"/>
        <v>0</v>
      </c>
      <c r="L535" s="40">
        <f>1000*M535/VLOOKUP(D535,'Normalised Rates'!$A$7:$B$12,2,FALSE)</f>
        <v>7.4543421543048823E-4</v>
      </c>
      <c r="M535" s="34">
        <v>2</v>
      </c>
    </row>
    <row r="536" spans="1:13" ht="15" customHeight="1" x14ac:dyDescent="0.25">
      <c r="A536" s="30" t="s">
        <v>138</v>
      </c>
      <c r="B536" s="30" t="s">
        <v>111</v>
      </c>
      <c r="C536" s="9" t="s">
        <v>105</v>
      </c>
      <c r="D536" s="32">
        <v>2025</v>
      </c>
      <c r="E536" s="33" t="s">
        <v>34</v>
      </c>
      <c r="F536" s="33">
        <f t="shared" si="18"/>
        <v>0</v>
      </c>
      <c r="G536" s="33">
        <f t="shared" si="18"/>
        <v>0</v>
      </c>
      <c r="H536" s="33">
        <f t="shared" si="18"/>
        <v>3</v>
      </c>
      <c r="I536" s="40">
        <f t="shared" si="17"/>
        <v>0</v>
      </c>
      <c r="J536" s="40">
        <f t="shared" si="17"/>
        <v>0</v>
      </c>
      <c r="K536" s="40">
        <f t="shared" si="17"/>
        <v>9.5147478591817321E-4</v>
      </c>
      <c r="L536" s="40">
        <f>1000*M536/VLOOKUP(D536,'Normalised Rates'!$A$7:$B$12,2,FALSE)</f>
        <v>9.5147478591817321E-4</v>
      </c>
      <c r="M536" s="34">
        <v>3</v>
      </c>
    </row>
    <row r="537" spans="1:13" ht="15" customHeight="1" x14ac:dyDescent="0.25">
      <c r="A537" s="30" t="s">
        <v>138</v>
      </c>
      <c r="B537" s="30" t="s">
        <v>111</v>
      </c>
      <c r="C537" s="9" t="s">
        <v>105</v>
      </c>
      <c r="D537" s="32">
        <v>2025</v>
      </c>
      <c r="E537" s="35" t="s">
        <v>163</v>
      </c>
      <c r="F537" s="33">
        <f t="shared" si="18"/>
        <v>1</v>
      </c>
      <c r="G537" s="33">
        <f t="shared" si="18"/>
        <v>0</v>
      </c>
      <c r="H537" s="33">
        <f t="shared" si="18"/>
        <v>0</v>
      </c>
      <c r="I537" s="40">
        <f t="shared" si="17"/>
        <v>3.1715826197272439E-4</v>
      </c>
      <c r="J537" s="40">
        <f t="shared" si="17"/>
        <v>0</v>
      </c>
      <c r="K537" s="40">
        <f t="shared" si="17"/>
        <v>0</v>
      </c>
      <c r="L537" s="40">
        <f>1000*M537/VLOOKUP(D537,'Normalised Rates'!$A$7:$B$12,2,FALSE)</f>
        <v>3.1715826197272439E-4</v>
      </c>
      <c r="M537" s="34">
        <v>1</v>
      </c>
    </row>
    <row r="538" spans="1:13" ht="15" customHeight="1" x14ac:dyDescent="0.25">
      <c r="A538" s="30" t="s">
        <v>138</v>
      </c>
      <c r="B538" s="30" t="s">
        <v>111</v>
      </c>
      <c r="C538" s="9" t="s">
        <v>105</v>
      </c>
      <c r="D538" s="32">
        <v>2026</v>
      </c>
      <c r="E538" s="33" t="s">
        <v>34</v>
      </c>
      <c r="F538" s="33">
        <f t="shared" si="18"/>
        <v>0</v>
      </c>
      <c r="G538" s="33">
        <f t="shared" si="18"/>
        <v>0</v>
      </c>
      <c r="H538" s="33">
        <f t="shared" si="18"/>
        <v>2</v>
      </c>
      <c r="I538" s="40">
        <f t="shared" si="17"/>
        <v>0</v>
      </c>
      <c r="J538" s="40">
        <f t="shared" si="17"/>
        <v>0</v>
      </c>
      <c r="K538" s="40">
        <f t="shared" si="17"/>
        <v>1.522359657469077E-3</v>
      </c>
      <c r="L538" s="40">
        <f>1000*M538/VLOOKUP(D538,'Normalised Rates'!$A$7:$B$12,2,FALSE)</f>
        <v>1.522359657469077E-3</v>
      </c>
      <c r="M538" s="34">
        <v>2</v>
      </c>
    </row>
    <row r="539" spans="1:13" ht="15" customHeight="1" x14ac:dyDescent="0.25">
      <c r="A539" s="30" t="s">
        <v>138</v>
      </c>
      <c r="B539" s="30" t="s">
        <v>117</v>
      </c>
      <c r="C539" s="9" t="s">
        <v>64</v>
      </c>
      <c r="D539" s="32">
        <v>2021</v>
      </c>
      <c r="E539" s="35" t="s">
        <v>163</v>
      </c>
      <c r="F539" s="33">
        <f t="shared" si="18"/>
        <v>1</v>
      </c>
      <c r="G539" s="33">
        <f t="shared" si="18"/>
        <v>0</v>
      </c>
      <c r="H539" s="33">
        <f t="shared" si="18"/>
        <v>0</v>
      </c>
      <c r="I539" s="40">
        <f t="shared" si="17"/>
        <v>6.2735257214554575E-4</v>
      </c>
      <c r="J539" s="40">
        <f t="shared" si="17"/>
        <v>0</v>
      </c>
      <c r="K539" s="40">
        <f t="shared" si="17"/>
        <v>0</v>
      </c>
      <c r="L539" s="40">
        <f>1000*M539/VLOOKUP(D539,'Normalised Rates'!$A$7:$B$12,2,FALSE)</f>
        <v>6.2735257214554575E-4</v>
      </c>
      <c r="M539" s="34">
        <v>1</v>
      </c>
    </row>
    <row r="540" spans="1:13" ht="15" customHeight="1" x14ac:dyDescent="0.25">
      <c r="A540" s="30" t="s">
        <v>138</v>
      </c>
      <c r="B540" s="30" t="s">
        <v>117</v>
      </c>
      <c r="C540" s="9" t="s">
        <v>64</v>
      </c>
      <c r="D540" s="32">
        <v>2022</v>
      </c>
      <c r="E540" s="33" t="s">
        <v>34</v>
      </c>
      <c r="F540" s="33">
        <f t="shared" si="18"/>
        <v>0</v>
      </c>
      <c r="G540" s="33">
        <f t="shared" si="18"/>
        <v>0</v>
      </c>
      <c r="H540" s="33">
        <f t="shared" si="18"/>
        <v>2</v>
      </c>
      <c r="I540" s="40">
        <f t="shared" si="17"/>
        <v>0</v>
      </c>
      <c r="J540" s="40">
        <f t="shared" si="17"/>
        <v>0</v>
      </c>
      <c r="K540" s="40">
        <f t="shared" si="17"/>
        <v>1.0666666666666667E-3</v>
      </c>
      <c r="L540" s="40">
        <f>1000*M540/VLOOKUP(D540,'Normalised Rates'!$A$7:$B$12,2,FALSE)</f>
        <v>1.0666666666666667E-3</v>
      </c>
      <c r="M540" s="34">
        <v>2</v>
      </c>
    </row>
    <row r="541" spans="1:13" ht="15" customHeight="1" x14ac:dyDescent="0.25">
      <c r="A541" s="30" t="s">
        <v>138</v>
      </c>
      <c r="B541" s="30" t="s">
        <v>117</v>
      </c>
      <c r="C541" s="9" t="s">
        <v>64</v>
      </c>
      <c r="D541" s="32">
        <v>2022</v>
      </c>
      <c r="E541" s="35" t="s">
        <v>163</v>
      </c>
      <c r="F541" s="33">
        <f t="shared" si="18"/>
        <v>4</v>
      </c>
      <c r="G541" s="33">
        <f t="shared" si="18"/>
        <v>0</v>
      </c>
      <c r="H541" s="33">
        <f t="shared" si="18"/>
        <v>0</v>
      </c>
      <c r="I541" s="40">
        <f t="shared" si="17"/>
        <v>2.1333333333333334E-3</v>
      </c>
      <c r="J541" s="40">
        <f t="shared" si="17"/>
        <v>0</v>
      </c>
      <c r="K541" s="40">
        <f t="shared" si="17"/>
        <v>0</v>
      </c>
      <c r="L541" s="40">
        <f>1000*M541/VLOOKUP(D541,'Normalised Rates'!$A$7:$B$12,2,FALSE)</f>
        <v>2.1333333333333334E-3</v>
      </c>
      <c r="M541" s="34">
        <v>4</v>
      </c>
    </row>
    <row r="542" spans="1:13" ht="15" customHeight="1" x14ac:dyDescent="0.25">
      <c r="A542" s="30" t="s">
        <v>138</v>
      </c>
      <c r="B542" s="30" t="s">
        <v>117</v>
      </c>
      <c r="C542" s="9" t="s">
        <v>64</v>
      </c>
      <c r="D542" s="32">
        <v>2023</v>
      </c>
      <c r="E542" s="35" t="s">
        <v>163</v>
      </c>
      <c r="F542" s="33">
        <f t="shared" si="18"/>
        <v>1</v>
      </c>
      <c r="G542" s="33">
        <f t="shared" si="18"/>
        <v>0</v>
      </c>
      <c r="H542" s="33">
        <f t="shared" si="18"/>
        <v>0</v>
      </c>
      <c r="I542" s="40">
        <f t="shared" si="17"/>
        <v>4.3744531933508313E-4</v>
      </c>
      <c r="J542" s="40">
        <f t="shared" si="17"/>
        <v>0</v>
      </c>
      <c r="K542" s="40">
        <f t="shared" si="17"/>
        <v>0</v>
      </c>
      <c r="L542" s="40">
        <f>1000*M542/VLOOKUP(D542,'Normalised Rates'!$A$7:$B$12,2,FALSE)</f>
        <v>4.3744531933508313E-4</v>
      </c>
      <c r="M542" s="34">
        <v>1</v>
      </c>
    </row>
    <row r="543" spans="1:13" ht="15" customHeight="1" x14ac:dyDescent="0.25">
      <c r="A543" s="30" t="s">
        <v>138</v>
      </c>
      <c r="B543" s="30" t="s">
        <v>117</v>
      </c>
      <c r="C543" s="9" t="s">
        <v>64</v>
      </c>
      <c r="D543" s="32">
        <v>2024</v>
      </c>
      <c r="E543" s="35" t="s">
        <v>163</v>
      </c>
      <c r="F543" s="33">
        <f t="shared" si="18"/>
        <v>2</v>
      </c>
      <c r="G543" s="33">
        <f t="shared" si="18"/>
        <v>0</v>
      </c>
      <c r="H543" s="33">
        <f t="shared" si="18"/>
        <v>0</v>
      </c>
      <c r="I543" s="40">
        <f t="shared" si="17"/>
        <v>7.4543421543048823E-4</v>
      </c>
      <c r="J543" s="40">
        <f t="shared" si="17"/>
        <v>0</v>
      </c>
      <c r="K543" s="40">
        <f t="shared" si="17"/>
        <v>0</v>
      </c>
      <c r="L543" s="40">
        <f>1000*M543/VLOOKUP(D543,'Normalised Rates'!$A$7:$B$12,2,FALSE)</f>
        <v>7.4543421543048823E-4</v>
      </c>
      <c r="M543" s="34">
        <v>2</v>
      </c>
    </row>
    <row r="544" spans="1:13" ht="15" customHeight="1" x14ac:dyDescent="0.25">
      <c r="A544" s="30" t="s">
        <v>138</v>
      </c>
      <c r="B544" s="30" t="s">
        <v>125</v>
      </c>
      <c r="C544" s="9" t="s">
        <v>67</v>
      </c>
      <c r="D544" s="32">
        <v>2022</v>
      </c>
      <c r="E544" s="35" t="s">
        <v>163</v>
      </c>
      <c r="F544" s="33">
        <f t="shared" si="18"/>
        <v>1</v>
      </c>
      <c r="G544" s="33">
        <f t="shared" si="18"/>
        <v>0</v>
      </c>
      <c r="H544" s="33">
        <f t="shared" si="18"/>
        <v>0</v>
      </c>
      <c r="I544" s="40">
        <f t="shared" si="17"/>
        <v>5.3333333333333336E-4</v>
      </c>
      <c r="J544" s="40">
        <f t="shared" si="17"/>
        <v>0</v>
      </c>
      <c r="K544" s="40">
        <f t="shared" si="17"/>
        <v>0</v>
      </c>
      <c r="L544" s="40">
        <f>1000*M544/VLOOKUP(D544,'Normalised Rates'!$A$7:$B$12,2,FALSE)</f>
        <v>5.3333333333333336E-4</v>
      </c>
      <c r="M544" s="34">
        <v>1</v>
      </c>
    </row>
    <row r="545" spans="1:13" ht="15" customHeight="1" x14ac:dyDescent="0.25">
      <c r="A545" s="30" t="s">
        <v>138</v>
      </c>
      <c r="B545" s="30" t="s">
        <v>125</v>
      </c>
      <c r="C545" s="9" t="s">
        <v>67</v>
      </c>
      <c r="D545" s="32">
        <v>2023</v>
      </c>
      <c r="E545" s="35" t="s">
        <v>163</v>
      </c>
      <c r="F545" s="33">
        <f t="shared" si="18"/>
        <v>1</v>
      </c>
      <c r="G545" s="33">
        <f t="shared" si="18"/>
        <v>0</v>
      </c>
      <c r="H545" s="33">
        <f t="shared" si="18"/>
        <v>0</v>
      </c>
      <c r="I545" s="40">
        <f t="shared" si="17"/>
        <v>4.3744531933508313E-4</v>
      </c>
      <c r="J545" s="40">
        <f t="shared" si="17"/>
        <v>0</v>
      </c>
      <c r="K545" s="40">
        <f t="shared" si="17"/>
        <v>0</v>
      </c>
      <c r="L545" s="40">
        <f>1000*M545/VLOOKUP(D545,'Normalised Rates'!$A$7:$B$12,2,FALSE)</f>
        <v>4.3744531933508313E-4</v>
      </c>
      <c r="M545" s="34">
        <v>1</v>
      </c>
    </row>
    <row r="546" spans="1:13" ht="15" customHeight="1" x14ac:dyDescent="0.25">
      <c r="A546" s="30" t="s">
        <v>138</v>
      </c>
      <c r="B546" s="30" t="s">
        <v>125</v>
      </c>
      <c r="C546" s="9" t="s">
        <v>67</v>
      </c>
      <c r="D546" s="32">
        <v>2024</v>
      </c>
      <c r="E546" s="33" t="s">
        <v>34</v>
      </c>
      <c r="F546" s="33">
        <f t="shared" si="18"/>
        <v>0</v>
      </c>
      <c r="G546" s="33">
        <f t="shared" si="18"/>
        <v>0</v>
      </c>
      <c r="H546" s="33">
        <f t="shared" si="18"/>
        <v>1</v>
      </c>
      <c r="I546" s="40">
        <f t="shared" si="17"/>
        <v>0</v>
      </c>
      <c r="J546" s="40">
        <f t="shared" si="17"/>
        <v>0</v>
      </c>
      <c r="K546" s="40">
        <f t="shared" si="17"/>
        <v>3.7271710771524412E-4</v>
      </c>
      <c r="L546" s="40">
        <f>1000*M546/VLOOKUP(D546,'Normalised Rates'!$A$7:$B$12,2,FALSE)</f>
        <v>3.7271710771524412E-4</v>
      </c>
      <c r="M546" s="34">
        <v>1</v>
      </c>
    </row>
    <row r="547" spans="1:13" ht="15" customHeight="1" x14ac:dyDescent="0.25">
      <c r="A547" s="30" t="s">
        <v>138</v>
      </c>
      <c r="B547" s="30" t="s">
        <v>125</v>
      </c>
      <c r="C547" s="9" t="s">
        <v>67</v>
      </c>
      <c r="D547" s="32">
        <v>2024</v>
      </c>
      <c r="E547" s="35" t="s">
        <v>163</v>
      </c>
      <c r="F547" s="33">
        <f t="shared" si="18"/>
        <v>3</v>
      </c>
      <c r="G547" s="33">
        <f t="shared" si="18"/>
        <v>0</v>
      </c>
      <c r="H547" s="33">
        <f t="shared" si="18"/>
        <v>0</v>
      </c>
      <c r="I547" s="40">
        <f t="shared" si="17"/>
        <v>1.1181513231457323E-3</v>
      </c>
      <c r="J547" s="40">
        <f t="shared" si="17"/>
        <v>0</v>
      </c>
      <c r="K547" s="40">
        <f t="shared" si="17"/>
        <v>0</v>
      </c>
      <c r="L547" s="40">
        <f>1000*M547/VLOOKUP(D547,'Normalised Rates'!$A$7:$B$12,2,FALSE)</f>
        <v>1.1181513231457323E-3</v>
      </c>
      <c r="M547" s="34">
        <v>3</v>
      </c>
    </row>
    <row r="548" spans="1:13" ht="15" customHeight="1" x14ac:dyDescent="0.25">
      <c r="A548" s="30" t="s">
        <v>138</v>
      </c>
      <c r="B548" s="30" t="s">
        <v>125</v>
      </c>
      <c r="C548" s="9" t="s">
        <v>67</v>
      </c>
      <c r="D548" s="32">
        <v>2025</v>
      </c>
      <c r="E548" s="35" t="s">
        <v>163</v>
      </c>
      <c r="F548" s="33">
        <f t="shared" si="18"/>
        <v>2</v>
      </c>
      <c r="G548" s="33">
        <f t="shared" si="18"/>
        <v>0</v>
      </c>
      <c r="H548" s="33">
        <f t="shared" si="18"/>
        <v>0</v>
      </c>
      <c r="I548" s="40">
        <f t="shared" si="17"/>
        <v>6.3431652394544877E-4</v>
      </c>
      <c r="J548" s="40">
        <f t="shared" si="17"/>
        <v>0</v>
      </c>
      <c r="K548" s="40">
        <f t="shared" si="17"/>
        <v>0</v>
      </c>
      <c r="L548" s="40">
        <f>1000*M548/VLOOKUP(D548,'Normalised Rates'!$A$7:$B$12,2,FALSE)</f>
        <v>6.3431652394544877E-4</v>
      </c>
      <c r="M548" s="34">
        <v>2</v>
      </c>
    </row>
    <row r="549" spans="1:13" ht="15" customHeight="1" x14ac:dyDescent="0.25">
      <c r="A549" s="30" t="s">
        <v>138</v>
      </c>
      <c r="B549" s="30" t="s">
        <v>125</v>
      </c>
      <c r="C549" s="9" t="s">
        <v>67</v>
      </c>
      <c r="D549" s="32">
        <v>2026</v>
      </c>
      <c r="E549" s="33" t="s">
        <v>34</v>
      </c>
      <c r="F549" s="33">
        <f t="shared" si="18"/>
        <v>0</v>
      </c>
      <c r="G549" s="33">
        <f t="shared" si="18"/>
        <v>0</v>
      </c>
      <c r="H549" s="33">
        <f t="shared" si="18"/>
        <v>1</v>
      </c>
      <c r="I549" s="40">
        <f t="shared" si="17"/>
        <v>0</v>
      </c>
      <c r="J549" s="40">
        <f t="shared" si="17"/>
        <v>0</v>
      </c>
      <c r="K549" s="40">
        <f t="shared" si="17"/>
        <v>7.6117982873453852E-4</v>
      </c>
      <c r="L549" s="40">
        <f>1000*M549/VLOOKUP(D549,'Normalised Rates'!$A$7:$B$12,2,FALSE)</f>
        <v>7.6117982873453852E-4</v>
      </c>
      <c r="M549" s="34">
        <v>1</v>
      </c>
    </row>
    <row r="550" spans="1:13" ht="15" customHeight="1" x14ac:dyDescent="0.25">
      <c r="A550" s="30" t="s">
        <v>138</v>
      </c>
      <c r="B550" s="30" t="s">
        <v>123</v>
      </c>
      <c r="C550" s="9" t="s">
        <v>84</v>
      </c>
      <c r="D550" s="32">
        <v>2023</v>
      </c>
      <c r="E550" s="35" t="s">
        <v>163</v>
      </c>
      <c r="F550" s="33">
        <f t="shared" si="18"/>
        <v>1</v>
      </c>
      <c r="G550" s="33">
        <f t="shared" si="18"/>
        <v>0</v>
      </c>
      <c r="H550" s="33">
        <f t="shared" si="18"/>
        <v>0</v>
      </c>
      <c r="I550" s="40">
        <f t="shared" si="17"/>
        <v>4.3744531933508313E-4</v>
      </c>
      <c r="J550" s="40">
        <f t="shared" si="17"/>
        <v>0</v>
      </c>
      <c r="K550" s="40">
        <f t="shared" si="17"/>
        <v>0</v>
      </c>
      <c r="L550" s="40">
        <f>1000*M550/VLOOKUP(D550,'Normalised Rates'!$A$7:$B$12,2,FALSE)</f>
        <v>4.3744531933508313E-4</v>
      </c>
      <c r="M550" s="34">
        <v>1</v>
      </c>
    </row>
    <row r="551" spans="1:13" ht="15" customHeight="1" x14ac:dyDescent="0.25">
      <c r="A551" s="30" t="s">
        <v>138</v>
      </c>
      <c r="B551" s="30" t="s">
        <v>123</v>
      </c>
      <c r="C551" s="9" t="s">
        <v>84</v>
      </c>
      <c r="D551" s="32">
        <v>2024</v>
      </c>
      <c r="E551" s="35" t="s">
        <v>163</v>
      </c>
      <c r="F551" s="33">
        <f t="shared" si="18"/>
        <v>1</v>
      </c>
      <c r="G551" s="33">
        <f t="shared" si="18"/>
        <v>0</v>
      </c>
      <c r="H551" s="33">
        <f t="shared" si="18"/>
        <v>0</v>
      </c>
      <c r="I551" s="40">
        <f t="shared" si="17"/>
        <v>3.7271710771524412E-4</v>
      </c>
      <c r="J551" s="40">
        <f t="shared" si="17"/>
        <v>0</v>
      </c>
      <c r="K551" s="40">
        <f t="shared" si="17"/>
        <v>0</v>
      </c>
      <c r="L551" s="40">
        <f>1000*M551/VLOOKUP(D551,'Normalised Rates'!$A$7:$B$12,2,FALSE)</f>
        <v>3.7271710771524412E-4</v>
      </c>
      <c r="M551" s="34">
        <v>1</v>
      </c>
    </row>
    <row r="552" spans="1:13" ht="15" customHeight="1" x14ac:dyDescent="0.25">
      <c r="A552" s="30" t="s">
        <v>138</v>
      </c>
      <c r="B552" s="30" t="s">
        <v>123</v>
      </c>
      <c r="C552" s="9" t="s">
        <v>84</v>
      </c>
      <c r="D552" s="32">
        <v>2025</v>
      </c>
      <c r="E552" s="33" t="s">
        <v>34</v>
      </c>
      <c r="F552" s="33">
        <f t="shared" si="18"/>
        <v>0</v>
      </c>
      <c r="G552" s="33">
        <f t="shared" si="18"/>
        <v>0</v>
      </c>
      <c r="H552" s="33">
        <f t="shared" si="18"/>
        <v>1</v>
      </c>
      <c r="I552" s="40">
        <f t="shared" si="17"/>
        <v>0</v>
      </c>
      <c r="J552" s="40">
        <f t="shared" si="17"/>
        <v>0</v>
      </c>
      <c r="K552" s="40">
        <f t="shared" si="17"/>
        <v>3.1715826197272439E-4</v>
      </c>
      <c r="L552" s="40">
        <f>1000*M552/VLOOKUP(D552,'Normalised Rates'!$A$7:$B$12,2,FALSE)</f>
        <v>3.1715826197272439E-4</v>
      </c>
      <c r="M552" s="34">
        <v>1</v>
      </c>
    </row>
    <row r="553" spans="1:13" ht="15" customHeight="1" x14ac:dyDescent="0.25">
      <c r="A553" s="30" t="s">
        <v>138</v>
      </c>
      <c r="B553" s="30" t="s">
        <v>127</v>
      </c>
      <c r="C553" s="9" t="s">
        <v>67</v>
      </c>
      <c r="D553" s="32">
        <v>2023</v>
      </c>
      <c r="E553" s="35" t="s">
        <v>163</v>
      </c>
      <c r="F553" s="33">
        <f t="shared" si="18"/>
        <v>2</v>
      </c>
      <c r="G553" s="33">
        <f t="shared" si="18"/>
        <v>0</v>
      </c>
      <c r="H553" s="33">
        <f t="shared" si="18"/>
        <v>0</v>
      </c>
      <c r="I553" s="40">
        <f t="shared" si="17"/>
        <v>8.7489063867016625E-4</v>
      </c>
      <c r="J553" s="40">
        <f t="shared" si="17"/>
        <v>0</v>
      </c>
      <c r="K553" s="40">
        <f t="shared" si="17"/>
        <v>0</v>
      </c>
      <c r="L553" s="40">
        <f>1000*M553/VLOOKUP(D553,'Normalised Rates'!$A$7:$B$12,2,FALSE)</f>
        <v>8.7489063867016625E-4</v>
      </c>
      <c r="M553" s="34">
        <v>2</v>
      </c>
    </row>
    <row r="554" spans="1:13" ht="15" customHeight="1" x14ac:dyDescent="0.25">
      <c r="A554" s="30" t="s">
        <v>141</v>
      </c>
      <c r="B554" s="30" t="s">
        <v>66</v>
      </c>
      <c r="C554" s="9" t="s">
        <v>67</v>
      </c>
      <c r="D554" s="32">
        <v>2021</v>
      </c>
      <c r="E554" s="33" t="s">
        <v>34</v>
      </c>
      <c r="F554" s="33">
        <f t="shared" si="18"/>
        <v>0</v>
      </c>
      <c r="G554" s="33">
        <f t="shared" si="18"/>
        <v>0</v>
      </c>
      <c r="H554" s="33">
        <f t="shared" si="18"/>
        <v>3</v>
      </c>
      <c r="I554" s="40">
        <f t="shared" si="17"/>
        <v>0</v>
      </c>
      <c r="J554" s="40">
        <f t="shared" si="17"/>
        <v>0</v>
      </c>
      <c r="K554" s="40">
        <f t="shared" si="17"/>
        <v>1.8820577164366374E-3</v>
      </c>
      <c r="L554" s="40">
        <f>1000*M554/VLOOKUP(D554,'Normalised Rates'!$A$7:$B$12,2,FALSE)</f>
        <v>1.8820577164366374E-3</v>
      </c>
      <c r="M554" s="34">
        <v>3</v>
      </c>
    </row>
    <row r="555" spans="1:13" ht="15" customHeight="1" x14ac:dyDescent="0.25">
      <c r="A555" s="30" t="s">
        <v>141</v>
      </c>
      <c r="B555" s="30" t="s">
        <v>66</v>
      </c>
      <c r="C555" s="9" t="s">
        <v>67</v>
      </c>
      <c r="D555" s="32">
        <v>2021</v>
      </c>
      <c r="E555" s="35" t="s">
        <v>163</v>
      </c>
      <c r="F555" s="33">
        <f t="shared" si="18"/>
        <v>1</v>
      </c>
      <c r="G555" s="33">
        <f t="shared" si="18"/>
        <v>0</v>
      </c>
      <c r="H555" s="33">
        <f t="shared" si="18"/>
        <v>0</v>
      </c>
      <c r="I555" s="40">
        <f t="shared" si="17"/>
        <v>6.2735257214554575E-4</v>
      </c>
      <c r="J555" s="40">
        <f t="shared" si="17"/>
        <v>0</v>
      </c>
      <c r="K555" s="40">
        <f t="shared" si="17"/>
        <v>0</v>
      </c>
      <c r="L555" s="40">
        <f>1000*M555/VLOOKUP(D555,'Normalised Rates'!$A$7:$B$12,2,FALSE)</f>
        <v>6.2735257214554575E-4</v>
      </c>
      <c r="M555" s="34">
        <v>1</v>
      </c>
    </row>
    <row r="556" spans="1:13" ht="15" customHeight="1" x14ac:dyDescent="0.25">
      <c r="A556" s="30" t="s">
        <v>141</v>
      </c>
      <c r="B556" s="30" t="s">
        <v>66</v>
      </c>
      <c r="C556" s="9" t="s">
        <v>67</v>
      </c>
      <c r="D556" s="32">
        <v>2022</v>
      </c>
      <c r="E556" s="33" t="s">
        <v>34</v>
      </c>
      <c r="F556" s="33">
        <f t="shared" si="18"/>
        <v>0</v>
      </c>
      <c r="G556" s="33">
        <f t="shared" si="18"/>
        <v>0</v>
      </c>
      <c r="H556" s="33">
        <f t="shared" si="18"/>
        <v>4</v>
      </c>
      <c r="I556" s="40">
        <f t="shared" si="17"/>
        <v>0</v>
      </c>
      <c r="J556" s="40">
        <f t="shared" si="17"/>
        <v>0</v>
      </c>
      <c r="K556" s="40">
        <f t="shared" si="17"/>
        <v>2.1333333333333334E-3</v>
      </c>
      <c r="L556" s="40">
        <f>1000*M556/VLOOKUP(D556,'Normalised Rates'!$A$7:$B$12,2,FALSE)</f>
        <v>2.1333333333333334E-3</v>
      </c>
      <c r="M556" s="34">
        <v>4</v>
      </c>
    </row>
    <row r="557" spans="1:13" ht="15" customHeight="1" x14ac:dyDescent="0.25">
      <c r="A557" s="30" t="s">
        <v>141</v>
      </c>
      <c r="B557" s="30" t="s">
        <v>66</v>
      </c>
      <c r="C557" s="9" t="s">
        <v>67</v>
      </c>
      <c r="D557" s="32">
        <v>2022</v>
      </c>
      <c r="E557" s="35" t="s">
        <v>163</v>
      </c>
      <c r="F557" s="33">
        <f t="shared" si="18"/>
        <v>5</v>
      </c>
      <c r="G557" s="33">
        <f t="shared" si="18"/>
        <v>0</v>
      </c>
      <c r="H557" s="33">
        <f t="shared" si="18"/>
        <v>0</v>
      </c>
      <c r="I557" s="40">
        <f t="shared" si="17"/>
        <v>2.6666666666666666E-3</v>
      </c>
      <c r="J557" s="40">
        <f t="shared" si="17"/>
        <v>0</v>
      </c>
      <c r="K557" s="40">
        <f t="shared" si="17"/>
        <v>0</v>
      </c>
      <c r="L557" s="40">
        <f>1000*M557/VLOOKUP(D557,'Normalised Rates'!$A$7:$B$12,2,FALSE)</f>
        <v>2.6666666666666666E-3</v>
      </c>
      <c r="M557" s="34">
        <v>5</v>
      </c>
    </row>
    <row r="558" spans="1:13" ht="15" customHeight="1" x14ac:dyDescent="0.25">
      <c r="A558" s="30" t="s">
        <v>141</v>
      </c>
      <c r="B558" s="30" t="s">
        <v>66</v>
      </c>
      <c r="C558" s="9" t="s">
        <v>67</v>
      </c>
      <c r="D558" s="32">
        <v>2023</v>
      </c>
      <c r="E558" s="33" t="s">
        <v>34</v>
      </c>
      <c r="F558" s="33">
        <f t="shared" si="18"/>
        <v>0</v>
      </c>
      <c r="G558" s="33">
        <f t="shared" si="18"/>
        <v>0</v>
      </c>
      <c r="H558" s="33">
        <f t="shared" si="18"/>
        <v>55</v>
      </c>
      <c r="I558" s="40">
        <f t="shared" si="17"/>
        <v>0</v>
      </c>
      <c r="J558" s="40">
        <f t="shared" si="17"/>
        <v>0</v>
      </c>
      <c r="K558" s="40">
        <f t="shared" si="17"/>
        <v>2.4059492563429572E-2</v>
      </c>
      <c r="L558" s="40">
        <f>1000*M558/VLOOKUP(D558,'Normalised Rates'!$A$7:$B$12,2,FALSE)</f>
        <v>2.4059492563429572E-2</v>
      </c>
      <c r="M558" s="34">
        <v>55</v>
      </c>
    </row>
    <row r="559" spans="1:13" ht="15" customHeight="1" x14ac:dyDescent="0.25">
      <c r="A559" s="30" t="s">
        <v>141</v>
      </c>
      <c r="B559" s="30" t="s">
        <v>66</v>
      </c>
      <c r="C559" s="9" t="s">
        <v>67</v>
      </c>
      <c r="D559" s="32">
        <v>2023</v>
      </c>
      <c r="E559" s="35" t="s">
        <v>163</v>
      </c>
      <c r="F559" s="33">
        <f t="shared" si="18"/>
        <v>173</v>
      </c>
      <c r="G559" s="33">
        <f t="shared" si="18"/>
        <v>0</v>
      </c>
      <c r="H559" s="33">
        <f t="shared" si="18"/>
        <v>0</v>
      </c>
      <c r="I559" s="40">
        <f t="shared" si="17"/>
        <v>7.567804024496938E-2</v>
      </c>
      <c r="J559" s="40">
        <f t="shared" si="17"/>
        <v>0</v>
      </c>
      <c r="K559" s="40">
        <f t="shared" si="17"/>
        <v>0</v>
      </c>
      <c r="L559" s="40">
        <f>1000*M559/VLOOKUP(D559,'Normalised Rates'!$A$7:$B$12,2,FALSE)</f>
        <v>7.567804024496938E-2</v>
      </c>
      <c r="M559" s="34">
        <v>173</v>
      </c>
    </row>
    <row r="560" spans="1:13" ht="15" customHeight="1" x14ac:dyDescent="0.25">
      <c r="A560" s="30" t="s">
        <v>141</v>
      </c>
      <c r="B560" s="30" t="s">
        <v>66</v>
      </c>
      <c r="C560" s="9" t="s">
        <v>67</v>
      </c>
      <c r="D560" s="32">
        <v>2024</v>
      </c>
      <c r="E560" s="33" t="s">
        <v>34</v>
      </c>
      <c r="F560" s="33">
        <f t="shared" si="18"/>
        <v>0</v>
      </c>
      <c r="G560" s="33">
        <f t="shared" si="18"/>
        <v>0</v>
      </c>
      <c r="H560" s="33">
        <f t="shared" si="18"/>
        <v>32</v>
      </c>
      <c r="I560" s="40">
        <f t="shared" si="17"/>
        <v>0</v>
      </c>
      <c r="J560" s="40">
        <f t="shared" si="17"/>
        <v>0</v>
      </c>
      <c r="K560" s="40">
        <f t="shared" si="17"/>
        <v>1.1926947446887812E-2</v>
      </c>
      <c r="L560" s="40">
        <f>1000*M560/VLOOKUP(D560,'Normalised Rates'!$A$7:$B$12,2,FALSE)</f>
        <v>1.1926947446887812E-2</v>
      </c>
      <c r="M560" s="34">
        <v>32</v>
      </c>
    </row>
    <row r="561" spans="1:13" ht="15" customHeight="1" x14ac:dyDescent="0.25">
      <c r="A561" s="30" t="s">
        <v>141</v>
      </c>
      <c r="B561" s="30" t="s">
        <v>66</v>
      </c>
      <c r="C561" s="9" t="s">
        <v>67</v>
      </c>
      <c r="D561" s="32">
        <v>2024</v>
      </c>
      <c r="E561" s="35" t="s">
        <v>163</v>
      </c>
      <c r="F561" s="33">
        <f t="shared" si="18"/>
        <v>78</v>
      </c>
      <c r="G561" s="33">
        <f t="shared" si="18"/>
        <v>0</v>
      </c>
      <c r="H561" s="33">
        <f t="shared" si="18"/>
        <v>0</v>
      </c>
      <c r="I561" s="40">
        <f t="shared" si="17"/>
        <v>2.9071934401789044E-2</v>
      </c>
      <c r="J561" s="40">
        <f t="shared" si="17"/>
        <v>0</v>
      </c>
      <c r="K561" s="40">
        <f t="shared" si="17"/>
        <v>0</v>
      </c>
      <c r="L561" s="40">
        <f>1000*M561/VLOOKUP(D561,'Normalised Rates'!$A$7:$B$12,2,FALSE)</f>
        <v>2.9071934401789044E-2</v>
      </c>
      <c r="M561" s="34">
        <v>78</v>
      </c>
    </row>
    <row r="562" spans="1:13" ht="15" customHeight="1" x14ac:dyDescent="0.25">
      <c r="A562" s="30" t="s">
        <v>141</v>
      </c>
      <c r="B562" s="30" t="s">
        <v>66</v>
      </c>
      <c r="C562" s="9" t="s">
        <v>67</v>
      </c>
      <c r="D562" s="32">
        <v>2025</v>
      </c>
      <c r="E562" s="33" t="s">
        <v>34</v>
      </c>
      <c r="F562" s="33">
        <f t="shared" si="18"/>
        <v>0</v>
      </c>
      <c r="G562" s="33">
        <f t="shared" si="18"/>
        <v>0</v>
      </c>
      <c r="H562" s="33">
        <f t="shared" si="18"/>
        <v>17</v>
      </c>
      <c r="I562" s="40">
        <f t="shared" si="17"/>
        <v>0</v>
      </c>
      <c r="J562" s="40">
        <f t="shared" si="17"/>
        <v>0</v>
      </c>
      <c r="K562" s="40">
        <f t="shared" si="17"/>
        <v>5.3916904535363146E-3</v>
      </c>
      <c r="L562" s="40">
        <f>1000*M562/VLOOKUP(D562,'Normalised Rates'!$A$7:$B$12,2,FALSE)</f>
        <v>5.3916904535363146E-3</v>
      </c>
      <c r="M562" s="34">
        <v>17</v>
      </c>
    </row>
    <row r="563" spans="1:13" ht="15" customHeight="1" x14ac:dyDescent="0.25">
      <c r="A563" s="30" t="s">
        <v>141</v>
      </c>
      <c r="B563" s="30" t="s">
        <v>66</v>
      </c>
      <c r="C563" s="9" t="s">
        <v>67</v>
      </c>
      <c r="D563" s="32">
        <v>2025</v>
      </c>
      <c r="E563" s="35" t="s">
        <v>163</v>
      </c>
      <c r="F563" s="33">
        <f t="shared" si="18"/>
        <v>242</v>
      </c>
      <c r="G563" s="33">
        <f t="shared" si="18"/>
        <v>0</v>
      </c>
      <c r="H563" s="33">
        <f t="shared" si="18"/>
        <v>0</v>
      </c>
      <c r="I563" s="40">
        <f t="shared" si="17"/>
        <v>7.6752299397399304E-2</v>
      </c>
      <c r="J563" s="40">
        <f t="shared" si="17"/>
        <v>0</v>
      </c>
      <c r="K563" s="40">
        <f t="shared" si="17"/>
        <v>0</v>
      </c>
      <c r="L563" s="40">
        <f>1000*M563/VLOOKUP(D563,'Normalised Rates'!$A$7:$B$12,2,FALSE)</f>
        <v>7.6752299397399304E-2</v>
      </c>
      <c r="M563" s="34">
        <v>242</v>
      </c>
    </row>
    <row r="564" spans="1:13" ht="15" customHeight="1" x14ac:dyDescent="0.25">
      <c r="A564" s="30" t="s">
        <v>141</v>
      </c>
      <c r="B564" s="30" t="s">
        <v>66</v>
      </c>
      <c r="C564" s="9" t="s">
        <v>67</v>
      </c>
      <c r="D564" s="32">
        <v>2026</v>
      </c>
      <c r="E564" s="33" t="s">
        <v>34</v>
      </c>
      <c r="F564" s="33">
        <f t="shared" si="18"/>
        <v>0</v>
      </c>
      <c r="G564" s="33">
        <f t="shared" si="18"/>
        <v>0</v>
      </c>
      <c r="H564" s="33">
        <f t="shared" si="18"/>
        <v>5</v>
      </c>
      <c r="I564" s="40">
        <f t="shared" si="17"/>
        <v>0</v>
      </c>
      <c r="J564" s="40">
        <f t="shared" si="17"/>
        <v>0</v>
      </c>
      <c r="K564" s="40">
        <f t="shared" si="17"/>
        <v>3.8058991436726928E-3</v>
      </c>
      <c r="L564" s="40">
        <f>1000*M564/VLOOKUP(D564,'Normalised Rates'!$A$7:$B$12,2,FALSE)</f>
        <v>3.8058991436726928E-3</v>
      </c>
      <c r="M564" s="34">
        <v>5</v>
      </c>
    </row>
    <row r="565" spans="1:13" ht="15" customHeight="1" x14ac:dyDescent="0.25">
      <c r="A565" s="30" t="s">
        <v>141</v>
      </c>
      <c r="B565" s="30" t="s">
        <v>66</v>
      </c>
      <c r="C565" s="9" t="s">
        <v>67</v>
      </c>
      <c r="D565" s="32">
        <v>2026</v>
      </c>
      <c r="E565" s="35" t="s">
        <v>163</v>
      </c>
      <c r="F565" s="33">
        <f t="shared" si="18"/>
        <v>240</v>
      </c>
      <c r="G565" s="33">
        <f t="shared" si="18"/>
        <v>0</v>
      </c>
      <c r="H565" s="33">
        <f t="shared" si="18"/>
        <v>0</v>
      </c>
      <c r="I565" s="40">
        <f t="shared" si="17"/>
        <v>0.18268315889628925</v>
      </c>
      <c r="J565" s="40">
        <f t="shared" si="17"/>
        <v>0</v>
      </c>
      <c r="K565" s="40">
        <f t="shared" si="17"/>
        <v>0</v>
      </c>
      <c r="L565" s="40">
        <f>1000*M565/VLOOKUP(D565,'Normalised Rates'!$A$7:$B$12,2,FALSE)</f>
        <v>0.18268315889628925</v>
      </c>
      <c r="M565" s="34">
        <v>240</v>
      </c>
    </row>
    <row r="566" spans="1:13" ht="15" customHeight="1" x14ac:dyDescent="0.25">
      <c r="A566" s="30" t="s">
        <v>141</v>
      </c>
      <c r="B566" s="30" t="s">
        <v>73</v>
      </c>
      <c r="C566" s="9" t="s">
        <v>67</v>
      </c>
      <c r="D566" s="32">
        <v>2021</v>
      </c>
      <c r="E566" s="33" t="s">
        <v>34</v>
      </c>
      <c r="F566" s="33">
        <f t="shared" si="18"/>
        <v>0</v>
      </c>
      <c r="G566" s="33">
        <f t="shared" si="18"/>
        <v>0</v>
      </c>
      <c r="H566" s="33">
        <f t="shared" si="18"/>
        <v>2</v>
      </c>
      <c r="I566" s="40">
        <f t="shared" si="17"/>
        <v>0</v>
      </c>
      <c r="J566" s="40">
        <f t="shared" si="17"/>
        <v>0</v>
      </c>
      <c r="K566" s="40">
        <f t="shared" si="17"/>
        <v>1.2547051442910915E-3</v>
      </c>
      <c r="L566" s="40">
        <f>1000*M566/VLOOKUP(D566,'Normalised Rates'!$A$7:$B$12,2,FALSE)</f>
        <v>1.2547051442910915E-3</v>
      </c>
      <c r="M566" s="34">
        <v>2</v>
      </c>
    </row>
    <row r="567" spans="1:13" ht="15" customHeight="1" x14ac:dyDescent="0.25">
      <c r="A567" s="30" t="s">
        <v>141</v>
      </c>
      <c r="B567" s="30" t="s">
        <v>73</v>
      </c>
      <c r="C567" s="9" t="s">
        <v>67</v>
      </c>
      <c r="D567" s="32">
        <v>2021</v>
      </c>
      <c r="E567" s="35" t="s">
        <v>163</v>
      </c>
      <c r="F567" s="33">
        <f t="shared" si="18"/>
        <v>9</v>
      </c>
      <c r="G567" s="33">
        <f t="shared" si="18"/>
        <v>0</v>
      </c>
      <c r="H567" s="33">
        <f t="shared" si="18"/>
        <v>0</v>
      </c>
      <c r="I567" s="40">
        <f t="shared" si="17"/>
        <v>5.6461731493099125E-3</v>
      </c>
      <c r="J567" s="40">
        <f t="shared" si="17"/>
        <v>0</v>
      </c>
      <c r="K567" s="40">
        <f t="shared" si="17"/>
        <v>0</v>
      </c>
      <c r="L567" s="40">
        <f>1000*M567/VLOOKUP(D567,'Normalised Rates'!$A$7:$B$12,2,FALSE)</f>
        <v>5.6461731493099125E-3</v>
      </c>
      <c r="M567" s="34">
        <v>9</v>
      </c>
    </row>
    <row r="568" spans="1:13" ht="15" customHeight="1" x14ac:dyDescent="0.25">
      <c r="A568" s="30" t="s">
        <v>141</v>
      </c>
      <c r="B568" s="30" t="s">
        <v>73</v>
      </c>
      <c r="C568" s="9" t="s">
        <v>67</v>
      </c>
      <c r="D568" s="32">
        <v>2022</v>
      </c>
      <c r="E568" s="33" t="s">
        <v>34</v>
      </c>
      <c r="F568" s="33">
        <f t="shared" si="18"/>
        <v>0</v>
      </c>
      <c r="G568" s="33">
        <f t="shared" si="18"/>
        <v>0</v>
      </c>
      <c r="H568" s="33">
        <f t="shared" si="18"/>
        <v>3</v>
      </c>
      <c r="I568" s="40">
        <f t="shared" si="17"/>
        <v>0</v>
      </c>
      <c r="J568" s="40">
        <f t="shared" si="17"/>
        <v>0</v>
      </c>
      <c r="K568" s="40">
        <f t="shared" si="17"/>
        <v>1.6000000000000001E-3</v>
      </c>
      <c r="L568" s="40">
        <f>1000*M568/VLOOKUP(D568,'Normalised Rates'!$A$7:$B$12,2,FALSE)</f>
        <v>1.6000000000000001E-3</v>
      </c>
      <c r="M568" s="34">
        <v>3</v>
      </c>
    </row>
    <row r="569" spans="1:13" ht="15" customHeight="1" x14ac:dyDescent="0.25">
      <c r="A569" s="30" t="s">
        <v>141</v>
      </c>
      <c r="B569" s="30" t="s">
        <v>73</v>
      </c>
      <c r="C569" s="9" t="s">
        <v>67</v>
      </c>
      <c r="D569" s="32">
        <v>2022</v>
      </c>
      <c r="E569" s="35" t="s">
        <v>163</v>
      </c>
      <c r="F569" s="33">
        <f t="shared" si="18"/>
        <v>7</v>
      </c>
      <c r="G569" s="33">
        <f t="shared" si="18"/>
        <v>0</v>
      </c>
      <c r="H569" s="33">
        <f t="shared" si="18"/>
        <v>0</v>
      </c>
      <c r="I569" s="40">
        <f t="shared" si="17"/>
        <v>3.7333333333333333E-3</v>
      </c>
      <c r="J569" s="40">
        <f t="shared" si="17"/>
        <v>0</v>
      </c>
      <c r="K569" s="40">
        <f t="shared" si="17"/>
        <v>0</v>
      </c>
      <c r="L569" s="40">
        <f>1000*M569/VLOOKUP(D569,'Normalised Rates'!$A$7:$B$12,2,FALSE)</f>
        <v>3.7333333333333333E-3</v>
      </c>
      <c r="M569" s="34">
        <v>7</v>
      </c>
    </row>
    <row r="570" spans="1:13" ht="15" customHeight="1" x14ac:dyDescent="0.25">
      <c r="A570" s="30" t="s">
        <v>141</v>
      </c>
      <c r="B570" s="30" t="s">
        <v>73</v>
      </c>
      <c r="C570" s="9" t="s">
        <v>67</v>
      </c>
      <c r="D570" s="32">
        <v>2023</v>
      </c>
      <c r="E570" s="33" t="s">
        <v>34</v>
      </c>
      <c r="F570" s="33">
        <f t="shared" si="18"/>
        <v>0</v>
      </c>
      <c r="G570" s="33">
        <f t="shared" si="18"/>
        <v>0</v>
      </c>
      <c r="H570" s="33">
        <f t="shared" si="18"/>
        <v>7</v>
      </c>
      <c r="I570" s="40">
        <f t="shared" si="17"/>
        <v>0</v>
      </c>
      <c r="J570" s="40">
        <f t="shared" si="17"/>
        <v>0</v>
      </c>
      <c r="K570" s="40">
        <f t="shared" si="17"/>
        <v>3.0621172353455816E-3</v>
      </c>
      <c r="L570" s="40">
        <f>1000*M570/VLOOKUP(D570,'Normalised Rates'!$A$7:$B$12,2,FALSE)</f>
        <v>3.0621172353455816E-3</v>
      </c>
      <c r="M570" s="34">
        <v>7</v>
      </c>
    </row>
    <row r="571" spans="1:13" ht="15" customHeight="1" x14ac:dyDescent="0.25">
      <c r="A571" s="30" t="s">
        <v>141</v>
      </c>
      <c r="B571" s="30" t="s">
        <v>73</v>
      </c>
      <c r="C571" s="9" t="s">
        <v>67</v>
      </c>
      <c r="D571" s="32">
        <v>2023</v>
      </c>
      <c r="E571" s="35" t="s">
        <v>163</v>
      </c>
      <c r="F571" s="33">
        <f t="shared" si="18"/>
        <v>93</v>
      </c>
      <c r="G571" s="33">
        <f t="shared" si="18"/>
        <v>0</v>
      </c>
      <c r="H571" s="33">
        <f t="shared" si="18"/>
        <v>0</v>
      </c>
      <c r="I571" s="40">
        <f t="shared" si="17"/>
        <v>4.0682414698162729E-2</v>
      </c>
      <c r="J571" s="40">
        <f t="shared" si="17"/>
        <v>0</v>
      </c>
      <c r="K571" s="40">
        <f t="shared" si="17"/>
        <v>0</v>
      </c>
      <c r="L571" s="40">
        <f>1000*M571/VLOOKUP(D571,'Normalised Rates'!$A$7:$B$12,2,FALSE)</f>
        <v>4.0682414698162729E-2</v>
      </c>
      <c r="M571" s="34">
        <v>93</v>
      </c>
    </row>
    <row r="572" spans="1:13" ht="15" customHeight="1" x14ac:dyDescent="0.25">
      <c r="A572" s="30" t="s">
        <v>141</v>
      </c>
      <c r="B572" s="30" t="s">
        <v>73</v>
      </c>
      <c r="C572" s="9" t="s">
        <v>67</v>
      </c>
      <c r="D572" s="32">
        <v>2024</v>
      </c>
      <c r="E572" s="33" t="s">
        <v>34</v>
      </c>
      <c r="F572" s="33">
        <f t="shared" si="18"/>
        <v>0</v>
      </c>
      <c r="G572" s="33">
        <f t="shared" si="18"/>
        <v>0</v>
      </c>
      <c r="H572" s="33">
        <f t="shared" si="18"/>
        <v>20</v>
      </c>
      <c r="I572" s="40">
        <f t="shared" si="17"/>
        <v>0</v>
      </c>
      <c r="J572" s="40">
        <f t="shared" si="17"/>
        <v>0</v>
      </c>
      <c r="K572" s="40">
        <f t="shared" si="17"/>
        <v>7.4543421543048823E-3</v>
      </c>
      <c r="L572" s="40">
        <f>1000*M572/VLOOKUP(D572,'Normalised Rates'!$A$7:$B$12,2,FALSE)</f>
        <v>7.4543421543048823E-3</v>
      </c>
      <c r="M572" s="34">
        <v>20</v>
      </c>
    </row>
    <row r="573" spans="1:13" ht="15" customHeight="1" x14ac:dyDescent="0.25">
      <c r="A573" s="30" t="s">
        <v>141</v>
      </c>
      <c r="B573" s="30" t="s">
        <v>73</v>
      </c>
      <c r="C573" s="9" t="s">
        <v>67</v>
      </c>
      <c r="D573" s="32">
        <v>2024</v>
      </c>
      <c r="E573" s="35" t="s">
        <v>163</v>
      </c>
      <c r="F573" s="33">
        <f t="shared" si="18"/>
        <v>214</v>
      </c>
      <c r="G573" s="33">
        <f t="shared" si="18"/>
        <v>0</v>
      </c>
      <c r="H573" s="33">
        <f t="shared" si="18"/>
        <v>0</v>
      </c>
      <c r="I573" s="40">
        <f t="shared" si="17"/>
        <v>7.9761461051062243E-2</v>
      </c>
      <c r="J573" s="40">
        <f t="shared" si="17"/>
        <v>0</v>
      </c>
      <c r="K573" s="40">
        <f t="shared" si="17"/>
        <v>0</v>
      </c>
      <c r="L573" s="40">
        <f>1000*M573/VLOOKUP(D573,'Normalised Rates'!$A$7:$B$12,2,FALSE)</f>
        <v>7.9761461051062243E-2</v>
      </c>
      <c r="M573" s="34">
        <v>214</v>
      </c>
    </row>
    <row r="574" spans="1:13" ht="15" customHeight="1" x14ac:dyDescent="0.25">
      <c r="A574" s="30" t="s">
        <v>141</v>
      </c>
      <c r="B574" s="30" t="s">
        <v>73</v>
      </c>
      <c r="C574" s="9" t="s">
        <v>67</v>
      </c>
      <c r="D574" s="32">
        <v>2025</v>
      </c>
      <c r="E574" s="33" t="s">
        <v>34</v>
      </c>
      <c r="F574" s="33">
        <f t="shared" si="18"/>
        <v>0</v>
      </c>
      <c r="G574" s="33">
        <f t="shared" si="18"/>
        <v>0</v>
      </c>
      <c r="H574" s="33">
        <f t="shared" si="18"/>
        <v>4</v>
      </c>
      <c r="I574" s="40">
        <f t="shared" si="17"/>
        <v>0</v>
      </c>
      <c r="J574" s="40">
        <f t="shared" si="17"/>
        <v>0</v>
      </c>
      <c r="K574" s="40">
        <f t="shared" si="17"/>
        <v>1.2686330478908975E-3</v>
      </c>
      <c r="L574" s="40">
        <f>1000*M574/VLOOKUP(D574,'Normalised Rates'!$A$7:$B$12,2,FALSE)</f>
        <v>1.2686330478908975E-3</v>
      </c>
      <c r="M574" s="34">
        <v>4</v>
      </c>
    </row>
    <row r="575" spans="1:13" ht="15" customHeight="1" x14ac:dyDescent="0.25">
      <c r="A575" s="30" t="s">
        <v>141</v>
      </c>
      <c r="B575" s="30" t="s">
        <v>73</v>
      </c>
      <c r="C575" s="9" t="s">
        <v>67</v>
      </c>
      <c r="D575" s="32">
        <v>2025</v>
      </c>
      <c r="E575" s="35" t="s">
        <v>163</v>
      </c>
      <c r="F575" s="33">
        <f t="shared" si="18"/>
        <v>269</v>
      </c>
      <c r="G575" s="33">
        <f t="shared" si="18"/>
        <v>0</v>
      </c>
      <c r="H575" s="33">
        <f t="shared" si="18"/>
        <v>0</v>
      </c>
      <c r="I575" s="40">
        <f t="shared" si="17"/>
        <v>8.5315572470662862E-2</v>
      </c>
      <c r="J575" s="40">
        <f t="shared" si="17"/>
        <v>0</v>
      </c>
      <c r="K575" s="40">
        <f t="shared" si="17"/>
        <v>0</v>
      </c>
      <c r="L575" s="40">
        <f>1000*M575/VLOOKUP(D575,'Normalised Rates'!$A$7:$B$12,2,FALSE)</f>
        <v>8.5315572470662862E-2</v>
      </c>
      <c r="M575" s="34">
        <v>269</v>
      </c>
    </row>
    <row r="576" spans="1:13" ht="15" customHeight="1" x14ac:dyDescent="0.25">
      <c r="A576" s="30" t="s">
        <v>141</v>
      </c>
      <c r="B576" s="30" t="s">
        <v>73</v>
      </c>
      <c r="C576" s="9" t="s">
        <v>67</v>
      </c>
      <c r="D576" s="32">
        <v>2026</v>
      </c>
      <c r="E576" s="33" t="s">
        <v>34</v>
      </c>
      <c r="F576" s="33">
        <f t="shared" si="18"/>
        <v>0</v>
      </c>
      <c r="G576" s="33">
        <f t="shared" si="18"/>
        <v>0</v>
      </c>
      <c r="H576" s="33">
        <f t="shared" si="18"/>
        <v>3</v>
      </c>
      <c r="I576" s="40">
        <f t="shared" si="17"/>
        <v>0</v>
      </c>
      <c r="J576" s="40">
        <f t="shared" si="17"/>
        <v>0</v>
      </c>
      <c r="K576" s="40">
        <f t="shared" si="17"/>
        <v>2.2835394862036158E-3</v>
      </c>
      <c r="L576" s="40">
        <f>1000*M576/VLOOKUP(D576,'Normalised Rates'!$A$7:$B$12,2,FALSE)</f>
        <v>2.2835394862036158E-3</v>
      </c>
      <c r="M576" s="34">
        <v>3</v>
      </c>
    </row>
    <row r="577" spans="1:13" ht="15" customHeight="1" x14ac:dyDescent="0.25">
      <c r="A577" s="30" t="s">
        <v>141</v>
      </c>
      <c r="B577" s="30" t="s">
        <v>73</v>
      </c>
      <c r="C577" s="9" t="s">
        <v>67</v>
      </c>
      <c r="D577" s="32">
        <v>2026</v>
      </c>
      <c r="E577" s="35" t="s">
        <v>163</v>
      </c>
      <c r="F577" s="33">
        <f t="shared" si="18"/>
        <v>152</v>
      </c>
      <c r="G577" s="33">
        <f t="shared" si="18"/>
        <v>0</v>
      </c>
      <c r="H577" s="33">
        <f t="shared" si="18"/>
        <v>0</v>
      </c>
      <c r="I577" s="40">
        <f t="shared" si="17"/>
        <v>0.11569933396764985</v>
      </c>
      <c r="J577" s="40">
        <f t="shared" si="17"/>
        <v>0</v>
      </c>
      <c r="K577" s="40">
        <f t="shared" si="17"/>
        <v>0</v>
      </c>
      <c r="L577" s="40">
        <f>1000*M577/VLOOKUP(D577,'Normalised Rates'!$A$7:$B$12,2,FALSE)</f>
        <v>0.11569933396764985</v>
      </c>
      <c r="M577" s="34">
        <v>152</v>
      </c>
    </row>
    <row r="578" spans="1:13" ht="15" customHeight="1" x14ac:dyDescent="0.25">
      <c r="A578" s="30" t="s">
        <v>141</v>
      </c>
      <c r="B578" s="30" t="s">
        <v>81</v>
      </c>
      <c r="C578" s="9" t="s">
        <v>67</v>
      </c>
      <c r="D578" s="32">
        <v>2022</v>
      </c>
      <c r="E578" s="33" t="s">
        <v>34</v>
      </c>
      <c r="F578" s="33">
        <f t="shared" si="18"/>
        <v>0</v>
      </c>
      <c r="G578" s="33">
        <f t="shared" si="18"/>
        <v>0</v>
      </c>
      <c r="H578" s="33">
        <f t="shared" si="18"/>
        <v>1</v>
      </c>
      <c r="I578" s="40">
        <f t="shared" si="17"/>
        <v>0</v>
      </c>
      <c r="J578" s="40">
        <f t="shared" si="17"/>
        <v>0</v>
      </c>
      <c r="K578" s="40">
        <f t="shared" si="17"/>
        <v>5.3333333333333336E-4</v>
      </c>
      <c r="L578" s="40">
        <f>1000*M578/VLOOKUP(D578,'Normalised Rates'!$A$7:$B$12,2,FALSE)</f>
        <v>5.3333333333333336E-4</v>
      </c>
      <c r="M578" s="34">
        <v>1</v>
      </c>
    </row>
    <row r="579" spans="1:13" ht="15" customHeight="1" x14ac:dyDescent="0.25">
      <c r="A579" s="30" t="s">
        <v>141</v>
      </c>
      <c r="B579" s="30" t="s">
        <v>81</v>
      </c>
      <c r="C579" s="9" t="s">
        <v>67</v>
      </c>
      <c r="D579" s="32">
        <v>2022</v>
      </c>
      <c r="E579" s="35" t="s">
        <v>163</v>
      </c>
      <c r="F579" s="33">
        <f t="shared" si="18"/>
        <v>6</v>
      </c>
      <c r="G579" s="33">
        <f t="shared" si="18"/>
        <v>0</v>
      </c>
      <c r="H579" s="33">
        <f t="shared" si="18"/>
        <v>0</v>
      </c>
      <c r="I579" s="40">
        <f t="shared" si="17"/>
        <v>3.2000000000000002E-3</v>
      </c>
      <c r="J579" s="40">
        <f t="shared" si="17"/>
        <v>0</v>
      </c>
      <c r="K579" s="40">
        <f t="shared" si="17"/>
        <v>0</v>
      </c>
      <c r="L579" s="40">
        <f>1000*M579/VLOOKUP(D579,'Normalised Rates'!$A$7:$B$12,2,FALSE)</f>
        <v>3.2000000000000002E-3</v>
      </c>
      <c r="M579" s="34">
        <v>6</v>
      </c>
    </row>
    <row r="580" spans="1:13" ht="15" customHeight="1" x14ac:dyDescent="0.25">
      <c r="A580" s="30" t="s">
        <v>141</v>
      </c>
      <c r="B580" s="30" t="s">
        <v>81</v>
      </c>
      <c r="C580" s="9" t="s">
        <v>67</v>
      </c>
      <c r="D580" s="32">
        <v>2023</v>
      </c>
      <c r="E580" s="33" t="s">
        <v>34</v>
      </c>
      <c r="F580" s="33">
        <f t="shared" si="18"/>
        <v>0</v>
      </c>
      <c r="G580" s="33">
        <f t="shared" si="18"/>
        <v>0</v>
      </c>
      <c r="H580" s="33">
        <f t="shared" si="18"/>
        <v>2</v>
      </c>
      <c r="I580" s="40">
        <f t="shared" si="17"/>
        <v>0</v>
      </c>
      <c r="J580" s="40">
        <f t="shared" si="17"/>
        <v>0</v>
      </c>
      <c r="K580" s="40">
        <f t="shared" si="17"/>
        <v>8.7489063867016625E-4</v>
      </c>
      <c r="L580" s="40">
        <f>1000*M580/VLOOKUP(D580,'Normalised Rates'!$A$7:$B$12,2,FALSE)</f>
        <v>8.7489063867016625E-4</v>
      </c>
      <c r="M580" s="34">
        <v>2</v>
      </c>
    </row>
    <row r="581" spans="1:13" ht="15" customHeight="1" x14ac:dyDescent="0.25">
      <c r="A581" s="30" t="s">
        <v>141</v>
      </c>
      <c r="B581" s="30" t="s">
        <v>81</v>
      </c>
      <c r="C581" s="9" t="s">
        <v>67</v>
      </c>
      <c r="D581" s="32">
        <v>2023</v>
      </c>
      <c r="E581" s="35" t="s">
        <v>163</v>
      </c>
      <c r="F581" s="33">
        <f t="shared" si="18"/>
        <v>28</v>
      </c>
      <c r="G581" s="33">
        <f t="shared" si="18"/>
        <v>0</v>
      </c>
      <c r="H581" s="33">
        <f t="shared" si="18"/>
        <v>0</v>
      </c>
      <c r="I581" s="40">
        <f t="shared" si="17"/>
        <v>1.2248468941382326E-2</v>
      </c>
      <c r="J581" s="40">
        <f t="shared" si="17"/>
        <v>0</v>
      </c>
      <c r="K581" s="40">
        <f t="shared" si="17"/>
        <v>0</v>
      </c>
      <c r="L581" s="40">
        <f>1000*M581/VLOOKUP(D581,'Normalised Rates'!$A$7:$B$12,2,FALSE)</f>
        <v>1.2248468941382326E-2</v>
      </c>
      <c r="M581" s="34">
        <v>28</v>
      </c>
    </row>
    <row r="582" spans="1:13" ht="15" customHeight="1" x14ac:dyDescent="0.25">
      <c r="A582" s="30" t="s">
        <v>141</v>
      </c>
      <c r="B582" s="30" t="s">
        <v>81</v>
      </c>
      <c r="C582" s="9" t="s">
        <v>67</v>
      </c>
      <c r="D582" s="32">
        <v>2024</v>
      </c>
      <c r="E582" s="33" t="s">
        <v>34</v>
      </c>
      <c r="F582" s="33">
        <f t="shared" si="18"/>
        <v>0</v>
      </c>
      <c r="G582" s="33">
        <f t="shared" si="18"/>
        <v>0</v>
      </c>
      <c r="H582" s="33">
        <f t="shared" si="18"/>
        <v>13</v>
      </c>
      <c r="I582" s="40">
        <f t="shared" si="17"/>
        <v>0</v>
      </c>
      <c r="J582" s="40">
        <f t="shared" si="17"/>
        <v>0</v>
      </c>
      <c r="K582" s="40">
        <f t="shared" si="17"/>
        <v>4.8453224002981739E-3</v>
      </c>
      <c r="L582" s="40">
        <f>1000*M582/VLOOKUP(D582,'Normalised Rates'!$A$7:$B$12,2,FALSE)</f>
        <v>4.8453224002981739E-3</v>
      </c>
      <c r="M582" s="34">
        <v>13</v>
      </c>
    </row>
    <row r="583" spans="1:13" ht="15" customHeight="1" x14ac:dyDescent="0.25">
      <c r="A583" s="30" t="s">
        <v>141</v>
      </c>
      <c r="B583" s="30" t="s">
        <v>81</v>
      </c>
      <c r="C583" s="9" t="s">
        <v>67</v>
      </c>
      <c r="D583" s="32">
        <v>2024</v>
      </c>
      <c r="E583" s="35" t="s">
        <v>163</v>
      </c>
      <c r="F583" s="33">
        <f t="shared" si="18"/>
        <v>86</v>
      </c>
      <c r="G583" s="33">
        <f t="shared" si="18"/>
        <v>0</v>
      </c>
      <c r="H583" s="33">
        <f t="shared" si="18"/>
        <v>0</v>
      </c>
      <c r="I583" s="40">
        <f t="shared" ref="I583:K646" si="19">IF(_xlfn.CONCAT($E583,"%")=I$5,$L583,0)</f>
        <v>3.2053671263510997E-2</v>
      </c>
      <c r="J583" s="40">
        <f t="shared" si="19"/>
        <v>0</v>
      </c>
      <c r="K583" s="40">
        <f t="shared" si="19"/>
        <v>0</v>
      </c>
      <c r="L583" s="40">
        <f>1000*M583/VLOOKUP(D583,'Normalised Rates'!$A$7:$B$12,2,FALSE)</f>
        <v>3.2053671263510997E-2</v>
      </c>
      <c r="M583" s="34">
        <v>86</v>
      </c>
    </row>
    <row r="584" spans="1:13" ht="15" customHeight="1" x14ac:dyDescent="0.25">
      <c r="A584" s="30" t="s">
        <v>141</v>
      </c>
      <c r="B584" s="30" t="s">
        <v>81</v>
      </c>
      <c r="C584" s="9" t="s">
        <v>67</v>
      </c>
      <c r="D584" s="32">
        <v>2025</v>
      </c>
      <c r="E584" s="33" t="s">
        <v>34</v>
      </c>
      <c r="F584" s="33">
        <f t="shared" si="18"/>
        <v>0</v>
      </c>
      <c r="G584" s="33">
        <f t="shared" si="18"/>
        <v>0</v>
      </c>
      <c r="H584" s="33">
        <f t="shared" si="18"/>
        <v>1</v>
      </c>
      <c r="I584" s="40">
        <f t="shared" si="19"/>
        <v>0</v>
      </c>
      <c r="J584" s="40">
        <f t="shared" si="19"/>
        <v>0</v>
      </c>
      <c r="K584" s="40">
        <f t="shared" si="19"/>
        <v>3.1715826197272439E-4</v>
      </c>
      <c r="L584" s="40">
        <f>1000*M584/VLOOKUP(D584,'Normalised Rates'!$A$7:$B$12,2,FALSE)</f>
        <v>3.1715826197272439E-4</v>
      </c>
      <c r="M584" s="34">
        <v>1</v>
      </c>
    </row>
    <row r="585" spans="1:13" ht="15" customHeight="1" x14ac:dyDescent="0.25">
      <c r="A585" s="30" t="s">
        <v>141</v>
      </c>
      <c r="B585" s="30" t="s">
        <v>81</v>
      </c>
      <c r="C585" s="9" t="s">
        <v>67</v>
      </c>
      <c r="D585" s="32">
        <v>2025</v>
      </c>
      <c r="E585" s="35" t="s">
        <v>163</v>
      </c>
      <c r="F585" s="33">
        <f t="shared" ref="F585:H648" si="20">IF($E585=F$5,$M585,0)</f>
        <v>222</v>
      </c>
      <c r="G585" s="33">
        <f t="shared" si="20"/>
        <v>0</v>
      </c>
      <c r="H585" s="33">
        <f t="shared" si="20"/>
        <v>0</v>
      </c>
      <c r="I585" s="40">
        <f t="shared" si="19"/>
        <v>7.0409134157944808E-2</v>
      </c>
      <c r="J585" s="40">
        <f t="shared" si="19"/>
        <v>0</v>
      </c>
      <c r="K585" s="40">
        <f t="shared" si="19"/>
        <v>0</v>
      </c>
      <c r="L585" s="40">
        <f>1000*M585/VLOOKUP(D585,'Normalised Rates'!$A$7:$B$12,2,FALSE)</f>
        <v>7.0409134157944808E-2</v>
      </c>
      <c r="M585" s="34">
        <v>222</v>
      </c>
    </row>
    <row r="586" spans="1:13" ht="15" customHeight="1" x14ac:dyDescent="0.25">
      <c r="A586" s="30" t="s">
        <v>141</v>
      </c>
      <c r="B586" s="30" t="s">
        <v>81</v>
      </c>
      <c r="C586" s="9" t="s">
        <v>67</v>
      </c>
      <c r="D586" s="32">
        <v>2026</v>
      </c>
      <c r="E586" s="35" t="s">
        <v>163</v>
      </c>
      <c r="F586" s="33">
        <f t="shared" si="20"/>
        <v>158</v>
      </c>
      <c r="G586" s="33">
        <f t="shared" si="20"/>
        <v>0</v>
      </c>
      <c r="H586" s="33">
        <f t="shared" si="20"/>
        <v>0</v>
      </c>
      <c r="I586" s="40">
        <f t="shared" si="19"/>
        <v>0.12026641294005709</v>
      </c>
      <c r="J586" s="40">
        <f t="shared" si="19"/>
        <v>0</v>
      </c>
      <c r="K586" s="40">
        <f t="shared" si="19"/>
        <v>0</v>
      </c>
      <c r="L586" s="40">
        <f>1000*M586/VLOOKUP(D586,'Normalised Rates'!$A$7:$B$12,2,FALSE)</f>
        <v>0.12026641294005709</v>
      </c>
      <c r="M586" s="34">
        <v>158</v>
      </c>
    </row>
    <row r="587" spans="1:13" ht="15" customHeight="1" x14ac:dyDescent="0.25">
      <c r="A587" s="30" t="s">
        <v>141</v>
      </c>
      <c r="B587" s="30" t="s">
        <v>75</v>
      </c>
      <c r="C587" s="9" t="s">
        <v>67</v>
      </c>
      <c r="D587" s="32">
        <v>2021</v>
      </c>
      <c r="E587" s="33" t="s">
        <v>34</v>
      </c>
      <c r="F587" s="33">
        <f t="shared" si="20"/>
        <v>0</v>
      </c>
      <c r="G587" s="33">
        <f t="shared" si="20"/>
        <v>0</v>
      </c>
      <c r="H587" s="33">
        <f t="shared" si="20"/>
        <v>1</v>
      </c>
      <c r="I587" s="40">
        <f t="shared" si="19"/>
        <v>0</v>
      </c>
      <c r="J587" s="40">
        <f t="shared" si="19"/>
        <v>0</v>
      </c>
      <c r="K587" s="40">
        <f t="shared" si="19"/>
        <v>6.2735257214554575E-4</v>
      </c>
      <c r="L587" s="40">
        <f>1000*M587/VLOOKUP(D587,'Normalised Rates'!$A$7:$B$12,2,FALSE)</f>
        <v>6.2735257214554575E-4</v>
      </c>
      <c r="M587" s="34">
        <v>1</v>
      </c>
    </row>
    <row r="588" spans="1:13" ht="15" customHeight="1" x14ac:dyDescent="0.25">
      <c r="A588" s="30" t="s">
        <v>141</v>
      </c>
      <c r="B588" s="30" t="s">
        <v>75</v>
      </c>
      <c r="C588" s="9" t="s">
        <v>67</v>
      </c>
      <c r="D588" s="32">
        <v>2021</v>
      </c>
      <c r="E588" s="35" t="s">
        <v>163</v>
      </c>
      <c r="F588" s="33">
        <f t="shared" si="20"/>
        <v>1</v>
      </c>
      <c r="G588" s="33">
        <f t="shared" si="20"/>
        <v>0</v>
      </c>
      <c r="H588" s="33">
        <f t="shared" si="20"/>
        <v>0</v>
      </c>
      <c r="I588" s="40">
        <f t="shared" si="19"/>
        <v>6.2735257214554575E-4</v>
      </c>
      <c r="J588" s="40">
        <f t="shared" si="19"/>
        <v>0</v>
      </c>
      <c r="K588" s="40">
        <f t="shared" si="19"/>
        <v>0</v>
      </c>
      <c r="L588" s="40">
        <f>1000*M588/VLOOKUP(D588,'Normalised Rates'!$A$7:$B$12,2,FALSE)</f>
        <v>6.2735257214554575E-4</v>
      </c>
      <c r="M588" s="34">
        <v>1</v>
      </c>
    </row>
    <row r="589" spans="1:13" ht="15" customHeight="1" x14ac:dyDescent="0.25">
      <c r="A589" s="30" t="s">
        <v>141</v>
      </c>
      <c r="B589" s="30" t="s">
        <v>75</v>
      </c>
      <c r="C589" s="9" t="s">
        <v>67</v>
      </c>
      <c r="D589" s="32">
        <v>2022</v>
      </c>
      <c r="E589" s="33" t="s">
        <v>34</v>
      </c>
      <c r="F589" s="33">
        <f t="shared" si="20"/>
        <v>0</v>
      </c>
      <c r="G589" s="33">
        <f t="shared" si="20"/>
        <v>0</v>
      </c>
      <c r="H589" s="33">
        <f t="shared" si="20"/>
        <v>1</v>
      </c>
      <c r="I589" s="40">
        <f t="shared" si="19"/>
        <v>0</v>
      </c>
      <c r="J589" s="40">
        <f t="shared" si="19"/>
        <v>0</v>
      </c>
      <c r="K589" s="40">
        <f t="shared" si="19"/>
        <v>5.3333333333333336E-4</v>
      </c>
      <c r="L589" s="40">
        <f>1000*M589/VLOOKUP(D589,'Normalised Rates'!$A$7:$B$12,2,FALSE)</f>
        <v>5.3333333333333336E-4</v>
      </c>
      <c r="M589" s="34">
        <v>1</v>
      </c>
    </row>
    <row r="590" spans="1:13" ht="15" customHeight="1" x14ac:dyDescent="0.25">
      <c r="A590" s="30" t="s">
        <v>141</v>
      </c>
      <c r="B590" s="30" t="s">
        <v>75</v>
      </c>
      <c r="C590" s="9" t="s">
        <v>67</v>
      </c>
      <c r="D590" s="32">
        <v>2022</v>
      </c>
      <c r="E590" s="35" t="s">
        <v>163</v>
      </c>
      <c r="F590" s="33">
        <f t="shared" si="20"/>
        <v>7</v>
      </c>
      <c r="G590" s="33">
        <f t="shared" si="20"/>
        <v>0</v>
      </c>
      <c r="H590" s="33">
        <f t="shared" si="20"/>
        <v>0</v>
      </c>
      <c r="I590" s="40">
        <f t="shared" si="19"/>
        <v>3.7333333333333333E-3</v>
      </c>
      <c r="J590" s="40">
        <f t="shared" si="19"/>
        <v>0</v>
      </c>
      <c r="K590" s="40">
        <f t="shared" si="19"/>
        <v>0</v>
      </c>
      <c r="L590" s="40">
        <f>1000*M590/VLOOKUP(D590,'Normalised Rates'!$A$7:$B$12,2,FALSE)</f>
        <v>3.7333333333333333E-3</v>
      </c>
      <c r="M590" s="34">
        <v>7</v>
      </c>
    </row>
    <row r="591" spans="1:13" ht="15" customHeight="1" x14ac:dyDescent="0.25">
      <c r="A591" s="30" t="s">
        <v>141</v>
      </c>
      <c r="B591" s="30" t="s">
        <v>75</v>
      </c>
      <c r="C591" s="9" t="s">
        <v>67</v>
      </c>
      <c r="D591" s="32">
        <v>2023</v>
      </c>
      <c r="E591" s="33" t="s">
        <v>34</v>
      </c>
      <c r="F591" s="33">
        <f t="shared" si="20"/>
        <v>0</v>
      </c>
      <c r="G591" s="33">
        <f t="shared" si="20"/>
        <v>0</v>
      </c>
      <c r="H591" s="33">
        <f t="shared" si="20"/>
        <v>8</v>
      </c>
      <c r="I591" s="40">
        <f t="shared" si="19"/>
        <v>0</v>
      </c>
      <c r="J591" s="40">
        <f t="shared" si="19"/>
        <v>0</v>
      </c>
      <c r="K591" s="40">
        <f t="shared" si="19"/>
        <v>3.499562554680665E-3</v>
      </c>
      <c r="L591" s="40">
        <f>1000*M591/VLOOKUP(D591,'Normalised Rates'!$A$7:$B$12,2,FALSE)</f>
        <v>3.499562554680665E-3</v>
      </c>
      <c r="M591" s="34">
        <v>8</v>
      </c>
    </row>
    <row r="592" spans="1:13" ht="15" customHeight="1" x14ac:dyDescent="0.25">
      <c r="A592" s="30" t="s">
        <v>141</v>
      </c>
      <c r="B592" s="30" t="s">
        <v>75</v>
      </c>
      <c r="C592" s="9" t="s">
        <v>67</v>
      </c>
      <c r="D592" s="32">
        <v>2023</v>
      </c>
      <c r="E592" s="35" t="s">
        <v>163</v>
      </c>
      <c r="F592" s="33">
        <f t="shared" si="20"/>
        <v>78</v>
      </c>
      <c r="G592" s="33">
        <f t="shared" si="20"/>
        <v>0</v>
      </c>
      <c r="H592" s="33">
        <f t="shared" si="20"/>
        <v>0</v>
      </c>
      <c r="I592" s="40">
        <f t="shared" si="19"/>
        <v>3.4120734908136482E-2</v>
      </c>
      <c r="J592" s="40">
        <f t="shared" si="19"/>
        <v>0</v>
      </c>
      <c r="K592" s="40">
        <f t="shared" si="19"/>
        <v>0</v>
      </c>
      <c r="L592" s="40">
        <f>1000*M592/VLOOKUP(D592,'Normalised Rates'!$A$7:$B$12,2,FALSE)</f>
        <v>3.4120734908136482E-2</v>
      </c>
      <c r="M592" s="34">
        <v>78</v>
      </c>
    </row>
    <row r="593" spans="1:13" ht="15" customHeight="1" x14ac:dyDescent="0.25">
      <c r="A593" s="30" t="s">
        <v>141</v>
      </c>
      <c r="B593" s="30" t="s">
        <v>75</v>
      </c>
      <c r="C593" s="9" t="s">
        <v>67</v>
      </c>
      <c r="D593" s="32">
        <v>2024</v>
      </c>
      <c r="E593" s="33" t="s">
        <v>34</v>
      </c>
      <c r="F593" s="33">
        <f t="shared" si="20"/>
        <v>0</v>
      </c>
      <c r="G593" s="33">
        <f t="shared" si="20"/>
        <v>0</v>
      </c>
      <c r="H593" s="33">
        <f t="shared" si="20"/>
        <v>8</v>
      </c>
      <c r="I593" s="40">
        <f t="shared" si="19"/>
        <v>0</v>
      </c>
      <c r="J593" s="40">
        <f t="shared" si="19"/>
        <v>0</v>
      </c>
      <c r="K593" s="40">
        <f t="shared" si="19"/>
        <v>2.9817368617219529E-3</v>
      </c>
      <c r="L593" s="40">
        <f>1000*M593/VLOOKUP(D593,'Normalised Rates'!$A$7:$B$12,2,FALSE)</f>
        <v>2.9817368617219529E-3</v>
      </c>
      <c r="M593" s="34">
        <v>8</v>
      </c>
    </row>
    <row r="594" spans="1:13" ht="15" customHeight="1" x14ac:dyDescent="0.25">
      <c r="A594" s="30" t="s">
        <v>141</v>
      </c>
      <c r="B594" s="30" t="s">
        <v>75</v>
      </c>
      <c r="C594" s="9" t="s">
        <v>67</v>
      </c>
      <c r="D594" s="32">
        <v>2024</v>
      </c>
      <c r="E594" s="35" t="s">
        <v>163</v>
      </c>
      <c r="F594" s="33">
        <f t="shared" si="20"/>
        <v>102</v>
      </c>
      <c r="G594" s="33">
        <f t="shared" si="20"/>
        <v>0</v>
      </c>
      <c r="H594" s="33">
        <f t="shared" si="20"/>
        <v>0</v>
      </c>
      <c r="I594" s="40">
        <f t="shared" si="19"/>
        <v>3.8017144986954902E-2</v>
      </c>
      <c r="J594" s="40">
        <f t="shared" si="19"/>
        <v>0</v>
      </c>
      <c r="K594" s="40">
        <f t="shared" si="19"/>
        <v>0</v>
      </c>
      <c r="L594" s="40">
        <f>1000*M594/VLOOKUP(D594,'Normalised Rates'!$A$7:$B$12,2,FALSE)</f>
        <v>3.8017144986954902E-2</v>
      </c>
      <c r="M594" s="34">
        <v>102</v>
      </c>
    </row>
    <row r="595" spans="1:13" ht="15" customHeight="1" x14ac:dyDescent="0.25">
      <c r="A595" s="30" t="s">
        <v>141</v>
      </c>
      <c r="B595" s="30" t="s">
        <v>75</v>
      </c>
      <c r="C595" s="9" t="s">
        <v>67</v>
      </c>
      <c r="D595" s="32">
        <v>2025</v>
      </c>
      <c r="E595" s="33" t="s">
        <v>34</v>
      </c>
      <c r="F595" s="33">
        <f t="shared" si="20"/>
        <v>0</v>
      </c>
      <c r="G595" s="33">
        <f t="shared" si="20"/>
        <v>0</v>
      </c>
      <c r="H595" s="33">
        <f t="shared" si="20"/>
        <v>9</v>
      </c>
      <c r="I595" s="40">
        <f t="shared" si="19"/>
        <v>0</v>
      </c>
      <c r="J595" s="40">
        <f t="shared" si="19"/>
        <v>0</v>
      </c>
      <c r="K595" s="40">
        <f t="shared" si="19"/>
        <v>2.8544243577545195E-3</v>
      </c>
      <c r="L595" s="40">
        <f>1000*M595/VLOOKUP(D595,'Normalised Rates'!$A$7:$B$12,2,FALSE)</f>
        <v>2.8544243577545195E-3</v>
      </c>
      <c r="M595" s="34">
        <v>9</v>
      </c>
    </row>
    <row r="596" spans="1:13" ht="15" customHeight="1" x14ac:dyDescent="0.25">
      <c r="A596" s="30" t="s">
        <v>141</v>
      </c>
      <c r="B596" s="30" t="s">
        <v>75</v>
      </c>
      <c r="C596" s="9" t="s">
        <v>67</v>
      </c>
      <c r="D596" s="32">
        <v>2025</v>
      </c>
      <c r="E596" s="35" t="s">
        <v>163</v>
      </c>
      <c r="F596" s="33">
        <f t="shared" si="20"/>
        <v>171</v>
      </c>
      <c r="G596" s="33">
        <f t="shared" si="20"/>
        <v>0</v>
      </c>
      <c r="H596" s="33">
        <f t="shared" si="20"/>
        <v>0</v>
      </c>
      <c r="I596" s="40">
        <f t="shared" si="19"/>
        <v>5.423406279733587E-2</v>
      </c>
      <c r="J596" s="40">
        <f t="shared" si="19"/>
        <v>0</v>
      </c>
      <c r="K596" s="40">
        <f t="shared" si="19"/>
        <v>0</v>
      </c>
      <c r="L596" s="40">
        <f>1000*M596/VLOOKUP(D596,'Normalised Rates'!$A$7:$B$12,2,FALSE)</f>
        <v>5.423406279733587E-2</v>
      </c>
      <c r="M596" s="34">
        <v>171</v>
      </c>
    </row>
    <row r="597" spans="1:13" ht="15" customHeight="1" x14ac:dyDescent="0.25">
      <c r="A597" s="30" t="s">
        <v>141</v>
      </c>
      <c r="B597" s="30" t="s">
        <v>75</v>
      </c>
      <c r="C597" s="9" t="s">
        <v>67</v>
      </c>
      <c r="D597" s="32">
        <v>2026</v>
      </c>
      <c r="E597" s="33" t="s">
        <v>34</v>
      </c>
      <c r="F597" s="33">
        <f t="shared" si="20"/>
        <v>0</v>
      </c>
      <c r="G597" s="33">
        <f t="shared" si="20"/>
        <v>0</v>
      </c>
      <c r="H597" s="33">
        <f t="shared" si="20"/>
        <v>1</v>
      </c>
      <c r="I597" s="40">
        <f t="shared" si="19"/>
        <v>0</v>
      </c>
      <c r="J597" s="40">
        <f t="shared" si="19"/>
        <v>0</v>
      </c>
      <c r="K597" s="40">
        <f t="shared" si="19"/>
        <v>7.6117982873453852E-4</v>
      </c>
      <c r="L597" s="40">
        <f>1000*M597/VLOOKUP(D597,'Normalised Rates'!$A$7:$B$12,2,FALSE)</f>
        <v>7.6117982873453852E-4</v>
      </c>
      <c r="M597" s="34">
        <v>1</v>
      </c>
    </row>
    <row r="598" spans="1:13" ht="15" customHeight="1" x14ac:dyDescent="0.25">
      <c r="A598" s="30" t="s">
        <v>141</v>
      </c>
      <c r="B598" s="30" t="s">
        <v>75</v>
      </c>
      <c r="C598" s="9" t="s">
        <v>67</v>
      </c>
      <c r="D598" s="32">
        <v>2026</v>
      </c>
      <c r="E598" s="35" t="s">
        <v>163</v>
      </c>
      <c r="F598" s="33">
        <f t="shared" si="20"/>
        <v>89</v>
      </c>
      <c r="G598" s="33">
        <f t="shared" si="20"/>
        <v>0</v>
      </c>
      <c r="H598" s="33">
        <f t="shared" si="20"/>
        <v>0</v>
      </c>
      <c r="I598" s="40">
        <f t="shared" si="19"/>
        <v>6.7745004757373925E-2</v>
      </c>
      <c r="J598" s="40">
        <f t="shared" si="19"/>
        <v>0</v>
      </c>
      <c r="K598" s="40">
        <f t="shared" si="19"/>
        <v>0</v>
      </c>
      <c r="L598" s="40">
        <f>1000*M598/VLOOKUP(D598,'Normalised Rates'!$A$7:$B$12,2,FALSE)</f>
        <v>6.7745004757373925E-2</v>
      </c>
      <c r="M598" s="34">
        <v>89</v>
      </c>
    </row>
    <row r="599" spans="1:13" ht="15" customHeight="1" x14ac:dyDescent="0.25">
      <c r="A599" s="30" t="s">
        <v>141</v>
      </c>
      <c r="B599" s="30" t="s">
        <v>100</v>
      </c>
      <c r="C599" s="9" t="s">
        <v>67</v>
      </c>
      <c r="D599" s="32">
        <v>2021</v>
      </c>
      <c r="E599" s="35" t="s">
        <v>163</v>
      </c>
      <c r="F599" s="33">
        <f t="shared" si="20"/>
        <v>4</v>
      </c>
      <c r="G599" s="33">
        <f t="shared" si="20"/>
        <v>0</v>
      </c>
      <c r="H599" s="33">
        <f t="shared" si="20"/>
        <v>0</v>
      </c>
      <c r="I599" s="40">
        <f t="shared" si="19"/>
        <v>2.509410288582183E-3</v>
      </c>
      <c r="J599" s="40">
        <f t="shared" si="19"/>
        <v>0</v>
      </c>
      <c r="K599" s="40">
        <f t="shared" si="19"/>
        <v>0</v>
      </c>
      <c r="L599" s="40">
        <f>1000*M599/VLOOKUP(D599,'Normalised Rates'!$A$7:$B$12,2,FALSE)</f>
        <v>2.509410288582183E-3</v>
      </c>
      <c r="M599" s="34">
        <v>4</v>
      </c>
    </row>
    <row r="600" spans="1:13" ht="15" customHeight="1" x14ac:dyDescent="0.25">
      <c r="A600" s="30" t="s">
        <v>141</v>
      </c>
      <c r="B600" s="30" t="s">
        <v>100</v>
      </c>
      <c r="C600" s="9" t="s">
        <v>67</v>
      </c>
      <c r="D600" s="32">
        <v>2022</v>
      </c>
      <c r="E600" s="33" t="s">
        <v>34</v>
      </c>
      <c r="F600" s="33">
        <f t="shared" si="20"/>
        <v>0</v>
      </c>
      <c r="G600" s="33">
        <f t="shared" si="20"/>
        <v>0</v>
      </c>
      <c r="H600" s="33">
        <f t="shared" si="20"/>
        <v>1</v>
      </c>
      <c r="I600" s="40">
        <f t="shared" si="19"/>
        <v>0</v>
      </c>
      <c r="J600" s="40">
        <f t="shared" si="19"/>
        <v>0</v>
      </c>
      <c r="K600" s="40">
        <f t="shared" si="19"/>
        <v>5.3333333333333336E-4</v>
      </c>
      <c r="L600" s="40">
        <f>1000*M600/VLOOKUP(D600,'Normalised Rates'!$A$7:$B$12,2,FALSE)</f>
        <v>5.3333333333333336E-4</v>
      </c>
      <c r="M600" s="34">
        <v>1</v>
      </c>
    </row>
    <row r="601" spans="1:13" ht="15" customHeight="1" x14ac:dyDescent="0.25">
      <c r="A601" s="30" t="s">
        <v>141</v>
      </c>
      <c r="B601" s="30" t="s">
        <v>100</v>
      </c>
      <c r="C601" s="9" t="s">
        <v>67</v>
      </c>
      <c r="D601" s="32">
        <v>2022</v>
      </c>
      <c r="E601" s="35" t="s">
        <v>163</v>
      </c>
      <c r="F601" s="33">
        <f t="shared" si="20"/>
        <v>6</v>
      </c>
      <c r="G601" s="33">
        <f t="shared" si="20"/>
        <v>0</v>
      </c>
      <c r="H601" s="33">
        <f t="shared" si="20"/>
        <v>0</v>
      </c>
      <c r="I601" s="40">
        <f t="shared" si="19"/>
        <v>3.2000000000000002E-3</v>
      </c>
      <c r="J601" s="40">
        <f t="shared" si="19"/>
        <v>0</v>
      </c>
      <c r="K601" s="40">
        <f t="shared" si="19"/>
        <v>0</v>
      </c>
      <c r="L601" s="40">
        <f>1000*M601/VLOOKUP(D601,'Normalised Rates'!$A$7:$B$12,2,FALSE)</f>
        <v>3.2000000000000002E-3</v>
      </c>
      <c r="M601" s="34">
        <v>6</v>
      </c>
    </row>
    <row r="602" spans="1:13" ht="15" customHeight="1" x14ac:dyDescent="0.25">
      <c r="A602" s="30" t="s">
        <v>141</v>
      </c>
      <c r="B602" s="30" t="s">
        <v>100</v>
      </c>
      <c r="C602" s="9" t="s">
        <v>67</v>
      </c>
      <c r="D602" s="32">
        <v>2023</v>
      </c>
      <c r="E602" s="33" t="s">
        <v>34</v>
      </c>
      <c r="F602" s="33">
        <f t="shared" si="20"/>
        <v>0</v>
      </c>
      <c r="G602" s="33">
        <f t="shared" si="20"/>
        <v>0</v>
      </c>
      <c r="H602" s="33">
        <f t="shared" si="20"/>
        <v>1</v>
      </c>
      <c r="I602" s="40">
        <f t="shared" si="19"/>
        <v>0</v>
      </c>
      <c r="J602" s="40">
        <f t="shared" si="19"/>
        <v>0</v>
      </c>
      <c r="K602" s="40">
        <f t="shared" si="19"/>
        <v>4.3744531933508313E-4</v>
      </c>
      <c r="L602" s="40">
        <f>1000*M602/VLOOKUP(D602,'Normalised Rates'!$A$7:$B$12,2,FALSE)</f>
        <v>4.3744531933508313E-4</v>
      </c>
      <c r="M602" s="34">
        <v>1</v>
      </c>
    </row>
    <row r="603" spans="1:13" ht="15" customHeight="1" x14ac:dyDescent="0.25">
      <c r="A603" s="30" t="s">
        <v>141</v>
      </c>
      <c r="B603" s="30" t="s">
        <v>100</v>
      </c>
      <c r="C603" s="9" t="s">
        <v>67</v>
      </c>
      <c r="D603" s="32">
        <v>2023</v>
      </c>
      <c r="E603" s="35" t="s">
        <v>163</v>
      </c>
      <c r="F603" s="33">
        <f t="shared" si="20"/>
        <v>49</v>
      </c>
      <c r="G603" s="33">
        <f t="shared" si="20"/>
        <v>0</v>
      </c>
      <c r="H603" s="33">
        <f t="shared" si="20"/>
        <v>0</v>
      </c>
      <c r="I603" s="40">
        <f t="shared" si="19"/>
        <v>2.1434820647419073E-2</v>
      </c>
      <c r="J603" s="40">
        <f t="shared" si="19"/>
        <v>0</v>
      </c>
      <c r="K603" s="40">
        <f t="shared" si="19"/>
        <v>0</v>
      </c>
      <c r="L603" s="40">
        <f>1000*M603/VLOOKUP(D603,'Normalised Rates'!$A$7:$B$12,2,FALSE)</f>
        <v>2.1434820647419073E-2</v>
      </c>
      <c r="M603" s="34">
        <v>49</v>
      </c>
    </row>
    <row r="604" spans="1:13" ht="15" customHeight="1" x14ac:dyDescent="0.25">
      <c r="A604" s="30" t="s">
        <v>141</v>
      </c>
      <c r="B604" s="30" t="s">
        <v>100</v>
      </c>
      <c r="C604" s="9" t="s">
        <v>67</v>
      </c>
      <c r="D604" s="32">
        <v>2024</v>
      </c>
      <c r="E604" s="33" t="s">
        <v>34</v>
      </c>
      <c r="F604" s="33">
        <f t="shared" si="20"/>
        <v>0</v>
      </c>
      <c r="G604" s="33">
        <f t="shared" si="20"/>
        <v>0</v>
      </c>
      <c r="H604" s="33">
        <f t="shared" si="20"/>
        <v>2</v>
      </c>
      <c r="I604" s="40">
        <f t="shared" si="19"/>
        <v>0</v>
      </c>
      <c r="J604" s="40">
        <f t="shared" si="19"/>
        <v>0</v>
      </c>
      <c r="K604" s="40">
        <f t="shared" si="19"/>
        <v>7.4543421543048823E-4</v>
      </c>
      <c r="L604" s="40">
        <f>1000*M604/VLOOKUP(D604,'Normalised Rates'!$A$7:$B$12,2,FALSE)</f>
        <v>7.4543421543048823E-4</v>
      </c>
      <c r="M604" s="34">
        <v>2</v>
      </c>
    </row>
    <row r="605" spans="1:13" ht="15" customHeight="1" x14ac:dyDescent="0.25">
      <c r="A605" s="30" t="s">
        <v>141</v>
      </c>
      <c r="B605" s="30" t="s">
        <v>100</v>
      </c>
      <c r="C605" s="9" t="s">
        <v>67</v>
      </c>
      <c r="D605" s="32">
        <v>2024</v>
      </c>
      <c r="E605" s="35" t="s">
        <v>163</v>
      </c>
      <c r="F605" s="33">
        <f t="shared" si="20"/>
        <v>73</v>
      </c>
      <c r="G605" s="33">
        <f t="shared" si="20"/>
        <v>0</v>
      </c>
      <c r="H605" s="33">
        <f t="shared" si="20"/>
        <v>0</v>
      </c>
      <c r="I605" s="40">
        <f t="shared" si="19"/>
        <v>2.7208348863212821E-2</v>
      </c>
      <c r="J605" s="40">
        <f t="shared" si="19"/>
        <v>0</v>
      </c>
      <c r="K605" s="40">
        <f t="shared" si="19"/>
        <v>0</v>
      </c>
      <c r="L605" s="40">
        <f>1000*M605/VLOOKUP(D605,'Normalised Rates'!$A$7:$B$12,2,FALSE)</f>
        <v>2.7208348863212821E-2</v>
      </c>
      <c r="M605" s="34">
        <v>73</v>
      </c>
    </row>
    <row r="606" spans="1:13" ht="15" customHeight="1" x14ac:dyDescent="0.25">
      <c r="A606" s="30" t="s">
        <v>141</v>
      </c>
      <c r="B606" s="30" t="s">
        <v>100</v>
      </c>
      <c r="C606" s="9" t="s">
        <v>67</v>
      </c>
      <c r="D606" s="32">
        <v>2025</v>
      </c>
      <c r="E606" s="33" t="s">
        <v>34</v>
      </c>
      <c r="F606" s="33">
        <f t="shared" si="20"/>
        <v>0</v>
      </c>
      <c r="G606" s="33">
        <f t="shared" si="20"/>
        <v>0</v>
      </c>
      <c r="H606" s="33">
        <f t="shared" si="20"/>
        <v>4</v>
      </c>
      <c r="I606" s="40">
        <f t="shared" si="19"/>
        <v>0</v>
      </c>
      <c r="J606" s="40">
        <f t="shared" si="19"/>
        <v>0</v>
      </c>
      <c r="K606" s="40">
        <f t="shared" si="19"/>
        <v>1.2686330478908975E-3</v>
      </c>
      <c r="L606" s="40">
        <f>1000*M606/VLOOKUP(D606,'Normalised Rates'!$A$7:$B$12,2,FALSE)</f>
        <v>1.2686330478908975E-3</v>
      </c>
      <c r="M606" s="34">
        <v>4</v>
      </c>
    </row>
    <row r="607" spans="1:13" ht="15" customHeight="1" x14ac:dyDescent="0.25">
      <c r="A607" s="30" t="s">
        <v>141</v>
      </c>
      <c r="B607" s="30" t="s">
        <v>100</v>
      </c>
      <c r="C607" s="9" t="s">
        <v>67</v>
      </c>
      <c r="D607" s="32">
        <v>2025</v>
      </c>
      <c r="E607" s="35" t="s">
        <v>163</v>
      </c>
      <c r="F607" s="33">
        <f t="shared" si="20"/>
        <v>135</v>
      </c>
      <c r="G607" s="33">
        <f t="shared" si="20"/>
        <v>0</v>
      </c>
      <c r="H607" s="33">
        <f t="shared" si="20"/>
        <v>0</v>
      </c>
      <c r="I607" s="40">
        <f t="shared" si="19"/>
        <v>4.2816365366317791E-2</v>
      </c>
      <c r="J607" s="40">
        <f t="shared" si="19"/>
        <v>0</v>
      </c>
      <c r="K607" s="40">
        <f t="shared" si="19"/>
        <v>0</v>
      </c>
      <c r="L607" s="40">
        <f>1000*M607/VLOOKUP(D607,'Normalised Rates'!$A$7:$B$12,2,FALSE)</f>
        <v>4.2816365366317791E-2</v>
      </c>
      <c r="M607" s="34">
        <v>135</v>
      </c>
    </row>
    <row r="608" spans="1:13" ht="15" customHeight="1" x14ac:dyDescent="0.25">
      <c r="A608" s="30" t="s">
        <v>141</v>
      </c>
      <c r="B608" s="30" t="s">
        <v>100</v>
      </c>
      <c r="C608" s="9" t="s">
        <v>67</v>
      </c>
      <c r="D608" s="32">
        <v>2026</v>
      </c>
      <c r="E608" s="33" t="s">
        <v>34</v>
      </c>
      <c r="F608" s="33">
        <f t="shared" si="20"/>
        <v>0</v>
      </c>
      <c r="G608" s="33">
        <f t="shared" si="20"/>
        <v>0</v>
      </c>
      <c r="H608" s="33">
        <f t="shared" si="20"/>
        <v>1</v>
      </c>
      <c r="I608" s="40">
        <f t="shared" si="19"/>
        <v>0</v>
      </c>
      <c r="J608" s="40">
        <f t="shared" si="19"/>
        <v>0</v>
      </c>
      <c r="K608" s="40">
        <f t="shared" si="19"/>
        <v>7.6117982873453852E-4</v>
      </c>
      <c r="L608" s="40">
        <f>1000*M608/VLOOKUP(D608,'Normalised Rates'!$A$7:$B$12,2,FALSE)</f>
        <v>7.6117982873453852E-4</v>
      </c>
      <c r="M608" s="34">
        <v>1</v>
      </c>
    </row>
    <row r="609" spans="1:13" ht="15" customHeight="1" x14ac:dyDescent="0.25">
      <c r="A609" s="30" t="s">
        <v>141</v>
      </c>
      <c r="B609" s="30" t="s">
        <v>100</v>
      </c>
      <c r="C609" s="9" t="s">
        <v>67</v>
      </c>
      <c r="D609" s="32">
        <v>2026</v>
      </c>
      <c r="E609" s="35" t="s">
        <v>163</v>
      </c>
      <c r="F609" s="33">
        <f t="shared" si="20"/>
        <v>51</v>
      </c>
      <c r="G609" s="33">
        <f t="shared" si="20"/>
        <v>0</v>
      </c>
      <c r="H609" s="33">
        <f t="shared" si="20"/>
        <v>0</v>
      </c>
      <c r="I609" s="40">
        <f t="shared" si="19"/>
        <v>3.8820171265461466E-2</v>
      </c>
      <c r="J609" s="40">
        <f t="shared" si="19"/>
        <v>0</v>
      </c>
      <c r="K609" s="40">
        <f t="shared" si="19"/>
        <v>0</v>
      </c>
      <c r="L609" s="40">
        <f>1000*M609/VLOOKUP(D609,'Normalised Rates'!$A$7:$B$12,2,FALSE)</f>
        <v>3.8820171265461466E-2</v>
      </c>
      <c r="M609" s="34">
        <v>51</v>
      </c>
    </row>
    <row r="610" spans="1:13" ht="15" customHeight="1" x14ac:dyDescent="0.25">
      <c r="A610" s="30" t="s">
        <v>141</v>
      </c>
      <c r="B610" s="30" t="s">
        <v>77</v>
      </c>
      <c r="C610" s="9" t="s">
        <v>64</v>
      </c>
      <c r="D610" s="32">
        <v>2021</v>
      </c>
      <c r="E610" s="33" t="s">
        <v>34</v>
      </c>
      <c r="F610" s="33">
        <f t="shared" si="20"/>
        <v>0</v>
      </c>
      <c r="G610" s="33">
        <f t="shared" si="20"/>
        <v>0</v>
      </c>
      <c r="H610" s="33">
        <f t="shared" si="20"/>
        <v>2</v>
      </c>
      <c r="I610" s="40">
        <f t="shared" si="19"/>
        <v>0</v>
      </c>
      <c r="J610" s="40">
        <f t="shared" si="19"/>
        <v>0</v>
      </c>
      <c r="K610" s="40">
        <f t="shared" si="19"/>
        <v>1.2547051442910915E-3</v>
      </c>
      <c r="L610" s="40">
        <f>1000*M610/VLOOKUP(D610,'Normalised Rates'!$A$7:$B$12,2,FALSE)</f>
        <v>1.2547051442910915E-3</v>
      </c>
      <c r="M610" s="34">
        <v>2</v>
      </c>
    </row>
    <row r="611" spans="1:13" ht="15" customHeight="1" x14ac:dyDescent="0.25">
      <c r="A611" s="30" t="s">
        <v>141</v>
      </c>
      <c r="B611" s="30" t="s">
        <v>77</v>
      </c>
      <c r="C611" s="9" t="s">
        <v>64</v>
      </c>
      <c r="D611" s="32">
        <v>2021</v>
      </c>
      <c r="E611" s="35" t="s">
        <v>163</v>
      </c>
      <c r="F611" s="33">
        <f t="shared" si="20"/>
        <v>71</v>
      </c>
      <c r="G611" s="33">
        <f t="shared" si="20"/>
        <v>0</v>
      </c>
      <c r="H611" s="33">
        <f t="shared" si="20"/>
        <v>0</v>
      </c>
      <c r="I611" s="40">
        <f t="shared" si="19"/>
        <v>4.4542032622333749E-2</v>
      </c>
      <c r="J611" s="40">
        <f t="shared" si="19"/>
        <v>0</v>
      </c>
      <c r="K611" s="40">
        <f t="shared" si="19"/>
        <v>0</v>
      </c>
      <c r="L611" s="40">
        <f>1000*M611/VLOOKUP(D611,'Normalised Rates'!$A$7:$B$12,2,FALSE)</f>
        <v>4.4542032622333749E-2</v>
      </c>
      <c r="M611" s="34">
        <v>71</v>
      </c>
    </row>
    <row r="612" spans="1:13" ht="15" customHeight="1" x14ac:dyDescent="0.25">
      <c r="A612" s="30" t="s">
        <v>141</v>
      </c>
      <c r="B612" s="30" t="s">
        <v>77</v>
      </c>
      <c r="C612" s="9" t="s">
        <v>64</v>
      </c>
      <c r="D612" s="32">
        <v>2022</v>
      </c>
      <c r="E612" s="33" t="s">
        <v>34</v>
      </c>
      <c r="F612" s="33">
        <f t="shared" si="20"/>
        <v>0</v>
      </c>
      <c r="G612" s="33">
        <f t="shared" si="20"/>
        <v>0</v>
      </c>
      <c r="H612" s="33">
        <f t="shared" si="20"/>
        <v>5</v>
      </c>
      <c r="I612" s="40">
        <f t="shared" si="19"/>
        <v>0</v>
      </c>
      <c r="J612" s="40">
        <f t="shared" si="19"/>
        <v>0</v>
      </c>
      <c r="K612" s="40">
        <f t="shared" si="19"/>
        <v>2.6666666666666666E-3</v>
      </c>
      <c r="L612" s="40">
        <f>1000*M612/VLOOKUP(D612,'Normalised Rates'!$A$7:$B$12,2,FALSE)</f>
        <v>2.6666666666666666E-3</v>
      </c>
      <c r="M612" s="34">
        <v>5</v>
      </c>
    </row>
    <row r="613" spans="1:13" ht="15" customHeight="1" x14ac:dyDescent="0.25">
      <c r="A613" s="30" t="s">
        <v>141</v>
      </c>
      <c r="B613" s="30" t="s">
        <v>77</v>
      </c>
      <c r="C613" s="9" t="s">
        <v>64</v>
      </c>
      <c r="D613" s="32">
        <v>2022</v>
      </c>
      <c r="E613" s="35" t="s">
        <v>163</v>
      </c>
      <c r="F613" s="33">
        <f t="shared" si="20"/>
        <v>49</v>
      </c>
      <c r="G613" s="33">
        <f t="shared" si="20"/>
        <v>0</v>
      </c>
      <c r="H613" s="33">
        <f t="shared" si="20"/>
        <v>0</v>
      </c>
      <c r="I613" s="40">
        <f t="shared" si="19"/>
        <v>2.6133333333333335E-2</v>
      </c>
      <c r="J613" s="40">
        <f t="shared" si="19"/>
        <v>0</v>
      </c>
      <c r="K613" s="40">
        <f t="shared" si="19"/>
        <v>0</v>
      </c>
      <c r="L613" s="40">
        <f>1000*M613/VLOOKUP(D613,'Normalised Rates'!$A$7:$B$12,2,FALSE)</f>
        <v>2.6133333333333335E-2</v>
      </c>
      <c r="M613" s="34">
        <v>49</v>
      </c>
    </row>
    <row r="614" spans="1:13" ht="15" customHeight="1" x14ac:dyDescent="0.25">
      <c r="A614" s="30" t="s">
        <v>141</v>
      </c>
      <c r="B614" s="30" t="s">
        <v>77</v>
      </c>
      <c r="C614" s="9" t="s">
        <v>64</v>
      </c>
      <c r="D614" s="32">
        <v>2023</v>
      </c>
      <c r="E614" s="33" t="s">
        <v>34</v>
      </c>
      <c r="F614" s="33">
        <f t="shared" si="20"/>
        <v>0</v>
      </c>
      <c r="G614" s="33">
        <f t="shared" si="20"/>
        <v>0</v>
      </c>
      <c r="H614" s="33">
        <f t="shared" si="20"/>
        <v>2</v>
      </c>
      <c r="I614" s="40">
        <f t="shared" si="19"/>
        <v>0</v>
      </c>
      <c r="J614" s="40">
        <f t="shared" si="19"/>
        <v>0</v>
      </c>
      <c r="K614" s="40">
        <f t="shared" si="19"/>
        <v>8.7489063867016625E-4</v>
      </c>
      <c r="L614" s="40">
        <f>1000*M614/VLOOKUP(D614,'Normalised Rates'!$A$7:$B$12,2,FALSE)</f>
        <v>8.7489063867016625E-4</v>
      </c>
      <c r="M614" s="34">
        <v>2</v>
      </c>
    </row>
    <row r="615" spans="1:13" ht="15" customHeight="1" x14ac:dyDescent="0.25">
      <c r="A615" s="30" t="s">
        <v>141</v>
      </c>
      <c r="B615" s="30" t="s">
        <v>77</v>
      </c>
      <c r="C615" s="9" t="s">
        <v>64</v>
      </c>
      <c r="D615" s="32">
        <v>2023</v>
      </c>
      <c r="E615" s="35" t="s">
        <v>163</v>
      </c>
      <c r="F615" s="33">
        <f t="shared" si="20"/>
        <v>36</v>
      </c>
      <c r="G615" s="33">
        <f t="shared" si="20"/>
        <v>0</v>
      </c>
      <c r="H615" s="33">
        <f t="shared" si="20"/>
        <v>0</v>
      </c>
      <c r="I615" s="40">
        <f t="shared" si="19"/>
        <v>1.5748031496062992E-2</v>
      </c>
      <c r="J615" s="40">
        <f t="shared" si="19"/>
        <v>0</v>
      </c>
      <c r="K615" s="40">
        <f t="shared" si="19"/>
        <v>0</v>
      </c>
      <c r="L615" s="40">
        <f>1000*M615/VLOOKUP(D615,'Normalised Rates'!$A$7:$B$12,2,FALSE)</f>
        <v>1.5748031496062992E-2</v>
      </c>
      <c r="M615" s="34">
        <v>36</v>
      </c>
    </row>
    <row r="616" spans="1:13" ht="15" customHeight="1" x14ac:dyDescent="0.25">
      <c r="A616" s="30" t="s">
        <v>141</v>
      </c>
      <c r="B616" s="30" t="s">
        <v>77</v>
      </c>
      <c r="C616" s="9" t="s">
        <v>64</v>
      </c>
      <c r="D616" s="32">
        <v>2024</v>
      </c>
      <c r="E616" s="33" t="s">
        <v>34</v>
      </c>
      <c r="F616" s="33">
        <f t="shared" si="20"/>
        <v>0</v>
      </c>
      <c r="G616" s="33">
        <f t="shared" si="20"/>
        <v>0</v>
      </c>
      <c r="H616" s="33">
        <f t="shared" si="20"/>
        <v>2</v>
      </c>
      <c r="I616" s="40">
        <f t="shared" si="19"/>
        <v>0</v>
      </c>
      <c r="J616" s="40">
        <f t="shared" si="19"/>
        <v>0</v>
      </c>
      <c r="K616" s="40">
        <f t="shared" si="19"/>
        <v>7.4543421543048823E-4</v>
      </c>
      <c r="L616" s="40">
        <f>1000*M616/VLOOKUP(D616,'Normalised Rates'!$A$7:$B$12,2,FALSE)</f>
        <v>7.4543421543048823E-4</v>
      </c>
      <c r="M616" s="34">
        <v>2</v>
      </c>
    </row>
    <row r="617" spans="1:13" ht="15" customHeight="1" x14ac:dyDescent="0.25">
      <c r="A617" s="30" t="s">
        <v>141</v>
      </c>
      <c r="B617" s="30" t="s">
        <v>77</v>
      </c>
      <c r="C617" s="9" t="s">
        <v>64</v>
      </c>
      <c r="D617" s="32">
        <v>2024</v>
      </c>
      <c r="E617" s="35" t="s">
        <v>163</v>
      </c>
      <c r="F617" s="33">
        <f t="shared" si="20"/>
        <v>6</v>
      </c>
      <c r="G617" s="33">
        <f t="shared" si="20"/>
        <v>0</v>
      </c>
      <c r="H617" s="33">
        <f t="shared" si="20"/>
        <v>0</v>
      </c>
      <c r="I617" s="40">
        <f t="shared" si="19"/>
        <v>2.2363026462914647E-3</v>
      </c>
      <c r="J617" s="40">
        <f t="shared" si="19"/>
        <v>0</v>
      </c>
      <c r="K617" s="40">
        <f t="shared" si="19"/>
        <v>0</v>
      </c>
      <c r="L617" s="40">
        <f>1000*M617/VLOOKUP(D617,'Normalised Rates'!$A$7:$B$12,2,FALSE)</f>
        <v>2.2363026462914647E-3</v>
      </c>
      <c r="M617" s="34">
        <v>6</v>
      </c>
    </row>
    <row r="618" spans="1:13" ht="15" customHeight="1" x14ac:dyDescent="0.25">
      <c r="A618" s="30" t="s">
        <v>141</v>
      </c>
      <c r="B618" s="30" t="s">
        <v>77</v>
      </c>
      <c r="C618" s="9" t="s">
        <v>64</v>
      </c>
      <c r="D618" s="32">
        <v>2025</v>
      </c>
      <c r="E618" s="33" t="s">
        <v>34</v>
      </c>
      <c r="F618" s="33">
        <f t="shared" si="20"/>
        <v>0</v>
      </c>
      <c r="G618" s="33">
        <f t="shared" si="20"/>
        <v>0</v>
      </c>
      <c r="H618" s="33">
        <f t="shared" si="20"/>
        <v>4</v>
      </c>
      <c r="I618" s="40">
        <f t="shared" si="19"/>
        <v>0</v>
      </c>
      <c r="J618" s="40">
        <f t="shared" si="19"/>
        <v>0</v>
      </c>
      <c r="K618" s="40">
        <f t="shared" si="19"/>
        <v>1.2686330478908975E-3</v>
      </c>
      <c r="L618" s="40">
        <f>1000*M618/VLOOKUP(D618,'Normalised Rates'!$A$7:$B$12,2,FALSE)</f>
        <v>1.2686330478908975E-3</v>
      </c>
      <c r="M618" s="34">
        <v>4</v>
      </c>
    </row>
    <row r="619" spans="1:13" ht="15" customHeight="1" x14ac:dyDescent="0.25">
      <c r="A619" s="30" t="s">
        <v>141</v>
      </c>
      <c r="B619" s="30" t="s">
        <v>77</v>
      </c>
      <c r="C619" s="9" t="s">
        <v>64</v>
      </c>
      <c r="D619" s="32">
        <v>2025</v>
      </c>
      <c r="E619" s="35" t="s">
        <v>163</v>
      </c>
      <c r="F619" s="33">
        <f t="shared" si="20"/>
        <v>94</v>
      </c>
      <c r="G619" s="33">
        <f t="shared" si="20"/>
        <v>0</v>
      </c>
      <c r="H619" s="33">
        <f t="shared" si="20"/>
        <v>0</v>
      </c>
      <c r="I619" s="40">
        <f t="shared" si="19"/>
        <v>2.9812876625436094E-2</v>
      </c>
      <c r="J619" s="40">
        <f t="shared" si="19"/>
        <v>0</v>
      </c>
      <c r="K619" s="40">
        <f t="shared" si="19"/>
        <v>0</v>
      </c>
      <c r="L619" s="40">
        <f>1000*M619/VLOOKUP(D619,'Normalised Rates'!$A$7:$B$12,2,FALSE)</f>
        <v>2.9812876625436094E-2</v>
      </c>
      <c r="M619" s="34">
        <v>94</v>
      </c>
    </row>
    <row r="620" spans="1:13" ht="15" customHeight="1" x14ac:dyDescent="0.25">
      <c r="A620" s="30" t="s">
        <v>141</v>
      </c>
      <c r="B620" s="30" t="s">
        <v>77</v>
      </c>
      <c r="C620" s="9" t="s">
        <v>64</v>
      </c>
      <c r="D620" s="32">
        <v>2026</v>
      </c>
      <c r="E620" s="33" t="s">
        <v>34</v>
      </c>
      <c r="F620" s="33">
        <f t="shared" si="20"/>
        <v>0</v>
      </c>
      <c r="G620" s="33">
        <f t="shared" si="20"/>
        <v>0</v>
      </c>
      <c r="H620" s="33">
        <f t="shared" si="20"/>
        <v>2</v>
      </c>
      <c r="I620" s="40">
        <f t="shared" si="19"/>
        <v>0</v>
      </c>
      <c r="J620" s="40">
        <f t="shared" si="19"/>
        <v>0</v>
      </c>
      <c r="K620" s="40">
        <f t="shared" si="19"/>
        <v>1.522359657469077E-3</v>
      </c>
      <c r="L620" s="40">
        <f>1000*M620/VLOOKUP(D620,'Normalised Rates'!$A$7:$B$12,2,FALSE)</f>
        <v>1.522359657469077E-3</v>
      </c>
      <c r="M620" s="34">
        <v>2</v>
      </c>
    </row>
    <row r="621" spans="1:13" ht="15" customHeight="1" x14ac:dyDescent="0.25">
      <c r="A621" s="30" t="s">
        <v>141</v>
      </c>
      <c r="B621" s="30" t="s">
        <v>77</v>
      </c>
      <c r="C621" s="9" t="s">
        <v>64</v>
      </c>
      <c r="D621" s="32">
        <v>2026</v>
      </c>
      <c r="E621" s="35" t="s">
        <v>163</v>
      </c>
      <c r="F621" s="33">
        <f t="shared" si="20"/>
        <v>35</v>
      </c>
      <c r="G621" s="33">
        <f t="shared" si="20"/>
        <v>0</v>
      </c>
      <c r="H621" s="33">
        <f t="shared" si="20"/>
        <v>0</v>
      </c>
      <c r="I621" s="40">
        <f t="shared" si="19"/>
        <v>2.6641294005708849E-2</v>
      </c>
      <c r="J621" s="40">
        <f t="shared" si="19"/>
        <v>0</v>
      </c>
      <c r="K621" s="40">
        <f t="shared" si="19"/>
        <v>0</v>
      </c>
      <c r="L621" s="40">
        <f>1000*M621/VLOOKUP(D621,'Normalised Rates'!$A$7:$B$12,2,FALSE)</f>
        <v>2.6641294005708849E-2</v>
      </c>
      <c r="M621" s="34">
        <v>35</v>
      </c>
    </row>
    <row r="622" spans="1:13" ht="15" customHeight="1" x14ac:dyDescent="0.25">
      <c r="A622" s="30" t="s">
        <v>141</v>
      </c>
      <c r="B622" s="30" t="s">
        <v>90</v>
      </c>
      <c r="C622" s="9" t="s">
        <v>67</v>
      </c>
      <c r="D622" s="32">
        <v>2021</v>
      </c>
      <c r="E622" s="33" t="s">
        <v>34</v>
      </c>
      <c r="F622" s="33">
        <f t="shared" si="20"/>
        <v>0</v>
      </c>
      <c r="G622" s="33">
        <f t="shared" si="20"/>
        <v>0</v>
      </c>
      <c r="H622" s="33">
        <f t="shared" si="20"/>
        <v>1</v>
      </c>
      <c r="I622" s="40">
        <f t="shared" si="19"/>
        <v>0</v>
      </c>
      <c r="J622" s="40">
        <f t="shared" si="19"/>
        <v>0</v>
      </c>
      <c r="K622" s="40">
        <f t="shared" si="19"/>
        <v>6.2735257214554575E-4</v>
      </c>
      <c r="L622" s="40">
        <f>1000*M622/VLOOKUP(D622,'Normalised Rates'!$A$7:$B$12,2,FALSE)</f>
        <v>6.2735257214554575E-4</v>
      </c>
      <c r="M622" s="34">
        <v>1</v>
      </c>
    </row>
    <row r="623" spans="1:13" ht="15" customHeight="1" x14ac:dyDescent="0.25">
      <c r="A623" s="30" t="s">
        <v>141</v>
      </c>
      <c r="B623" s="30" t="s">
        <v>90</v>
      </c>
      <c r="C623" s="9" t="s">
        <v>67</v>
      </c>
      <c r="D623" s="32">
        <v>2021</v>
      </c>
      <c r="E623" s="35" t="s">
        <v>163</v>
      </c>
      <c r="F623" s="33">
        <f t="shared" si="20"/>
        <v>12</v>
      </c>
      <c r="G623" s="33">
        <f t="shared" si="20"/>
        <v>0</v>
      </c>
      <c r="H623" s="33">
        <f t="shared" si="20"/>
        <v>0</v>
      </c>
      <c r="I623" s="40">
        <f t="shared" si="19"/>
        <v>7.5282308657465494E-3</v>
      </c>
      <c r="J623" s="40">
        <f t="shared" si="19"/>
        <v>0</v>
      </c>
      <c r="K623" s="40">
        <f t="shared" si="19"/>
        <v>0</v>
      </c>
      <c r="L623" s="40">
        <f>1000*M623/VLOOKUP(D623,'Normalised Rates'!$A$7:$B$12,2,FALSE)</f>
        <v>7.5282308657465494E-3</v>
      </c>
      <c r="M623" s="34">
        <v>12</v>
      </c>
    </row>
    <row r="624" spans="1:13" ht="15" customHeight="1" x14ac:dyDescent="0.25">
      <c r="A624" s="30" t="s">
        <v>141</v>
      </c>
      <c r="B624" s="30" t="s">
        <v>90</v>
      </c>
      <c r="C624" s="9" t="s">
        <v>67</v>
      </c>
      <c r="D624" s="32">
        <v>2022</v>
      </c>
      <c r="E624" s="33" t="s">
        <v>34</v>
      </c>
      <c r="F624" s="33">
        <f t="shared" si="20"/>
        <v>0</v>
      </c>
      <c r="G624" s="33">
        <f t="shared" si="20"/>
        <v>0</v>
      </c>
      <c r="H624" s="33">
        <f t="shared" si="20"/>
        <v>2</v>
      </c>
      <c r="I624" s="40">
        <f t="shared" si="19"/>
        <v>0</v>
      </c>
      <c r="J624" s="40">
        <f t="shared" si="19"/>
        <v>0</v>
      </c>
      <c r="K624" s="40">
        <f t="shared" si="19"/>
        <v>1.0666666666666667E-3</v>
      </c>
      <c r="L624" s="40">
        <f>1000*M624/VLOOKUP(D624,'Normalised Rates'!$A$7:$B$12,2,FALSE)</f>
        <v>1.0666666666666667E-3</v>
      </c>
      <c r="M624" s="34">
        <v>2</v>
      </c>
    </row>
    <row r="625" spans="1:13" ht="15" customHeight="1" x14ac:dyDescent="0.25">
      <c r="A625" s="30" t="s">
        <v>141</v>
      </c>
      <c r="B625" s="30" t="s">
        <v>90</v>
      </c>
      <c r="C625" s="9" t="s">
        <v>67</v>
      </c>
      <c r="D625" s="32">
        <v>2022</v>
      </c>
      <c r="E625" s="35" t="s">
        <v>163</v>
      </c>
      <c r="F625" s="33">
        <f t="shared" si="20"/>
        <v>4</v>
      </c>
      <c r="G625" s="33">
        <f t="shared" si="20"/>
        <v>0</v>
      </c>
      <c r="H625" s="33">
        <f t="shared" si="20"/>
        <v>0</v>
      </c>
      <c r="I625" s="40">
        <f t="shared" si="19"/>
        <v>2.1333333333333334E-3</v>
      </c>
      <c r="J625" s="40">
        <f t="shared" si="19"/>
        <v>0</v>
      </c>
      <c r="K625" s="40">
        <f t="shared" si="19"/>
        <v>0</v>
      </c>
      <c r="L625" s="40">
        <f>1000*M625/VLOOKUP(D625,'Normalised Rates'!$A$7:$B$12,2,FALSE)</f>
        <v>2.1333333333333334E-3</v>
      </c>
      <c r="M625" s="34">
        <v>4</v>
      </c>
    </row>
    <row r="626" spans="1:13" ht="15" customHeight="1" x14ac:dyDescent="0.25">
      <c r="A626" s="30" t="s">
        <v>141</v>
      </c>
      <c r="B626" s="30" t="s">
        <v>90</v>
      </c>
      <c r="C626" s="9" t="s">
        <v>67</v>
      </c>
      <c r="D626" s="32">
        <v>2023</v>
      </c>
      <c r="E626" s="33" t="s">
        <v>34</v>
      </c>
      <c r="F626" s="33">
        <f t="shared" si="20"/>
        <v>0</v>
      </c>
      <c r="G626" s="33">
        <f t="shared" si="20"/>
        <v>0</v>
      </c>
      <c r="H626" s="33">
        <f t="shared" si="20"/>
        <v>4</v>
      </c>
      <c r="I626" s="40">
        <f t="shared" si="19"/>
        <v>0</v>
      </c>
      <c r="J626" s="40">
        <f t="shared" si="19"/>
        <v>0</v>
      </c>
      <c r="K626" s="40">
        <f t="shared" si="19"/>
        <v>1.7497812773403325E-3</v>
      </c>
      <c r="L626" s="40">
        <f>1000*M626/VLOOKUP(D626,'Normalised Rates'!$A$7:$B$12,2,FALSE)</f>
        <v>1.7497812773403325E-3</v>
      </c>
      <c r="M626" s="34">
        <v>4</v>
      </c>
    </row>
    <row r="627" spans="1:13" ht="15" customHeight="1" x14ac:dyDescent="0.25">
      <c r="A627" s="30" t="s">
        <v>141</v>
      </c>
      <c r="B627" s="30" t="s">
        <v>90</v>
      </c>
      <c r="C627" s="9" t="s">
        <v>67</v>
      </c>
      <c r="D627" s="32">
        <v>2023</v>
      </c>
      <c r="E627" s="35" t="s">
        <v>163</v>
      </c>
      <c r="F627" s="33">
        <f t="shared" si="20"/>
        <v>65</v>
      </c>
      <c r="G627" s="33">
        <f t="shared" si="20"/>
        <v>0</v>
      </c>
      <c r="H627" s="33">
        <f t="shared" si="20"/>
        <v>0</v>
      </c>
      <c r="I627" s="40">
        <f t="shared" si="19"/>
        <v>2.8433945756780401E-2</v>
      </c>
      <c r="J627" s="40">
        <f t="shared" si="19"/>
        <v>0</v>
      </c>
      <c r="K627" s="40">
        <f t="shared" si="19"/>
        <v>0</v>
      </c>
      <c r="L627" s="40">
        <f>1000*M627/VLOOKUP(D627,'Normalised Rates'!$A$7:$B$12,2,FALSE)</f>
        <v>2.8433945756780401E-2</v>
      </c>
      <c r="M627" s="34">
        <v>65</v>
      </c>
    </row>
    <row r="628" spans="1:13" ht="15" customHeight="1" x14ac:dyDescent="0.25">
      <c r="A628" s="30" t="s">
        <v>141</v>
      </c>
      <c r="B628" s="30" t="s">
        <v>90</v>
      </c>
      <c r="C628" s="9" t="s">
        <v>67</v>
      </c>
      <c r="D628" s="32">
        <v>2024</v>
      </c>
      <c r="E628" s="33" t="s">
        <v>34</v>
      </c>
      <c r="F628" s="33">
        <f t="shared" si="20"/>
        <v>0</v>
      </c>
      <c r="G628" s="33">
        <f t="shared" si="20"/>
        <v>0</v>
      </c>
      <c r="H628" s="33">
        <f t="shared" si="20"/>
        <v>3</v>
      </c>
      <c r="I628" s="40">
        <f t="shared" si="19"/>
        <v>0</v>
      </c>
      <c r="J628" s="40">
        <f t="shared" si="19"/>
        <v>0</v>
      </c>
      <c r="K628" s="40">
        <f t="shared" si="19"/>
        <v>1.1181513231457323E-3</v>
      </c>
      <c r="L628" s="40">
        <f>1000*M628/VLOOKUP(D628,'Normalised Rates'!$A$7:$B$12,2,FALSE)</f>
        <v>1.1181513231457323E-3</v>
      </c>
      <c r="M628" s="34">
        <v>3</v>
      </c>
    </row>
    <row r="629" spans="1:13" ht="15" customHeight="1" x14ac:dyDescent="0.25">
      <c r="A629" s="30" t="s">
        <v>141</v>
      </c>
      <c r="B629" s="30" t="s">
        <v>90</v>
      </c>
      <c r="C629" s="9" t="s">
        <v>67</v>
      </c>
      <c r="D629" s="32">
        <v>2024</v>
      </c>
      <c r="E629" s="35" t="s">
        <v>163</v>
      </c>
      <c r="F629" s="33">
        <f t="shared" si="20"/>
        <v>48</v>
      </c>
      <c r="G629" s="33">
        <f t="shared" si="20"/>
        <v>0</v>
      </c>
      <c r="H629" s="33">
        <f t="shared" si="20"/>
        <v>0</v>
      </c>
      <c r="I629" s="40">
        <f t="shared" si="19"/>
        <v>1.7890421170331718E-2</v>
      </c>
      <c r="J629" s="40">
        <f t="shared" si="19"/>
        <v>0</v>
      </c>
      <c r="K629" s="40">
        <f t="shared" si="19"/>
        <v>0</v>
      </c>
      <c r="L629" s="40">
        <f>1000*M629/VLOOKUP(D629,'Normalised Rates'!$A$7:$B$12,2,FALSE)</f>
        <v>1.7890421170331718E-2</v>
      </c>
      <c r="M629" s="34">
        <v>48</v>
      </c>
    </row>
    <row r="630" spans="1:13" ht="15" customHeight="1" x14ac:dyDescent="0.25">
      <c r="A630" s="30" t="s">
        <v>141</v>
      </c>
      <c r="B630" s="30" t="s">
        <v>90</v>
      </c>
      <c r="C630" s="9" t="s">
        <v>67</v>
      </c>
      <c r="D630" s="32">
        <v>2025</v>
      </c>
      <c r="E630" s="33" t="s">
        <v>34</v>
      </c>
      <c r="F630" s="33">
        <f t="shared" si="20"/>
        <v>0</v>
      </c>
      <c r="G630" s="33">
        <f t="shared" si="20"/>
        <v>0</v>
      </c>
      <c r="H630" s="33">
        <f t="shared" si="20"/>
        <v>4</v>
      </c>
      <c r="I630" s="40">
        <f t="shared" si="19"/>
        <v>0</v>
      </c>
      <c r="J630" s="40">
        <f t="shared" si="19"/>
        <v>0</v>
      </c>
      <c r="K630" s="40">
        <f t="shared" si="19"/>
        <v>1.2686330478908975E-3</v>
      </c>
      <c r="L630" s="40">
        <f>1000*M630/VLOOKUP(D630,'Normalised Rates'!$A$7:$B$12,2,FALSE)</f>
        <v>1.2686330478908975E-3</v>
      </c>
      <c r="M630" s="34">
        <v>4</v>
      </c>
    </row>
    <row r="631" spans="1:13" ht="15" customHeight="1" x14ac:dyDescent="0.25">
      <c r="A631" s="30" t="s">
        <v>141</v>
      </c>
      <c r="B631" s="30" t="s">
        <v>90</v>
      </c>
      <c r="C631" s="9" t="s">
        <v>67</v>
      </c>
      <c r="D631" s="32">
        <v>2025</v>
      </c>
      <c r="E631" s="35" t="s">
        <v>163</v>
      </c>
      <c r="F631" s="33">
        <f t="shared" si="20"/>
        <v>103</v>
      </c>
      <c r="G631" s="33">
        <f t="shared" si="20"/>
        <v>0</v>
      </c>
      <c r="H631" s="33">
        <f t="shared" si="20"/>
        <v>0</v>
      </c>
      <c r="I631" s="40">
        <f t="shared" si="19"/>
        <v>3.2667300983190616E-2</v>
      </c>
      <c r="J631" s="40">
        <f t="shared" si="19"/>
        <v>0</v>
      </c>
      <c r="K631" s="40">
        <f t="shared" si="19"/>
        <v>0</v>
      </c>
      <c r="L631" s="40">
        <f>1000*M631/VLOOKUP(D631,'Normalised Rates'!$A$7:$B$12,2,FALSE)</f>
        <v>3.2667300983190616E-2</v>
      </c>
      <c r="M631" s="34">
        <v>103</v>
      </c>
    </row>
    <row r="632" spans="1:13" ht="15" customHeight="1" x14ac:dyDescent="0.25">
      <c r="A632" s="30" t="s">
        <v>141</v>
      </c>
      <c r="B632" s="30" t="s">
        <v>90</v>
      </c>
      <c r="C632" s="9" t="s">
        <v>67</v>
      </c>
      <c r="D632" s="32">
        <v>2026</v>
      </c>
      <c r="E632" s="33" t="s">
        <v>34</v>
      </c>
      <c r="F632" s="33">
        <f t="shared" si="20"/>
        <v>0</v>
      </c>
      <c r="G632" s="33">
        <f t="shared" si="20"/>
        <v>0</v>
      </c>
      <c r="H632" s="33">
        <f t="shared" si="20"/>
        <v>1</v>
      </c>
      <c r="I632" s="40">
        <f t="shared" si="19"/>
        <v>0</v>
      </c>
      <c r="J632" s="40">
        <f t="shared" si="19"/>
        <v>0</v>
      </c>
      <c r="K632" s="40">
        <f t="shared" si="19"/>
        <v>7.6117982873453852E-4</v>
      </c>
      <c r="L632" s="40">
        <f>1000*M632/VLOOKUP(D632,'Normalised Rates'!$A$7:$B$12,2,FALSE)</f>
        <v>7.6117982873453852E-4</v>
      </c>
      <c r="M632" s="34">
        <v>1</v>
      </c>
    </row>
    <row r="633" spans="1:13" ht="15" customHeight="1" x14ac:dyDescent="0.25">
      <c r="A633" s="30" t="s">
        <v>141</v>
      </c>
      <c r="B633" s="30" t="s">
        <v>90</v>
      </c>
      <c r="C633" s="9" t="s">
        <v>67</v>
      </c>
      <c r="D633" s="32">
        <v>2026</v>
      </c>
      <c r="E633" s="35" t="s">
        <v>163</v>
      </c>
      <c r="F633" s="33">
        <f t="shared" si="20"/>
        <v>47</v>
      </c>
      <c r="G633" s="33">
        <f t="shared" si="20"/>
        <v>0</v>
      </c>
      <c r="H633" s="33">
        <f t="shared" si="20"/>
        <v>0</v>
      </c>
      <c r="I633" s="40">
        <f t="shared" si="19"/>
        <v>3.5775451950523313E-2</v>
      </c>
      <c r="J633" s="40">
        <f t="shared" si="19"/>
        <v>0</v>
      </c>
      <c r="K633" s="40">
        <f t="shared" si="19"/>
        <v>0</v>
      </c>
      <c r="L633" s="40">
        <f>1000*M633/VLOOKUP(D633,'Normalised Rates'!$A$7:$B$12,2,FALSE)</f>
        <v>3.5775451950523313E-2</v>
      </c>
      <c r="M633" s="34">
        <v>47</v>
      </c>
    </row>
    <row r="634" spans="1:13" ht="15" customHeight="1" x14ac:dyDescent="0.25">
      <c r="A634" s="30" t="s">
        <v>141</v>
      </c>
      <c r="B634" s="30" t="s">
        <v>86</v>
      </c>
      <c r="C634" s="9" t="s">
        <v>84</v>
      </c>
      <c r="D634" s="32">
        <v>2021</v>
      </c>
      <c r="E634" s="33" t="s">
        <v>34</v>
      </c>
      <c r="F634" s="33">
        <f t="shared" si="20"/>
        <v>0</v>
      </c>
      <c r="G634" s="33">
        <f t="shared" si="20"/>
        <v>0</v>
      </c>
      <c r="H634" s="33">
        <f t="shared" si="20"/>
        <v>2</v>
      </c>
      <c r="I634" s="40">
        <f t="shared" si="19"/>
        <v>0</v>
      </c>
      <c r="J634" s="40">
        <f t="shared" si="19"/>
        <v>0</v>
      </c>
      <c r="K634" s="40">
        <f t="shared" si="19"/>
        <v>1.2547051442910915E-3</v>
      </c>
      <c r="L634" s="40">
        <f>1000*M634/VLOOKUP(D634,'Normalised Rates'!$A$7:$B$12,2,FALSE)</f>
        <v>1.2547051442910915E-3</v>
      </c>
      <c r="M634" s="34">
        <v>2</v>
      </c>
    </row>
    <row r="635" spans="1:13" ht="15" customHeight="1" x14ac:dyDescent="0.25">
      <c r="A635" s="30" t="s">
        <v>141</v>
      </c>
      <c r="B635" s="30" t="s">
        <v>86</v>
      </c>
      <c r="C635" s="9" t="s">
        <v>84</v>
      </c>
      <c r="D635" s="32">
        <v>2021</v>
      </c>
      <c r="E635" s="35" t="s">
        <v>163</v>
      </c>
      <c r="F635" s="33">
        <f t="shared" si="20"/>
        <v>1</v>
      </c>
      <c r="G635" s="33">
        <f t="shared" si="20"/>
        <v>0</v>
      </c>
      <c r="H635" s="33">
        <f t="shared" si="20"/>
        <v>0</v>
      </c>
      <c r="I635" s="40">
        <f t="shared" si="19"/>
        <v>6.2735257214554575E-4</v>
      </c>
      <c r="J635" s="40">
        <f t="shared" si="19"/>
        <v>0</v>
      </c>
      <c r="K635" s="40">
        <f t="shared" si="19"/>
        <v>0</v>
      </c>
      <c r="L635" s="40">
        <f>1000*M635/VLOOKUP(D635,'Normalised Rates'!$A$7:$B$12,2,FALSE)</f>
        <v>6.2735257214554575E-4</v>
      </c>
      <c r="M635" s="34">
        <v>1</v>
      </c>
    </row>
    <row r="636" spans="1:13" ht="15" customHeight="1" x14ac:dyDescent="0.25">
      <c r="A636" s="30" t="s">
        <v>141</v>
      </c>
      <c r="B636" s="30" t="s">
        <v>86</v>
      </c>
      <c r="C636" s="9" t="s">
        <v>84</v>
      </c>
      <c r="D636" s="32">
        <v>2022</v>
      </c>
      <c r="E636" s="33" t="s">
        <v>34</v>
      </c>
      <c r="F636" s="33">
        <f t="shared" si="20"/>
        <v>0</v>
      </c>
      <c r="G636" s="33">
        <f t="shared" si="20"/>
        <v>0</v>
      </c>
      <c r="H636" s="33">
        <f t="shared" si="20"/>
        <v>3</v>
      </c>
      <c r="I636" s="40">
        <f t="shared" si="19"/>
        <v>0</v>
      </c>
      <c r="J636" s="40">
        <f t="shared" si="19"/>
        <v>0</v>
      </c>
      <c r="K636" s="40">
        <f t="shared" si="19"/>
        <v>1.6000000000000001E-3</v>
      </c>
      <c r="L636" s="40">
        <f>1000*M636/VLOOKUP(D636,'Normalised Rates'!$A$7:$B$12,2,FALSE)</f>
        <v>1.6000000000000001E-3</v>
      </c>
      <c r="M636" s="34">
        <v>3</v>
      </c>
    </row>
    <row r="637" spans="1:13" ht="15" customHeight="1" x14ac:dyDescent="0.25">
      <c r="A637" s="30" t="s">
        <v>141</v>
      </c>
      <c r="B637" s="30" t="s">
        <v>86</v>
      </c>
      <c r="C637" s="9" t="s">
        <v>84</v>
      </c>
      <c r="D637" s="32">
        <v>2022</v>
      </c>
      <c r="E637" s="35" t="s">
        <v>163</v>
      </c>
      <c r="F637" s="33">
        <f t="shared" si="20"/>
        <v>6</v>
      </c>
      <c r="G637" s="33">
        <f t="shared" si="20"/>
        <v>0</v>
      </c>
      <c r="H637" s="33">
        <f t="shared" si="20"/>
        <v>0</v>
      </c>
      <c r="I637" s="40">
        <f t="shared" si="19"/>
        <v>3.2000000000000002E-3</v>
      </c>
      <c r="J637" s="40">
        <f t="shared" si="19"/>
        <v>0</v>
      </c>
      <c r="K637" s="40">
        <f t="shared" si="19"/>
        <v>0</v>
      </c>
      <c r="L637" s="40">
        <f>1000*M637/VLOOKUP(D637,'Normalised Rates'!$A$7:$B$12,2,FALSE)</f>
        <v>3.2000000000000002E-3</v>
      </c>
      <c r="M637" s="34">
        <v>6</v>
      </c>
    </row>
    <row r="638" spans="1:13" ht="15" customHeight="1" x14ac:dyDescent="0.25">
      <c r="A638" s="30" t="s">
        <v>141</v>
      </c>
      <c r="B638" s="30" t="s">
        <v>86</v>
      </c>
      <c r="C638" s="9" t="s">
        <v>84</v>
      </c>
      <c r="D638" s="32">
        <v>2023</v>
      </c>
      <c r="E638" s="33" t="s">
        <v>34</v>
      </c>
      <c r="F638" s="33">
        <f t="shared" si="20"/>
        <v>0</v>
      </c>
      <c r="G638" s="33">
        <f t="shared" si="20"/>
        <v>0</v>
      </c>
      <c r="H638" s="33">
        <f t="shared" si="20"/>
        <v>6</v>
      </c>
      <c r="I638" s="40">
        <f t="shared" si="19"/>
        <v>0</v>
      </c>
      <c r="J638" s="40">
        <f t="shared" si="19"/>
        <v>0</v>
      </c>
      <c r="K638" s="40">
        <f t="shared" si="19"/>
        <v>2.6246719160104987E-3</v>
      </c>
      <c r="L638" s="40">
        <f>1000*M638/VLOOKUP(D638,'Normalised Rates'!$A$7:$B$12,2,FALSE)</f>
        <v>2.6246719160104987E-3</v>
      </c>
      <c r="M638" s="34">
        <v>6</v>
      </c>
    </row>
    <row r="639" spans="1:13" ht="15" customHeight="1" x14ac:dyDescent="0.25">
      <c r="A639" s="30" t="s">
        <v>141</v>
      </c>
      <c r="B639" s="30" t="s">
        <v>86</v>
      </c>
      <c r="C639" s="9" t="s">
        <v>84</v>
      </c>
      <c r="D639" s="32">
        <v>2023</v>
      </c>
      <c r="E639" s="35" t="s">
        <v>163</v>
      </c>
      <c r="F639" s="33">
        <f t="shared" si="20"/>
        <v>37</v>
      </c>
      <c r="G639" s="33">
        <f t="shared" si="20"/>
        <v>0</v>
      </c>
      <c r="H639" s="33">
        <f t="shared" si="20"/>
        <v>0</v>
      </c>
      <c r="I639" s="40">
        <f t="shared" si="19"/>
        <v>1.6185476815398076E-2</v>
      </c>
      <c r="J639" s="40">
        <f t="shared" si="19"/>
        <v>0</v>
      </c>
      <c r="K639" s="40">
        <f t="shared" si="19"/>
        <v>0</v>
      </c>
      <c r="L639" s="40">
        <f>1000*M639/VLOOKUP(D639,'Normalised Rates'!$A$7:$B$12,2,FALSE)</f>
        <v>1.6185476815398076E-2</v>
      </c>
      <c r="M639" s="34">
        <v>37</v>
      </c>
    </row>
    <row r="640" spans="1:13" ht="15" customHeight="1" x14ac:dyDescent="0.25">
      <c r="A640" s="30" t="s">
        <v>141</v>
      </c>
      <c r="B640" s="30" t="s">
        <v>86</v>
      </c>
      <c r="C640" s="9" t="s">
        <v>84</v>
      </c>
      <c r="D640" s="32">
        <v>2024</v>
      </c>
      <c r="E640" s="33" t="s">
        <v>34</v>
      </c>
      <c r="F640" s="33">
        <f t="shared" si="20"/>
        <v>0</v>
      </c>
      <c r="G640" s="33">
        <f t="shared" si="20"/>
        <v>0</v>
      </c>
      <c r="H640" s="33">
        <f t="shared" si="20"/>
        <v>4</v>
      </c>
      <c r="I640" s="40">
        <f t="shared" si="19"/>
        <v>0</v>
      </c>
      <c r="J640" s="40">
        <f t="shared" si="19"/>
        <v>0</v>
      </c>
      <c r="K640" s="40">
        <f t="shared" si="19"/>
        <v>1.4908684308609765E-3</v>
      </c>
      <c r="L640" s="40">
        <f>1000*M640/VLOOKUP(D640,'Normalised Rates'!$A$7:$B$12,2,FALSE)</f>
        <v>1.4908684308609765E-3</v>
      </c>
      <c r="M640" s="34">
        <v>4</v>
      </c>
    </row>
    <row r="641" spans="1:13" ht="15" customHeight="1" x14ac:dyDescent="0.25">
      <c r="A641" s="30" t="s">
        <v>141</v>
      </c>
      <c r="B641" s="30" t="s">
        <v>86</v>
      </c>
      <c r="C641" s="9" t="s">
        <v>84</v>
      </c>
      <c r="D641" s="32">
        <v>2024</v>
      </c>
      <c r="E641" s="35" t="s">
        <v>163</v>
      </c>
      <c r="F641" s="33">
        <f t="shared" si="20"/>
        <v>57</v>
      </c>
      <c r="G641" s="33">
        <f t="shared" si="20"/>
        <v>0</v>
      </c>
      <c r="H641" s="33">
        <f t="shared" si="20"/>
        <v>0</v>
      </c>
      <c r="I641" s="40">
        <f t="shared" si="19"/>
        <v>2.1244875139768915E-2</v>
      </c>
      <c r="J641" s="40">
        <f t="shared" si="19"/>
        <v>0</v>
      </c>
      <c r="K641" s="40">
        <f t="shared" si="19"/>
        <v>0</v>
      </c>
      <c r="L641" s="40">
        <f>1000*M641/VLOOKUP(D641,'Normalised Rates'!$A$7:$B$12,2,FALSE)</f>
        <v>2.1244875139768915E-2</v>
      </c>
      <c r="M641" s="34">
        <v>57</v>
      </c>
    </row>
    <row r="642" spans="1:13" ht="15" customHeight="1" x14ac:dyDescent="0.25">
      <c r="A642" s="30" t="s">
        <v>141</v>
      </c>
      <c r="B642" s="30" t="s">
        <v>86</v>
      </c>
      <c r="C642" s="9" t="s">
        <v>84</v>
      </c>
      <c r="D642" s="32">
        <v>2025</v>
      </c>
      <c r="E642" s="33" t="s">
        <v>34</v>
      </c>
      <c r="F642" s="33">
        <f t="shared" si="20"/>
        <v>0</v>
      </c>
      <c r="G642" s="33">
        <f t="shared" si="20"/>
        <v>0</v>
      </c>
      <c r="H642" s="33">
        <f t="shared" si="20"/>
        <v>3</v>
      </c>
      <c r="I642" s="40">
        <f t="shared" si="19"/>
        <v>0</v>
      </c>
      <c r="J642" s="40">
        <f t="shared" si="19"/>
        <v>0</v>
      </c>
      <c r="K642" s="40">
        <f t="shared" si="19"/>
        <v>9.5147478591817321E-4</v>
      </c>
      <c r="L642" s="40">
        <f>1000*M642/VLOOKUP(D642,'Normalised Rates'!$A$7:$B$12,2,FALSE)</f>
        <v>9.5147478591817321E-4</v>
      </c>
      <c r="M642" s="34">
        <v>3</v>
      </c>
    </row>
    <row r="643" spans="1:13" ht="15" customHeight="1" x14ac:dyDescent="0.25">
      <c r="A643" s="30" t="s">
        <v>141</v>
      </c>
      <c r="B643" s="30" t="s">
        <v>86</v>
      </c>
      <c r="C643" s="9" t="s">
        <v>84</v>
      </c>
      <c r="D643" s="32">
        <v>2025</v>
      </c>
      <c r="E643" s="35" t="s">
        <v>163</v>
      </c>
      <c r="F643" s="33">
        <f t="shared" si="20"/>
        <v>102</v>
      </c>
      <c r="G643" s="33">
        <f t="shared" si="20"/>
        <v>0</v>
      </c>
      <c r="H643" s="33">
        <f t="shared" si="20"/>
        <v>0</v>
      </c>
      <c r="I643" s="40">
        <f t="shared" si="19"/>
        <v>3.2350142721217889E-2</v>
      </c>
      <c r="J643" s="40">
        <f t="shared" si="19"/>
        <v>0</v>
      </c>
      <c r="K643" s="40">
        <f t="shared" si="19"/>
        <v>0</v>
      </c>
      <c r="L643" s="40">
        <f>1000*M643/VLOOKUP(D643,'Normalised Rates'!$A$7:$B$12,2,FALSE)</f>
        <v>3.2350142721217889E-2</v>
      </c>
      <c r="M643" s="34">
        <v>102</v>
      </c>
    </row>
    <row r="644" spans="1:13" ht="15" customHeight="1" x14ac:dyDescent="0.25">
      <c r="A644" s="30" t="s">
        <v>141</v>
      </c>
      <c r="B644" s="30" t="s">
        <v>86</v>
      </c>
      <c r="C644" s="9" t="s">
        <v>84</v>
      </c>
      <c r="D644" s="32">
        <v>2026</v>
      </c>
      <c r="E644" s="33" t="s">
        <v>34</v>
      </c>
      <c r="F644" s="33">
        <f t="shared" si="20"/>
        <v>0</v>
      </c>
      <c r="G644" s="33">
        <f t="shared" si="20"/>
        <v>0</v>
      </c>
      <c r="H644" s="33">
        <f t="shared" si="20"/>
        <v>2</v>
      </c>
      <c r="I644" s="40">
        <f t="shared" si="19"/>
        <v>0</v>
      </c>
      <c r="J644" s="40">
        <f t="shared" si="19"/>
        <v>0</v>
      </c>
      <c r="K644" s="40">
        <f t="shared" si="19"/>
        <v>1.522359657469077E-3</v>
      </c>
      <c r="L644" s="40">
        <f>1000*M644/VLOOKUP(D644,'Normalised Rates'!$A$7:$B$12,2,FALSE)</f>
        <v>1.522359657469077E-3</v>
      </c>
      <c r="M644" s="34">
        <v>2</v>
      </c>
    </row>
    <row r="645" spans="1:13" ht="15" customHeight="1" x14ac:dyDescent="0.25">
      <c r="A645" s="30" t="s">
        <v>141</v>
      </c>
      <c r="B645" s="30" t="s">
        <v>86</v>
      </c>
      <c r="C645" s="9" t="s">
        <v>84</v>
      </c>
      <c r="D645" s="32">
        <v>2026</v>
      </c>
      <c r="E645" s="35" t="s">
        <v>163</v>
      </c>
      <c r="F645" s="33">
        <f t="shared" si="20"/>
        <v>48</v>
      </c>
      <c r="G645" s="33">
        <f t="shared" si="20"/>
        <v>0</v>
      </c>
      <c r="H645" s="33">
        <f t="shared" si="20"/>
        <v>0</v>
      </c>
      <c r="I645" s="40">
        <f t="shared" si="19"/>
        <v>3.6536631779257853E-2</v>
      </c>
      <c r="J645" s="40">
        <f t="shared" si="19"/>
        <v>0</v>
      </c>
      <c r="K645" s="40">
        <f t="shared" si="19"/>
        <v>0</v>
      </c>
      <c r="L645" s="40">
        <f>1000*M645/VLOOKUP(D645,'Normalised Rates'!$A$7:$B$12,2,FALSE)</f>
        <v>3.6536631779257853E-2</v>
      </c>
      <c r="M645" s="34">
        <v>48</v>
      </c>
    </row>
    <row r="646" spans="1:13" ht="15" customHeight="1" x14ac:dyDescent="0.25">
      <c r="A646" s="30" t="s">
        <v>141</v>
      </c>
      <c r="B646" s="30" t="s">
        <v>88</v>
      </c>
      <c r="C646" s="9" t="s">
        <v>84</v>
      </c>
      <c r="D646" s="32">
        <v>2022</v>
      </c>
      <c r="E646" s="35" t="s">
        <v>163</v>
      </c>
      <c r="F646" s="33">
        <f t="shared" si="20"/>
        <v>7</v>
      </c>
      <c r="G646" s="33">
        <f t="shared" si="20"/>
        <v>0</v>
      </c>
      <c r="H646" s="33">
        <f t="shared" si="20"/>
        <v>0</v>
      </c>
      <c r="I646" s="40">
        <f t="shared" si="19"/>
        <v>3.7333333333333333E-3</v>
      </c>
      <c r="J646" s="40">
        <f t="shared" si="19"/>
        <v>0</v>
      </c>
      <c r="K646" s="40">
        <f t="shared" si="19"/>
        <v>0</v>
      </c>
      <c r="L646" s="40">
        <f>1000*M646/VLOOKUP(D646,'Normalised Rates'!$A$7:$B$12,2,FALSE)</f>
        <v>3.7333333333333333E-3</v>
      </c>
      <c r="M646" s="34">
        <v>7</v>
      </c>
    </row>
    <row r="647" spans="1:13" ht="15" customHeight="1" x14ac:dyDescent="0.25">
      <c r="A647" s="30" t="s">
        <v>141</v>
      </c>
      <c r="B647" s="30" t="s">
        <v>88</v>
      </c>
      <c r="C647" s="9" t="s">
        <v>84</v>
      </c>
      <c r="D647" s="32">
        <v>2023</v>
      </c>
      <c r="E647" s="33" t="s">
        <v>34</v>
      </c>
      <c r="F647" s="33">
        <f t="shared" si="20"/>
        <v>0</v>
      </c>
      <c r="G647" s="33">
        <f t="shared" si="20"/>
        <v>0</v>
      </c>
      <c r="H647" s="33">
        <f t="shared" si="20"/>
        <v>2</v>
      </c>
      <c r="I647" s="40">
        <f t="shared" ref="I647:K710" si="21">IF(_xlfn.CONCAT($E647,"%")=I$5,$L647,0)</f>
        <v>0</v>
      </c>
      <c r="J647" s="40">
        <f t="shared" si="21"/>
        <v>0</v>
      </c>
      <c r="K647" s="40">
        <f t="shared" si="21"/>
        <v>8.7489063867016625E-4</v>
      </c>
      <c r="L647" s="40">
        <f>1000*M647/VLOOKUP(D647,'Normalised Rates'!$A$7:$B$12,2,FALSE)</f>
        <v>8.7489063867016625E-4</v>
      </c>
      <c r="M647" s="34">
        <v>2</v>
      </c>
    </row>
    <row r="648" spans="1:13" ht="15" customHeight="1" x14ac:dyDescent="0.25">
      <c r="A648" s="30" t="s">
        <v>141</v>
      </c>
      <c r="B648" s="30" t="s">
        <v>88</v>
      </c>
      <c r="C648" s="9" t="s">
        <v>84</v>
      </c>
      <c r="D648" s="32">
        <v>2023</v>
      </c>
      <c r="E648" s="35" t="s">
        <v>163</v>
      </c>
      <c r="F648" s="33">
        <f t="shared" si="20"/>
        <v>34</v>
      </c>
      <c r="G648" s="33">
        <f t="shared" si="20"/>
        <v>0</v>
      </c>
      <c r="H648" s="33">
        <f t="shared" si="20"/>
        <v>0</v>
      </c>
      <c r="I648" s="40">
        <f t="shared" si="21"/>
        <v>1.4873140857392825E-2</v>
      </c>
      <c r="J648" s="40">
        <f t="shared" si="21"/>
        <v>0</v>
      </c>
      <c r="K648" s="40">
        <f t="shared" si="21"/>
        <v>0</v>
      </c>
      <c r="L648" s="40">
        <f>1000*M648/VLOOKUP(D648,'Normalised Rates'!$A$7:$B$12,2,FALSE)</f>
        <v>1.4873140857392825E-2</v>
      </c>
      <c r="M648" s="34">
        <v>34</v>
      </c>
    </row>
    <row r="649" spans="1:13" ht="15" customHeight="1" x14ac:dyDescent="0.25">
      <c r="A649" s="30" t="s">
        <v>141</v>
      </c>
      <c r="B649" s="30" t="s">
        <v>88</v>
      </c>
      <c r="C649" s="9" t="s">
        <v>84</v>
      </c>
      <c r="D649" s="32">
        <v>2024</v>
      </c>
      <c r="E649" s="33" t="s">
        <v>34</v>
      </c>
      <c r="F649" s="33">
        <f t="shared" ref="F649:H712" si="22">IF($E649=F$5,$M649,0)</f>
        <v>0</v>
      </c>
      <c r="G649" s="33">
        <f t="shared" si="22"/>
        <v>0</v>
      </c>
      <c r="H649" s="33">
        <f t="shared" si="22"/>
        <v>4</v>
      </c>
      <c r="I649" s="40">
        <f t="shared" si="21"/>
        <v>0</v>
      </c>
      <c r="J649" s="40">
        <f t="shared" si="21"/>
        <v>0</v>
      </c>
      <c r="K649" s="40">
        <f t="shared" si="21"/>
        <v>1.4908684308609765E-3</v>
      </c>
      <c r="L649" s="40">
        <f>1000*M649/VLOOKUP(D649,'Normalised Rates'!$A$7:$B$12,2,FALSE)</f>
        <v>1.4908684308609765E-3</v>
      </c>
      <c r="M649" s="34">
        <v>4</v>
      </c>
    </row>
    <row r="650" spans="1:13" ht="15" customHeight="1" x14ac:dyDescent="0.25">
      <c r="A650" s="30" t="s">
        <v>141</v>
      </c>
      <c r="B650" s="30" t="s">
        <v>88</v>
      </c>
      <c r="C650" s="9" t="s">
        <v>84</v>
      </c>
      <c r="D650" s="32">
        <v>2024</v>
      </c>
      <c r="E650" s="35" t="s">
        <v>163</v>
      </c>
      <c r="F650" s="33">
        <f t="shared" si="22"/>
        <v>31</v>
      </c>
      <c r="G650" s="33">
        <f t="shared" si="22"/>
        <v>0</v>
      </c>
      <c r="H650" s="33">
        <f t="shared" si="22"/>
        <v>0</v>
      </c>
      <c r="I650" s="40">
        <f t="shared" si="21"/>
        <v>1.1554230339172567E-2</v>
      </c>
      <c r="J650" s="40">
        <f t="shared" si="21"/>
        <v>0</v>
      </c>
      <c r="K650" s="40">
        <f t="shared" si="21"/>
        <v>0</v>
      </c>
      <c r="L650" s="40">
        <f>1000*M650/VLOOKUP(D650,'Normalised Rates'!$A$7:$B$12,2,FALSE)</f>
        <v>1.1554230339172567E-2</v>
      </c>
      <c r="M650" s="34">
        <v>31</v>
      </c>
    </row>
    <row r="651" spans="1:13" ht="15" customHeight="1" x14ac:dyDescent="0.25">
      <c r="A651" s="30" t="s">
        <v>141</v>
      </c>
      <c r="B651" s="30" t="s">
        <v>88</v>
      </c>
      <c r="C651" s="9" t="s">
        <v>84</v>
      </c>
      <c r="D651" s="32">
        <v>2025</v>
      </c>
      <c r="E651" s="33" t="s">
        <v>34</v>
      </c>
      <c r="F651" s="33">
        <f t="shared" si="22"/>
        <v>0</v>
      </c>
      <c r="G651" s="33">
        <f t="shared" si="22"/>
        <v>0</v>
      </c>
      <c r="H651" s="33">
        <f t="shared" si="22"/>
        <v>1</v>
      </c>
      <c r="I651" s="40">
        <f t="shared" si="21"/>
        <v>0</v>
      </c>
      <c r="J651" s="40">
        <f t="shared" si="21"/>
        <v>0</v>
      </c>
      <c r="K651" s="40">
        <f t="shared" si="21"/>
        <v>3.1715826197272439E-4</v>
      </c>
      <c r="L651" s="40">
        <f>1000*M651/VLOOKUP(D651,'Normalised Rates'!$A$7:$B$12,2,FALSE)</f>
        <v>3.1715826197272439E-4</v>
      </c>
      <c r="M651" s="34">
        <v>1</v>
      </c>
    </row>
    <row r="652" spans="1:13" ht="15" customHeight="1" x14ac:dyDescent="0.25">
      <c r="A652" s="30" t="s">
        <v>141</v>
      </c>
      <c r="B652" s="30" t="s">
        <v>88</v>
      </c>
      <c r="C652" s="9" t="s">
        <v>84</v>
      </c>
      <c r="D652" s="32">
        <v>2025</v>
      </c>
      <c r="E652" s="35" t="s">
        <v>163</v>
      </c>
      <c r="F652" s="33">
        <f t="shared" si="22"/>
        <v>96</v>
      </c>
      <c r="G652" s="33">
        <f t="shared" si="22"/>
        <v>0</v>
      </c>
      <c r="H652" s="33">
        <f t="shared" si="22"/>
        <v>0</v>
      </c>
      <c r="I652" s="40">
        <f t="shared" si="21"/>
        <v>3.0447193149381543E-2</v>
      </c>
      <c r="J652" s="40">
        <f t="shared" si="21"/>
        <v>0</v>
      </c>
      <c r="K652" s="40">
        <f t="shared" si="21"/>
        <v>0</v>
      </c>
      <c r="L652" s="40">
        <f>1000*M652/VLOOKUP(D652,'Normalised Rates'!$A$7:$B$12,2,FALSE)</f>
        <v>3.0447193149381543E-2</v>
      </c>
      <c r="M652" s="34">
        <v>96</v>
      </c>
    </row>
    <row r="653" spans="1:13" ht="15" customHeight="1" x14ac:dyDescent="0.25">
      <c r="A653" s="30" t="s">
        <v>141</v>
      </c>
      <c r="B653" s="30" t="s">
        <v>88</v>
      </c>
      <c r="C653" s="9" t="s">
        <v>84</v>
      </c>
      <c r="D653" s="32">
        <v>2026</v>
      </c>
      <c r="E653" s="35" t="s">
        <v>163</v>
      </c>
      <c r="F653" s="33">
        <f t="shared" si="22"/>
        <v>52</v>
      </c>
      <c r="G653" s="33">
        <f t="shared" si="22"/>
        <v>0</v>
      </c>
      <c r="H653" s="33">
        <f t="shared" si="22"/>
        <v>0</v>
      </c>
      <c r="I653" s="40">
        <f t="shared" si="21"/>
        <v>3.9581351094196006E-2</v>
      </c>
      <c r="J653" s="40">
        <f t="shared" si="21"/>
        <v>0</v>
      </c>
      <c r="K653" s="40">
        <f t="shared" si="21"/>
        <v>0</v>
      </c>
      <c r="L653" s="40">
        <f>1000*M653/VLOOKUP(D653,'Normalised Rates'!$A$7:$B$12,2,FALSE)</f>
        <v>3.9581351094196006E-2</v>
      </c>
      <c r="M653" s="34">
        <v>52</v>
      </c>
    </row>
    <row r="654" spans="1:13" ht="15" customHeight="1" x14ac:dyDescent="0.25">
      <c r="A654" s="30" t="s">
        <v>141</v>
      </c>
      <c r="B654" s="30" t="s">
        <v>98</v>
      </c>
      <c r="C654" s="9" t="s">
        <v>84</v>
      </c>
      <c r="D654" s="32">
        <v>2021</v>
      </c>
      <c r="E654" s="33" t="s">
        <v>34</v>
      </c>
      <c r="F654" s="33">
        <f t="shared" si="22"/>
        <v>0</v>
      </c>
      <c r="G654" s="33">
        <f t="shared" si="22"/>
        <v>0</v>
      </c>
      <c r="H654" s="33">
        <f t="shared" si="22"/>
        <v>2</v>
      </c>
      <c r="I654" s="40">
        <f t="shared" si="21"/>
        <v>0</v>
      </c>
      <c r="J654" s="40">
        <f t="shared" si="21"/>
        <v>0</v>
      </c>
      <c r="K654" s="40">
        <f t="shared" si="21"/>
        <v>1.2547051442910915E-3</v>
      </c>
      <c r="L654" s="40">
        <f>1000*M654/VLOOKUP(D654,'Normalised Rates'!$A$7:$B$12,2,FALSE)</f>
        <v>1.2547051442910915E-3</v>
      </c>
      <c r="M654" s="34">
        <v>2</v>
      </c>
    </row>
    <row r="655" spans="1:13" ht="15" customHeight="1" x14ac:dyDescent="0.25">
      <c r="A655" s="30" t="s">
        <v>141</v>
      </c>
      <c r="B655" s="30" t="s">
        <v>98</v>
      </c>
      <c r="C655" s="9" t="s">
        <v>84</v>
      </c>
      <c r="D655" s="32">
        <v>2021</v>
      </c>
      <c r="E655" s="35" t="s">
        <v>163</v>
      </c>
      <c r="F655" s="33">
        <f t="shared" si="22"/>
        <v>3</v>
      </c>
      <c r="G655" s="33">
        <f t="shared" si="22"/>
        <v>0</v>
      </c>
      <c r="H655" s="33">
        <f t="shared" si="22"/>
        <v>0</v>
      </c>
      <c r="I655" s="40">
        <f t="shared" si="21"/>
        <v>1.8820577164366374E-3</v>
      </c>
      <c r="J655" s="40">
        <f t="shared" si="21"/>
        <v>0</v>
      </c>
      <c r="K655" s="40">
        <f t="shared" si="21"/>
        <v>0</v>
      </c>
      <c r="L655" s="40">
        <f>1000*M655/VLOOKUP(D655,'Normalised Rates'!$A$7:$B$12,2,FALSE)</f>
        <v>1.8820577164366374E-3</v>
      </c>
      <c r="M655" s="34">
        <v>3</v>
      </c>
    </row>
    <row r="656" spans="1:13" ht="15" customHeight="1" x14ac:dyDescent="0.25">
      <c r="A656" s="30" t="s">
        <v>141</v>
      </c>
      <c r="B656" s="30" t="s">
        <v>98</v>
      </c>
      <c r="C656" s="9" t="s">
        <v>84</v>
      </c>
      <c r="D656" s="32">
        <v>2022</v>
      </c>
      <c r="E656" s="35" t="s">
        <v>163</v>
      </c>
      <c r="F656" s="33">
        <f t="shared" si="22"/>
        <v>4</v>
      </c>
      <c r="G656" s="33">
        <f t="shared" si="22"/>
        <v>0</v>
      </c>
      <c r="H656" s="33">
        <f t="shared" si="22"/>
        <v>0</v>
      </c>
      <c r="I656" s="40">
        <f t="shared" si="21"/>
        <v>2.1333333333333334E-3</v>
      </c>
      <c r="J656" s="40">
        <f t="shared" si="21"/>
        <v>0</v>
      </c>
      <c r="K656" s="40">
        <f t="shared" si="21"/>
        <v>0</v>
      </c>
      <c r="L656" s="40">
        <f>1000*M656/VLOOKUP(D656,'Normalised Rates'!$A$7:$B$12,2,FALSE)</f>
        <v>2.1333333333333334E-3</v>
      </c>
      <c r="M656" s="34">
        <v>4</v>
      </c>
    </row>
    <row r="657" spans="1:13" ht="15" customHeight="1" x14ac:dyDescent="0.25">
      <c r="A657" s="30" t="s">
        <v>141</v>
      </c>
      <c r="B657" s="30" t="s">
        <v>98</v>
      </c>
      <c r="C657" s="9" t="s">
        <v>84</v>
      </c>
      <c r="D657" s="32">
        <v>2023</v>
      </c>
      <c r="E657" s="33" t="s">
        <v>34</v>
      </c>
      <c r="F657" s="33">
        <f t="shared" si="22"/>
        <v>0</v>
      </c>
      <c r="G657" s="33">
        <f t="shared" si="22"/>
        <v>0</v>
      </c>
      <c r="H657" s="33">
        <f t="shared" si="22"/>
        <v>8</v>
      </c>
      <c r="I657" s="40">
        <f t="shared" si="21"/>
        <v>0</v>
      </c>
      <c r="J657" s="40">
        <f t="shared" si="21"/>
        <v>0</v>
      </c>
      <c r="K657" s="40">
        <f t="shared" si="21"/>
        <v>3.499562554680665E-3</v>
      </c>
      <c r="L657" s="40">
        <f>1000*M657/VLOOKUP(D657,'Normalised Rates'!$A$7:$B$12,2,FALSE)</f>
        <v>3.499562554680665E-3</v>
      </c>
      <c r="M657" s="34">
        <v>8</v>
      </c>
    </row>
    <row r="658" spans="1:13" ht="15" customHeight="1" x14ac:dyDescent="0.25">
      <c r="A658" s="30" t="s">
        <v>141</v>
      </c>
      <c r="B658" s="30" t="s">
        <v>98</v>
      </c>
      <c r="C658" s="9" t="s">
        <v>84</v>
      </c>
      <c r="D658" s="32">
        <v>2023</v>
      </c>
      <c r="E658" s="35" t="s">
        <v>163</v>
      </c>
      <c r="F658" s="33">
        <f t="shared" si="22"/>
        <v>52</v>
      </c>
      <c r="G658" s="33">
        <f t="shared" si="22"/>
        <v>0</v>
      </c>
      <c r="H658" s="33">
        <f t="shared" si="22"/>
        <v>0</v>
      </c>
      <c r="I658" s="40">
        <f t="shared" si="21"/>
        <v>2.2747156605424323E-2</v>
      </c>
      <c r="J658" s="40">
        <f t="shared" si="21"/>
        <v>0</v>
      </c>
      <c r="K658" s="40">
        <f t="shared" si="21"/>
        <v>0</v>
      </c>
      <c r="L658" s="40">
        <f>1000*M658/VLOOKUP(D658,'Normalised Rates'!$A$7:$B$12,2,FALSE)</f>
        <v>2.2747156605424323E-2</v>
      </c>
      <c r="M658" s="34">
        <v>52</v>
      </c>
    </row>
    <row r="659" spans="1:13" ht="15" customHeight="1" x14ac:dyDescent="0.25">
      <c r="A659" s="30" t="s">
        <v>141</v>
      </c>
      <c r="B659" s="30" t="s">
        <v>98</v>
      </c>
      <c r="C659" s="9" t="s">
        <v>84</v>
      </c>
      <c r="D659" s="32">
        <v>2024</v>
      </c>
      <c r="E659" s="33" t="s">
        <v>34</v>
      </c>
      <c r="F659" s="33">
        <f t="shared" si="22"/>
        <v>0</v>
      </c>
      <c r="G659" s="33">
        <f t="shared" si="22"/>
        <v>0</v>
      </c>
      <c r="H659" s="33">
        <f t="shared" si="22"/>
        <v>2</v>
      </c>
      <c r="I659" s="40">
        <f t="shared" si="21"/>
        <v>0</v>
      </c>
      <c r="J659" s="40">
        <f t="shared" si="21"/>
        <v>0</v>
      </c>
      <c r="K659" s="40">
        <f t="shared" si="21"/>
        <v>7.4543421543048823E-4</v>
      </c>
      <c r="L659" s="40">
        <f>1000*M659/VLOOKUP(D659,'Normalised Rates'!$A$7:$B$12,2,FALSE)</f>
        <v>7.4543421543048823E-4</v>
      </c>
      <c r="M659" s="34">
        <v>2</v>
      </c>
    </row>
    <row r="660" spans="1:13" ht="15" customHeight="1" x14ac:dyDescent="0.25">
      <c r="A660" s="30" t="s">
        <v>141</v>
      </c>
      <c r="B660" s="30" t="s">
        <v>98</v>
      </c>
      <c r="C660" s="9" t="s">
        <v>84</v>
      </c>
      <c r="D660" s="32">
        <v>2024</v>
      </c>
      <c r="E660" s="35" t="s">
        <v>163</v>
      </c>
      <c r="F660" s="33">
        <f t="shared" si="22"/>
        <v>14</v>
      </c>
      <c r="G660" s="33">
        <f t="shared" si="22"/>
        <v>0</v>
      </c>
      <c r="H660" s="33">
        <f t="shared" si="22"/>
        <v>0</v>
      </c>
      <c r="I660" s="40">
        <f t="shared" si="21"/>
        <v>5.2180395080134176E-3</v>
      </c>
      <c r="J660" s="40">
        <f t="shared" si="21"/>
        <v>0</v>
      </c>
      <c r="K660" s="40">
        <f t="shared" si="21"/>
        <v>0</v>
      </c>
      <c r="L660" s="40">
        <f>1000*M660/VLOOKUP(D660,'Normalised Rates'!$A$7:$B$12,2,FALSE)</f>
        <v>5.2180395080134176E-3</v>
      </c>
      <c r="M660" s="34">
        <v>14</v>
      </c>
    </row>
    <row r="661" spans="1:13" ht="15" customHeight="1" x14ac:dyDescent="0.25">
      <c r="A661" s="30" t="s">
        <v>141</v>
      </c>
      <c r="B661" s="30" t="s">
        <v>98</v>
      </c>
      <c r="C661" s="9" t="s">
        <v>84</v>
      </c>
      <c r="D661" s="32">
        <v>2025</v>
      </c>
      <c r="E661" s="33" t="s">
        <v>34</v>
      </c>
      <c r="F661" s="33">
        <f t="shared" si="22"/>
        <v>0</v>
      </c>
      <c r="G661" s="33">
        <f t="shared" si="22"/>
        <v>0</v>
      </c>
      <c r="H661" s="33">
        <f t="shared" si="22"/>
        <v>2</v>
      </c>
      <c r="I661" s="40">
        <f t="shared" si="21"/>
        <v>0</v>
      </c>
      <c r="J661" s="40">
        <f t="shared" si="21"/>
        <v>0</v>
      </c>
      <c r="K661" s="40">
        <f t="shared" si="21"/>
        <v>6.3431652394544877E-4</v>
      </c>
      <c r="L661" s="40">
        <f>1000*M661/VLOOKUP(D661,'Normalised Rates'!$A$7:$B$12,2,FALSE)</f>
        <v>6.3431652394544877E-4</v>
      </c>
      <c r="M661" s="34">
        <v>2</v>
      </c>
    </row>
    <row r="662" spans="1:13" ht="15" customHeight="1" x14ac:dyDescent="0.25">
      <c r="A662" s="30" t="s">
        <v>141</v>
      </c>
      <c r="B662" s="30" t="s">
        <v>98</v>
      </c>
      <c r="C662" s="9" t="s">
        <v>84</v>
      </c>
      <c r="D662" s="32">
        <v>2025</v>
      </c>
      <c r="E662" s="35" t="s">
        <v>163</v>
      </c>
      <c r="F662" s="33">
        <f t="shared" si="22"/>
        <v>38</v>
      </c>
      <c r="G662" s="33">
        <f t="shared" si="22"/>
        <v>0</v>
      </c>
      <c r="H662" s="33">
        <f t="shared" si="22"/>
        <v>0</v>
      </c>
      <c r="I662" s="40">
        <f t="shared" si="21"/>
        <v>1.2052013954963527E-2</v>
      </c>
      <c r="J662" s="40">
        <f t="shared" si="21"/>
        <v>0</v>
      </c>
      <c r="K662" s="40">
        <f t="shared" si="21"/>
        <v>0</v>
      </c>
      <c r="L662" s="40">
        <f>1000*M662/VLOOKUP(D662,'Normalised Rates'!$A$7:$B$12,2,FALSE)</f>
        <v>1.2052013954963527E-2</v>
      </c>
      <c r="M662" s="34">
        <v>38</v>
      </c>
    </row>
    <row r="663" spans="1:13" ht="15" customHeight="1" x14ac:dyDescent="0.25">
      <c r="A663" s="30" t="s">
        <v>141</v>
      </c>
      <c r="B663" s="30" t="s">
        <v>98</v>
      </c>
      <c r="C663" s="9" t="s">
        <v>84</v>
      </c>
      <c r="D663" s="32">
        <v>2026</v>
      </c>
      <c r="E663" s="35" t="s">
        <v>163</v>
      </c>
      <c r="F663" s="33">
        <f t="shared" si="22"/>
        <v>28</v>
      </c>
      <c r="G663" s="33">
        <f t="shared" si="22"/>
        <v>0</v>
      </c>
      <c r="H663" s="33">
        <f t="shared" si="22"/>
        <v>0</v>
      </c>
      <c r="I663" s="40">
        <f t="shared" si="21"/>
        <v>2.131303520456708E-2</v>
      </c>
      <c r="J663" s="40">
        <f t="shared" si="21"/>
        <v>0</v>
      </c>
      <c r="K663" s="40">
        <f t="shared" si="21"/>
        <v>0</v>
      </c>
      <c r="L663" s="40">
        <f>1000*M663/VLOOKUP(D663,'Normalised Rates'!$A$7:$B$12,2,FALSE)</f>
        <v>2.131303520456708E-2</v>
      </c>
      <c r="M663" s="34">
        <v>28</v>
      </c>
    </row>
    <row r="664" spans="1:13" ht="15" customHeight="1" x14ac:dyDescent="0.25">
      <c r="A664" s="30" t="s">
        <v>141</v>
      </c>
      <c r="B664" s="30" t="s">
        <v>102</v>
      </c>
      <c r="C664" s="9" t="s">
        <v>84</v>
      </c>
      <c r="D664" s="32">
        <v>2021</v>
      </c>
      <c r="E664" s="33" t="s">
        <v>34</v>
      </c>
      <c r="F664" s="33">
        <f t="shared" si="22"/>
        <v>0</v>
      </c>
      <c r="G664" s="33">
        <f t="shared" si="22"/>
        <v>0</v>
      </c>
      <c r="H664" s="33">
        <f t="shared" si="22"/>
        <v>2</v>
      </c>
      <c r="I664" s="40">
        <f t="shared" si="21"/>
        <v>0</v>
      </c>
      <c r="J664" s="40">
        <f t="shared" si="21"/>
        <v>0</v>
      </c>
      <c r="K664" s="40">
        <f t="shared" si="21"/>
        <v>1.2547051442910915E-3</v>
      </c>
      <c r="L664" s="40">
        <f>1000*M664/VLOOKUP(D664,'Normalised Rates'!$A$7:$B$12,2,FALSE)</f>
        <v>1.2547051442910915E-3</v>
      </c>
      <c r="M664" s="34">
        <v>2</v>
      </c>
    </row>
    <row r="665" spans="1:13" ht="15" customHeight="1" x14ac:dyDescent="0.25">
      <c r="A665" s="30" t="s">
        <v>141</v>
      </c>
      <c r="B665" s="30" t="s">
        <v>102</v>
      </c>
      <c r="C665" s="9" t="s">
        <v>84</v>
      </c>
      <c r="D665" s="32">
        <v>2022</v>
      </c>
      <c r="E665" s="35" t="s">
        <v>163</v>
      </c>
      <c r="F665" s="33">
        <f t="shared" si="22"/>
        <v>9</v>
      </c>
      <c r="G665" s="33">
        <f t="shared" si="22"/>
        <v>0</v>
      </c>
      <c r="H665" s="33">
        <f t="shared" si="22"/>
        <v>0</v>
      </c>
      <c r="I665" s="40">
        <f t="shared" si="21"/>
        <v>4.7999999999999996E-3</v>
      </c>
      <c r="J665" s="40">
        <f t="shared" si="21"/>
        <v>0</v>
      </c>
      <c r="K665" s="40">
        <f t="shared" si="21"/>
        <v>0</v>
      </c>
      <c r="L665" s="40">
        <f>1000*M665/VLOOKUP(D665,'Normalised Rates'!$A$7:$B$12,2,FALSE)</f>
        <v>4.7999999999999996E-3</v>
      </c>
      <c r="M665" s="34">
        <v>9</v>
      </c>
    </row>
    <row r="666" spans="1:13" ht="15" customHeight="1" x14ac:dyDescent="0.25">
      <c r="A666" s="30" t="s">
        <v>141</v>
      </c>
      <c r="B666" s="30" t="s">
        <v>102</v>
      </c>
      <c r="C666" s="9" t="s">
        <v>84</v>
      </c>
      <c r="D666" s="32">
        <v>2023</v>
      </c>
      <c r="E666" s="33" t="s">
        <v>34</v>
      </c>
      <c r="F666" s="33">
        <f t="shared" si="22"/>
        <v>0</v>
      </c>
      <c r="G666" s="33">
        <f t="shared" si="22"/>
        <v>0</v>
      </c>
      <c r="H666" s="33">
        <f t="shared" si="22"/>
        <v>3</v>
      </c>
      <c r="I666" s="40">
        <f t="shared" si="21"/>
        <v>0</v>
      </c>
      <c r="J666" s="40">
        <f t="shared" si="21"/>
        <v>0</v>
      </c>
      <c r="K666" s="40">
        <f t="shared" si="21"/>
        <v>1.3123359580052493E-3</v>
      </c>
      <c r="L666" s="40">
        <f>1000*M666/VLOOKUP(D666,'Normalised Rates'!$A$7:$B$12,2,FALSE)</f>
        <v>1.3123359580052493E-3</v>
      </c>
      <c r="M666" s="34">
        <v>3</v>
      </c>
    </row>
    <row r="667" spans="1:13" ht="15" customHeight="1" x14ac:dyDescent="0.25">
      <c r="A667" s="30" t="s">
        <v>141</v>
      </c>
      <c r="B667" s="30" t="s">
        <v>102</v>
      </c>
      <c r="C667" s="9" t="s">
        <v>84</v>
      </c>
      <c r="D667" s="32">
        <v>2023</v>
      </c>
      <c r="E667" s="35" t="s">
        <v>163</v>
      </c>
      <c r="F667" s="33">
        <f t="shared" si="22"/>
        <v>21</v>
      </c>
      <c r="G667" s="33">
        <f t="shared" si="22"/>
        <v>0</v>
      </c>
      <c r="H667" s="33">
        <f t="shared" si="22"/>
        <v>0</v>
      </c>
      <c r="I667" s="40">
        <f t="shared" si="21"/>
        <v>9.1863517060367453E-3</v>
      </c>
      <c r="J667" s="40">
        <f t="shared" si="21"/>
        <v>0</v>
      </c>
      <c r="K667" s="40">
        <f t="shared" si="21"/>
        <v>0</v>
      </c>
      <c r="L667" s="40">
        <f>1000*M667/VLOOKUP(D667,'Normalised Rates'!$A$7:$B$12,2,FALSE)</f>
        <v>9.1863517060367453E-3</v>
      </c>
      <c r="M667" s="34">
        <v>21</v>
      </c>
    </row>
    <row r="668" spans="1:13" ht="15" customHeight="1" x14ac:dyDescent="0.25">
      <c r="A668" s="30" t="s">
        <v>141</v>
      </c>
      <c r="B668" s="30" t="s">
        <v>102</v>
      </c>
      <c r="C668" s="9" t="s">
        <v>84</v>
      </c>
      <c r="D668" s="32">
        <v>2024</v>
      </c>
      <c r="E668" s="33" t="s">
        <v>34</v>
      </c>
      <c r="F668" s="33">
        <f t="shared" si="22"/>
        <v>0</v>
      </c>
      <c r="G668" s="33">
        <f t="shared" si="22"/>
        <v>0</v>
      </c>
      <c r="H668" s="33">
        <f t="shared" si="22"/>
        <v>3</v>
      </c>
      <c r="I668" s="40">
        <f t="shared" si="21"/>
        <v>0</v>
      </c>
      <c r="J668" s="40">
        <f t="shared" si="21"/>
        <v>0</v>
      </c>
      <c r="K668" s="40">
        <f t="shared" si="21"/>
        <v>1.1181513231457323E-3</v>
      </c>
      <c r="L668" s="40">
        <f>1000*M668/VLOOKUP(D668,'Normalised Rates'!$A$7:$B$12,2,FALSE)</f>
        <v>1.1181513231457323E-3</v>
      </c>
      <c r="M668" s="34">
        <v>3</v>
      </c>
    </row>
    <row r="669" spans="1:13" ht="15" customHeight="1" x14ac:dyDescent="0.25">
      <c r="A669" s="30" t="s">
        <v>141</v>
      </c>
      <c r="B669" s="30" t="s">
        <v>102</v>
      </c>
      <c r="C669" s="9" t="s">
        <v>84</v>
      </c>
      <c r="D669" s="32">
        <v>2024</v>
      </c>
      <c r="E669" s="35" t="s">
        <v>163</v>
      </c>
      <c r="F669" s="33">
        <f t="shared" si="22"/>
        <v>14</v>
      </c>
      <c r="G669" s="33">
        <f t="shared" si="22"/>
        <v>0</v>
      </c>
      <c r="H669" s="33">
        <f t="shared" si="22"/>
        <v>0</v>
      </c>
      <c r="I669" s="40">
        <f t="shared" si="21"/>
        <v>5.2180395080134176E-3</v>
      </c>
      <c r="J669" s="40">
        <f t="shared" si="21"/>
        <v>0</v>
      </c>
      <c r="K669" s="40">
        <f t="shared" si="21"/>
        <v>0</v>
      </c>
      <c r="L669" s="40">
        <f>1000*M669/VLOOKUP(D669,'Normalised Rates'!$A$7:$B$12,2,FALSE)</f>
        <v>5.2180395080134176E-3</v>
      </c>
      <c r="M669" s="34">
        <v>14</v>
      </c>
    </row>
    <row r="670" spans="1:13" ht="15" customHeight="1" x14ac:dyDescent="0.25">
      <c r="A670" s="30" t="s">
        <v>141</v>
      </c>
      <c r="B670" s="30" t="s">
        <v>102</v>
      </c>
      <c r="C670" s="9" t="s">
        <v>84</v>
      </c>
      <c r="D670" s="32">
        <v>2025</v>
      </c>
      <c r="E670" s="33" t="s">
        <v>34</v>
      </c>
      <c r="F670" s="33">
        <f t="shared" si="22"/>
        <v>0</v>
      </c>
      <c r="G670" s="33">
        <f t="shared" si="22"/>
        <v>0</v>
      </c>
      <c r="H670" s="33">
        <f t="shared" si="22"/>
        <v>1</v>
      </c>
      <c r="I670" s="40">
        <f t="shared" si="21"/>
        <v>0</v>
      </c>
      <c r="J670" s="40">
        <f t="shared" si="21"/>
        <v>0</v>
      </c>
      <c r="K670" s="40">
        <f t="shared" si="21"/>
        <v>3.1715826197272439E-4</v>
      </c>
      <c r="L670" s="40">
        <f>1000*M670/VLOOKUP(D670,'Normalised Rates'!$A$7:$B$12,2,FALSE)</f>
        <v>3.1715826197272439E-4</v>
      </c>
      <c r="M670" s="34">
        <v>1</v>
      </c>
    </row>
    <row r="671" spans="1:13" ht="15" customHeight="1" x14ac:dyDescent="0.25">
      <c r="A671" s="30" t="s">
        <v>141</v>
      </c>
      <c r="B671" s="30" t="s">
        <v>102</v>
      </c>
      <c r="C671" s="9" t="s">
        <v>84</v>
      </c>
      <c r="D671" s="32">
        <v>2025</v>
      </c>
      <c r="E671" s="35" t="s">
        <v>163</v>
      </c>
      <c r="F671" s="33">
        <f t="shared" si="22"/>
        <v>48</v>
      </c>
      <c r="G671" s="33">
        <f t="shared" si="22"/>
        <v>0</v>
      </c>
      <c r="H671" s="33">
        <f t="shared" si="22"/>
        <v>0</v>
      </c>
      <c r="I671" s="40">
        <f t="shared" si="21"/>
        <v>1.5223596574690771E-2</v>
      </c>
      <c r="J671" s="40">
        <f t="shared" si="21"/>
        <v>0</v>
      </c>
      <c r="K671" s="40">
        <f t="shared" si="21"/>
        <v>0</v>
      </c>
      <c r="L671" s="40">
        <f>1000*M671/VLOOKUP(D671,'Normalised Rates'!$A$7:$B$12,2,FALSE)</f>
        <v>1.5223596574690771E-2</v>
      </c>
      <c r="M671" s="34">
        <v>48</v>
      </c>
    </row>
    <row r="672" spans="1:13" ht="15" customHeight="1" x14ac:dyDescent="0.25">
      <c r="A672" s="30" t="s">
        <v>141</v>
      </c>
      <c r="B672" s="30" t="s">
        <v>102</v>
      </c>
      <c r="C672" s="9" t="s">
        <v>84</v>
      </c>
      <c r="D672" s="32">
        <v>2026</v>
      </c>
      <c r="E672" s="35" t="s">
        <v>163</v>
      </c>
      <c r="F672" s="33">
        <f t="shared" si="22"/>
        <v>31</v>
      </c>
      <c r="G672" s="33">
        <f t="shared" si="22"/>
        <v>0</v>
      </c>
      <c r="H672" s="33">
        <f t="shared" si="22"/>
        <v>0</v>
      </c>
      <c r="I672" s="40">
        <f t="shared" si="21"/>
        <v>2.3596574690770696E-2</v>
      </c>
      <c r="J672" s="40">
        <f t="shared" si="21"/>
        <v>0</v>
      </c>
      <c r="K672" s="40">
        <f t="shared" si="21"/>
        <v>0</v>
      </c>
      <c r="L672" s="40">
        <f>1000*M672/VLOOKUP(D672,'Normalised Rates'!$A$7:$B$12,2,FALSE)</f>
        <v>2.3596574690770696E-2</v>
      </c>
      <c r="M672" s="34">
        <v>31</v>
      </c>
    </row>
    <row r="673" spans="1:13" ht="15" customHeight="1" x14ac:dyDescent="0.25">
      <c r="A673" s="30" t="s">
        <v>141</v>
      </c>
      <c r="B673" s="30" t="s">
        <v>125</v>
      </c>
      <c r="C673" s="9" t="s">
        <v>67</v>
      </c>
      <c r="D673" s="32">
        <v>2022</v>
      </c>
      <c r="E673" s="35" t="s">
        <v>163</v>
      </c>
      <c r="F673" s="33">
        <f t="shared" si="22"/>
        <v>2</v>
      </c>
      <c r="G673" s="33">
        <f t="shared" si="22"/>
        <v>0</v>
      </c>
      <c r="H673" s="33">
        <f t="shared" si="22"/>
        <v>0</v>
      </c>
      <c r="I673" s="40">
        <f t="shared" si="21"/>
        <v>1.0666666666666667E-3</v>
      </c>
      <c r="J673" s="40">
        <f t="shared" si="21"/>
        <v>0</v>
      </c>
      <c r="K673" s="40">
        <f t="shared" si="21"/>
        <v>0</v>
      </c>
      <c r="L673" s="40">
        <f>1000*M673/VLOOKUP(D673,'Normalised Rates'!$A$7:$B$12,2,FALSE)</f>
        <v>1.0666666666666667E-3</v>
      </c>
      <c r="M673" s="34">
        <v>2</v>
      </c>
    </row>
    <row r="674" spans="1:13" ht="15" customHeight="1" x14ac:dyDescent="0.25">
      <c r="A674" s="30" t="s">
        <v>141</v>
      </c>
      <c r="B674" s="30" t="s">
        <v>125</v>
      </c>
      <c r="C674" s="9" t="s">
        <v>67</v>
      </c>
      <c r="D674" s="32">
        <v>2023</v>
      </c>
      <c r="E674" s="35" t="s">
        <v>163</v>
      </c>
      <c r="F674" s="33">
        <f t="shared" si="22"/>
        <v>7</v>
      </c>
      <c r="G674" s="33">
        <f t="shared" si="22"/>
        <v>0</v>
      </c>
      <c r="H674" s="33">
        <f t="shared" si="22"/>
        <v>0</v>
      </c>
      <c r="I674" s="40">
        <f t="shared" si="21"/>
        <v>3.0621172353455816E-3</v>
      </c>
      <c r="J674" s="40">
        <f t="shared" si="21"/>
        <v>0</v>
      </c>
      <c r="K674" s="40">
        <f t="shared" si="21"/>
        <v>0</v>
      </c>
      <c r="L674" s="40">
        <f>1000*M674/VLOOKUP(D674,'Normalised Rates'!$A$7:$B$12,2,FALSE)</f>
        <v>3.0621172353455816E-3</v>
      </c>
      <c r="M674" s="34">
        <v>7</v>
      </c>
    </row>
    <row r="675" spans="1:13" ht="15" customHeight="1" x14ac:dyDescent="0.25">
      <c r="A675" s="30" t="s">
        <v>141</v>
      </c>
      <c r="B675" s="30" t="s">
        <v>125</v>
      </c>
      <c r="C675" s="9" t="s">
        <v>67</v>
      </c>
      <c r="D675" s="32">
        <v>2024</v>
      </c>
      <c r="E675" s="35" t="s">
        <v>163</v>
      </c>
      <c r="F675" s="33">
        <f t="shared" si="22"/>
        <v>20</v>
      </c>
      <c r="G675" s="33">
        <f t="shared" si="22"/>
        <v>0</v>
      </c>
      <c r="H675" s="33">
        <f t="shared" si="22"/>
        <v>0</v>
      </c>
      <c r="I675" s="40">
        <f t="shared" si="21"/>
        <v>7.4543421543048823E-3</v>
      </c>
      <c r="J675" s="40">
        <f t="shared" si="21"/>
        <v>0</v>
      </c>
      <c r="K675" s="40">
        <f t="shared" si="21"/>
        <v>0</v>
      </c>
      <c r="L675" s="40">
        <f>1000*M675/VLOOKUP(D675,'Normalised Rates'!$A$7:$B$12,2,FALSE)</f>
        <v>7.4543421543048823E-3</v>
      </c>
      <c r="M675" s="34">
        <v>20</v>
      </c>
    </row>
    <row r="676" spans="1:13" ht="15" customHeight="1" x14ac:dyDescent="0.25">
      <c r="A676" s="30" t="s">
        <v>141</v>
      </c>
      <c r="B676" s="30" t="s">
        <v>125</v>
      </c>
      <c r="C676" s="9" t="s">
        <v>67</v>
      </c>
      <c r="D676" s="32">
        <v>2025</v>
      </c>
      <c r="E676" s="35" t="s">
        <v>163</v>
      </c>
      <c r="F676" s="33">
        <f t="shared" si="22"/>
        <v>54</v>
      </c>
      <c r="G676" s="33">
        <f t="shared" si="22"/>
        <v>0</v>
      </c>
      <c r="H676" s="33">
        <f t="shared" si="22"/>
        <v>0</v>
      </c>
      <c r="I676" s="40">
        <f t="shared" si="21"/>
        <v>1.7126546146527116E-2</v>
      </c>
      <c r="J676" s="40">
        <f t="shared" si="21"/>
        <v>0</v>
      </c>
      <c r="K676" s="40">
        <f t="shared" si="21"/>
        <v>0</v>
      </c>
      <c r="L676" s="40">
        <f>1000*M676/VLOOKUP(D676,'Normalised Rates'!$A$7:$B$12,2,FALSE)</f>
        <v>1.7126546146527116E-2</v>
      </c>
      <c r="M676" s="34">
        <v>54</v>
      </c>
    </row>
    <row r="677" spans="1:13" ht="15" customHeight="1" x14ac:dyDescent="0.25">
      <c r="A677" s="30" t="s">
        <v>141</v>
      </c>
      <c r="B677" s="30" t="s">
        <v>125</v>
      </c>
      <c r="C677" s="9" t="s">
        <v>67</v>
      </c>
      <c r="D677" s="32">
        <v>2026</v>
      </c>
      <c r="E677" s="35" t="s">
        <v>163</v>
      </c>
      <c r="F677" s="33">
        <f t="shared" si="22"/>
        <v>21</v>
      </c>
      <c r="G677" s="33">
        <f t="shared" si="22"/>
        <v>0</v>
      </c>
      <c r="H677" s="33">
        <f t="shared" si="22"/>
        <v>0</v>
      </c>
      <c r="I677" s="40">
        <f t="shared" si="21"/>
        <v>1.598477640342531E-2</v>
      </c>
      <c r="J677" s="40">
        <f t="shared" si="21"/>
        <v>0</v>
      </c>
      <c r="K677" s="40">
        <f t="shared" si="21"/>
        <v>0</v>
      </c>
      <c r="L677" s="40">
        <f>1000*M677/VLOOKUP(D677,'Normalised Rates'!$A$7:$B$12,2,FALSE)</f>
        <v>1.598477640342531E-2</v>
      </c>
      <c r="M677" s="34">
        <v>21</v>
      </c>
    </row>
    <row r="678" spans="1:13" ht="15" customHeight="1" x14ac:dyDescent="0.25">
      <c r="A678" s="30" t="s">
        <v>141</v>
      </c>
      <c r="B678" s="30" t="s">
        <v>83</v>
      </c>
      <c r="C678" s="9" t="s">
        <v>84</v>
      </c>
      <c r="D678" s="32">
        <v>2022</v>
      </c>
      <c r="E678" s="35" t="s">
        <v>163</v>
      </c>
      <c r="F678" s="33">
        <f t="shared" si="22"/>
        <v>1</v>
      </c>
      <c r="G678" s="33">
        <f t="shared" si="22"/>
        <v>0</v>
      </c>
      <c r="H678" s="33">
        <f t="shared" si="22"/>
        <v>0</v>
      </c>
      <c r="I678" s="40">
        <f t="shared" si="21"/>
        <v>5.3333333333333336E-4</v>
      </c>
      <c r="J678" s="40">
        <f t="shared" si="21"/>
        <v>0</v>
      </c>
      <c r="K678" s="40">
        <f t="shared" si="21"/>
        <v>0</v>
      </c>
      <c r="L678" s="40">
        <f>1000*M678/VLOOKUP(D678,'Normalised Rates'!$A$7:$B$12,2,FALSE)</f>
        <v>5.3333333333333336E-4</v>
      </c>
      <c r="M678" s="34">
        <v>1</v>
      </c>
    </row>
    <row r="679" spans="1:13" ht="15" customHeight="1" x14ac:dyDescent="0.25">
      <c r="A679" s="30" t="s">
        <v>141</v>
      </c>
      <c r="B679" s="30" t="s">
        <v>83</v>
      </c>
      <c r="C679" s="9" t="s">
        <v>84</v>
      </c>
      <c r="D679" s="32">
        <v>2023</v>
      </c>
      <c r="E679" s="35" t="s">
        <v>163</v>
      </c>
      <c r="F679" s="33">
        <f t="shared" si="22"/>
        <v>12</v>
      </c>
      <c r="G679" s="33">
        <f t="shared" si="22"/>
        <v>0</v>
      </c>
      <c r="H679" s="33">
        <f t="shared" si="22"/>
        <v>0</v>
      </c>
      <c r="I679" s="40">
        <f t="shared" si="21"/>
        <v>5.2493438320209973E-3</v>
      </c>
      <c r="J679" s="40">
        <f t="shared" si="21"/>
        <v>0</v>
      </c>
      <c r="K679" s="40">
        <f t="shared" si="21"/>
        <v>0</v>
      </c>
      <c r="L679" s="40">
        <f>1000*M679/VLOOKUP(D679,'Normalised Rates'!$A$7:$B$12,2,FALSE)</f>
        <v>5.2493438320209973E-3</v>
      </c>
      <c r="M679" s="34">
        <v>12</v>
      </c>
    </row>
    <row r="680" spans="1:13" ht="15" customHeight="1" x14ac:dyDescent="0.25">
      <c r="A680" s="30" t="s">
        <v>141</v>
      </c>
      <c r="B680" s="30" t="s">
        <v>83</v>
      </c>
      <c r="C680" s="9" t="s">
        <v>84</v>
      </c>
      <c r="D680" s="32">
        <v>2024</v>
      </c>
      <c r="E680" s="33" t="s">
        <v>34</v>
      </c>
      <c r="F680" s="33">
        <f t="shared" si="22"/>
        <v>0</v>
      </c>
      <c r="G680" s="33">
        <f t="shared" si="22"/>
        <v>0</v>
      </c>
      <c r="H680" s="33">
        <f t="shared" si="22"/>
        <v>2</v>
      </c>
      <c r="I680" s="40">
        <f t="shared" si="21"/>
        <v>0</v>
      </c>
      <c r="J680" s="40">
        <f t="shared" si="21"/>
        <v>0</v>
      </c>
      <c r="K680" s="40">
        <f t="shared" si="21"/>
        <v>7.4543421543048823E-4</v>
      </c>
      <c r="L680" s="40">
        <f>1000*M680/VLOOKUP(D680,'Normalised Rates'!$A$7:$B$12,2,FALSE)</f>
        <v>7.4543421543048823E-4</v>
      </c>
      <c r="M680" s="34">
        <v>2</v>
      </c>
    </row>
    <row r="681" spans="1:13" ht="15" customHeight="1" x14ac:dyDescent="0.25">
      <c r="A681" s="30" t="s">
        <v>141</v>
      </c>
      <c r="B681" s="30" t="s">
        <v>83</v>
      </c>
      <c r="C681" s="9" t="s">
        <v>84</v>
      </c>
      <c r="D681" s="32">
        <v>2024</v>
      </c>
      <c r="E681" s="35" t="s">
        <v>163</v>
      </c>
      <c r="F681" s="33">
        <f t="shared" si="22"/>
        <v>12</v>
      </c>
      <c r="G681" s="33">
        <f t="shared" si="22"/>
        <v>0</v>
      </c>
      <c r="H681" s="33">
        <f t="shared" si="22"/>
        <v>0</v>
      </c>
      <c r="I681" s="40">
        <f t="shared" si="21"/>
        <v>4.4726052925829294E-3</v>
      </c>
      <c r="J681" s="40">
        <f t="shared" si="21"/>
        <v>0</v>
      </c>
      <c r="K681" s="40">
        <f t="shared" si="21"/>
        <v>0</v>
      </c>
      <c r="L681" s="40">
        <f>1000*M681/VLOOKUP(D681,'Normalised Rates'!$A$7:$B$12,2,FALSE)</f>
        <v>4.4726052925829294E-3</v>
      </c>
      <c r="M681" s="34">
        <v>12</v>
      </c>
    </row>
    <row r="682" spans="1:13" ht="15" customHeight="1" x14ac:dyDescent="0.25">
      <c r="A682" s="30" t="s">
        <v>141</v>
      </c>
      <c r="B682" s="30" t="s">
        <v>83</v>
      </c>
      <c r="C682" s="9" t="s">
        <v>84</v>
      </c>
      <c r="D682" s="32">
        <v>2025</v>
      </c>
      <c r="E682" s="33" t="s">
        <v>34</v>
      </c>
      <c r="F682" s="33">
        <f t="shared" si="22"/>
        <v>0</v>
      </c>
      <c r="G682" s="33">
        <f t="shared" si="22"/>
        <v>0</v>
      </c>
      <c r="H682" s="33">
        <f t="shared" si="22"/>
        <v>1</v>
      </c>
      <c r="I682" s="40">
        <f t="shared" si="21"/>
        <v>0</v>
      </c>
      <c r="J682" s="40">
        <f t="shared" si="21"/>
        <v>0</v>
      </c>
      <c r="K682" s="40">
        <f t="shared" si="21"/>
        <v>3.1715826197272439E-4</v>
      </c>
      <c r="L682" s="40">
        <f>1000*M682/VLOOKUP(D682,'Normalised Rates'!$A$7:$B$12,2,FALSE)</f>
        <v>3.1715826197272439E-4</v>
      </c>
      <c r="M682" s="34">
        <v>1</v>
      </c>
    </row>
    <row r="683" spans="1:13" ht="15" customHeight="1" x14ac:dyDescent="0.25">
      <c r="A683" s="30" t="s">
        <v>141</v>
      </c>
      <c r="B683" s="30" t="s">
        <v>83</v>
      </c>
      <c r="C683" s="9" t="s">
        <v>84</v>
      </c>
      <c r="D683" s="32">
        <v>2025</v>
      </c>
      <c r="E683" s="35" t="s">
        <v>163</v>
      </c>
      <c r="F683" s="33">
        <f t="shared" si="22"/>
        <v>40</v>
      </c>
      <c r="G683" s="33">
        <f t="shared" si="22"/>
        <v>0</v>
      </c>
      <c r="H683" s="33">
        <f t="shared" si="22"/>
        <v>0</v>
      </c>
      <c r="I683" s="40">
        <f t="shared" si="21"/>
        <v>1.2686330478908976E-2</v>
      </c>
      <c r="J683" s="40">
        <f t="shared" si="21"/>
        <v>0</v>
      </c>
      <c r="K683" s="40">
        <f t="shared" si="21"/>
        <v>0</v>
      </c>
      <c r="L683" s="40">
        <f>1000*M683/VLOOKUP(D683,'Normalised Rates'!$A$7:$B$12,2,FALSE)</f>
        <v>1.2686330478908976E-2</v>
      </c>
      <c r="M683" s="34">
        <v>40</v>
      </c>
    </row>
    <row r="684" spans="1:13" ht="15" customHeight="1" x14ac:dyDescent="0.25">
      <c r="A684" s="30" t="s">
        <v>141</v>
      </c>
      <c r="B684" s="30" t="s">
        <v>83</v>
      </c>
      <c r="C684" s="9" t="s">
        <v>84</v>
      </c>
      <c r="D684" s="32">
        <v>2026</v>
      </c>
      <c r="E684" s="35" t="s">
        <v>163</v>
      </c>
      <c r="F684" s="33">
        <f t="shared" si="22"/>
        <v>27</v>
      </c>
      <c r="G684" s="33">
        <f t="shared" si="22"/>
        <v>0</v>
      </c>
      <c r="H684" s="33">
        <f t="shared" si="22"/>
        <v>0</v>
      </c>
      <c r="I684" s="40">
        <f t="shared" si="21"/>
        <v>2.055185537583254E-2</v>
      </c>
      <c r="J684" s="40">
        <f t="shared" si="21"/>
        <v>0</v>
      </c>
      <c r="K684" s="40">
        <f t="shared" si="21"/>
        <v>0</v>
      </c>
      <c r="L684" s="40">
        <f>1000*M684/VLOOKUP(D684,'Normalised Rates'!$A$7:$B$12,2,FALSE)</f>
        <v>2.055185537583254E-2</v>
      </c>
      <c r="M684" s="34">
        <v>27</v>
      </c>
    </row>
    <row r="685" spans="1:13" ht="15" customHeight="1" x14ac:dyDescent="0.25">
      <c r="A685" s="30" t="s">
        <v>141</v>
      </c>
      <c r="B685" s="30" t="s">
        <v>109</v>
      </c>
      <c r="C685" s="9" t="s">
        <v>67</v>
      </c>
      <c r="D685" s="32">
        <v>2021</v>
      </c>
      <c r="E685" s="35" t="s">
        <v>163</v>
      </c>
      <c r="F685" s="33">
        <f t="shared" si="22"/>
        <v>4</v>
      </c>
      <c r="G685" s="33">
        <f t="shared" si="22"/>
        <v>0</v>
      </c>
      <c r="H685" s="33">
        <f t="shared" si="22"/>
        <v>0</v>
      </c>
      <c r="I685" s="40">
        <f t="shared" si="21"/>
        <v>2.509410288582183E-3</v>
      </c>
      <c r="J685" s="40">
        <f t="shared" si="21"/>
        <v>0</v>
      </c>
      <c r="K685" s="40">
        <f t="shared" si="21"/>
        <v>0</v>
      </c>
      <c r="L685" s="40">
        <f>1000*M685/VLOOKUP(D685,'Normalised Rates'!$A$7:$B$12,2,FALSE)</f>
        <v>2.509410288582183E-3</v>
      </c>
      <c r="M685" s="34">
        <v>4</v>
      </c>
    </row>
    <row r="686" spans="1:13" ht="15" customHeight="1" x14ac:dyDescent="0.25">
      <c r="A686" s="30" t="s">
        <v>141</v>
      </c>
      <c r="B686" s="30" t="s">
        <v>109</v>
      </c>
      <c r="C686" s="9" t="s">
        <v>67</v>
      </c>
      <c r="D686" s="32">
        <v>2023</v>
      </c>
      <c r="E686" s="33" t="s">
        <v>34</v>
      </c>
      <c r="F686" s="33">
        <f t="shared" si="22"/>
        <v>0</v>
      </c>
      <c r="G686" s="33">
        <f t="shared" si="22"/>
        <v>0</v>
      </c>
      <c r="H686" s="33">
        <f t="shared" si="22"/>
        <v>2</v>
      </c>
      <c r="I686" s="40">
        <f t="shared" si="21"/>
        <v>0</v>
      </c>
      <c r="J686" s="40">
        <f t="shared" si="21"/>
        <v>0</v>
      </c>
      <c r="K686" s="40">
        <f t="shared" si="21"/>
        <v>8.7489063867016625E-4</v>
      </c>
      <c r="L686" s="40">
        <f>1000*M686/VLOOKUP(D686,'Normalised Rates'!$A$7:$B$12,2,FALSE)</f>
        <v>8.7489063867016625E-4</v>
      </c>
      <c r="M686" s="34">
        <v>2</v>
      </c>
    </row>
    <row r="687" spans="1:13" ht="15" customHeight="1" x14ac:dyDescent="0.25">
      <c r="A687" s="30" t="s">
        <v>141</v>
      </c>
      <c r="B687" s="30" t="s">
        <v>109</v>
      </c>
      <c r="C687" s="9" t="s">
        <v>67</v>
      </c>
      <c r="D687" s="32">
        <v>2023</v>
      </c>
      <c r="E687" s="35" t="s">
        <v>163</v>
      </c>
      <c r="F687" s="33">
        <f t="shared" si="22"/>
        <v>29</v>
      </c>
      <c r="G687" s="33">
        <f t="shared" si="22"/>
        <v>0</v>
      </c>
      <c r="H687" s="33">
        <f t="shared" si="22"/>
        <v>0</v>
      </c>
      <c r="I687" s="40">
        <f t="shared" si="21"/>
        <v>1.2685914260717411E-2</v>
      </c>
      <c r="J687" s="40">
        <f t="shared" si="21"/>
        <v>0</v>
      </c>
      <c r="K687" s="40">
        <f t="shared" si="21"/>
        <v>0</v>
      </c>
      <c r="L687" s="40">
        <f>1000*M687/VLOOKUP(D687,'Normalised Rates'!$A$7:$B$12,2,FALSE)</f>
        <v>1.2685914260717411E-2</v>
      </c>
      <c r="M687" s="34">
        <v>29</v>
      </c>
    </row>
    <row r="688" spans="1:13" ht="15" customHeight="1" x14ac:dyDescent="0.25">
      <c r="A688" s="30" t="s">
        <v>141</v>
      </c>
      <c r="B688" s="30" t="s">
        <v>109</v>
      </c>
      <c r="C688" s="9" t="s">
        <v>67</v>
      </c>
      <c r="D688" s="32">
        <v>2024</v>
      </c>
      <c r="E688" s="33" t="s">
        <v>34</v>
      </c>
      <c r="F688" s="33">
        <f t="shared" si="22"/>
        <v>0</v>
      </c>
      <c r="G688" s="33">
        <f t="shared" si="22"/>
        <v>0</v>
      </c>
      <c r="H688" s="33">
        <f t="shared" si="22"/>
        <v>2</v>
      </c>
      <c r="I688" s="40">
        <f t="shared" si="21"/>
        <v>0</v>
      </c>
      <c r="J688" s="40">
        <f t="shared" si="21"/>
        <v>0</v>
      </c>
      <c r="K688" s="40">
        <f t="shared" si="21"/>
        <v>7.4543421543048823E-4</v>
      </c>
      <c r="L688" s="40">
        <f>1000*M688/VLOOKUP(D688,'Normalised Rates'!$A$7:$B$12,2,FALSE)</f>
        <v>7.4543421543048823E-4</v>
      </c>
      <c r="M688" s="34">
        <v>2</v>
      </c>
    </row>
    <row r="689" spans="1:13" ht="15" customHeight="1" x14ac:dyDescent="0.25">
      <c r="A689" s="30" t="s">
        <v>141</v>
      </c>
      <c r="B689" s="30" t="s">
        <v>109</v>
      </c>
      <c r="C689" s="9" t="s">
        <v>67</v>
      </c>
      <c r="D689" s="32">
        <v>2024</v>
      </c>
      <c r="E689" s="35" t="s">
        <v>163</v>
      </c>
      <c r="F689" s="33">
        <f t="shared" si="22"/>
        <v>11</v>
      </c>
      <c r="G689" s="33">
        <f t="shared" si="22"/>
        <v>0</v>
      </c>
      <c r="H689" s="33">
        <f t="shared" si="22"/>
        <v>0</v>
      </c>
      <c r="I689" s="40">
        <f t="shared" si="21"/>
        <v>4.0998881848676857E-3</v>
      </c>
      <c r="J689" s="40">
        <f t="shared" si="21"/>
        <v>0</v>
      </c>
      <c r="K689" s="40">
        <f t="shared" si="21"/>
        <v>0</v>
      </c>
      <c r="L689" s="40">
        <f>1000*M689/VLOOKUP(D689,'Normalised Rates'!$A$7:$B$12,2,FALSE)</f>
        <v>4.0998881848676857E-3</v>
      </c>
      <c r="M689" s="34">
        <v>11</v>
      </c>
    </row>
    <row r="690" spans="1:13" ht="15" customHeight="1" x14ac:dyDescent="0.25">
      <c r="A690" s="30" t="s">
        <v>141</v>
      </c>
      <c r="B690" s="30" t="s">
        <v>109</v>
      </c>
      <c r="C690" s="9" t="s">
        <v>67</v>
      </c>
      <c r="D690" s="32">
        <v>2025</v>
      </c>
      <c r="E690" s="35" t="s">
        <v>163</v>
      </c>
      <c r="F690" s="33">
        <f t="shared" si="22"/>
        <v>28</v>
      </c>
      <c r="G690" s="33">
        <f t="shared" si="22"/>
        <v>0</v>
      </c>
      <c r="H690" s="33">
        <f t="shared" si="22"/>
        <v>0</v>
      </c>
      <c r="I690" s="40">
        <f t="shared" si="21"/>
        <v>8.8804313352362826E-3</v>
      </c>
      <c r="J690" s="40">
        <f t="shared" si="21"/>
        <v>0</v>
      </c>
      <c r="K690" s="40">
        <f t="shared" si="21"/>
        <v>0</v>
      </c>
      <c r="L690" s="40">
        <f>1000*M690/VLOOKUP(D690,'Normalised Rates'!$A$7:$B$12,2,FALSE)</f>
        <v>8.8804313352362826E-3</v>
      </c>
      <c r="M690" s="34">
        <v>28</v>
      </c>
    </row>
    <row r="691" spans="1:13" ht="15" customHeight="1" x14ac:dyDescent="0.25">
      <c r="A691" s="30" t="s">
        <v>141</v>
      </c>
      <c r="B691" s="30" t="s">
        <v>109</v>
      </c>
      <c r="C691" s="9" t="s">
        <v>67</v>
      </c>
      <c r="D691" s="32">
        <v>2026</v>
      </c>
      <c r="E691" s="35" t="s">
        <v>163</v>
      </c>
      <c r="F691" s="33">
        <f t="shared" si="22"/>
        <v>10</v>
      </c>
      <c r="G691" s="33">
        <f t="shared" si="22"/>
        <v>0</v>
      </c>
      <c r="H691" s="33">
        <f t="shared" si="22"/>
        <v>0</v>
      </c>
      <c r="I691" s="40">
        <f t="shared" si="21"/>
        <v>7.6117982873453857E-3</v>
      </c>
      <c r="J691" s="40">
        <f t="shared" si="21"/>
        <v>0</v>
      </c>
      <c r="K691" s="40">
        <f t="shared" si="21"/>
        <v>0</v>
      </c>
      <c r="L691" s="40">
        <f>1000*M691/VLOOKUP(D691,'Normalised Rates'!$A$7:$B$12,2,FALSE)</f>
        <v>7.6117982873453857E-3</v>
      </c>
      <c r="M691" s="34">
        <v>10</v>
      </c>
    </row>
    <row r="692" spans="1:13" ht="15" customHeight="1" x14ac:dyDescent="0.25">
      <c r="A692" s="30" t="s">
        <v>141</v>
      </c>
      <c r="B692" s="30" t="s">
        <v>107</v>
      </c>
      <c r="C692" s="9" t="s">
        <v>67</v>
      </c>
      <c r="D692" s="32">
        <v>2021</v>
      </c>
      <c r="E692" s="33" t="s">
        <v>34</v>
      </c>
      <c r="F692" s="33">
        <f t="shared" si="22"/>
        <v>0</v>
      </c>
      <c r="G692" s="33">
        <f t="shared" si="22"/>
        <v>0</v>
      </c>
      <c r="H692" s="33">
        <f t="shared" si="22"/>
        <v>1</v>
      </c>
      <c r="I692" s="40">
        <f t="shared" si="21"/>
        <v>0</v>
      </c>
      <c r="J692" s="40">
        <f t="shared" si="21"/>
        <v>0</v>
      </c>
      <c r="K692" s="40">
        <f t="shared" si="21"/>
        <v>6.2735257214554575E-4</v>
      </c>
      <c r="L692" s="40">
        <f>1000*M692/VLOOKUP(D692,'Normalised Rates'!$A$7:$B$12,2,FALSE)</f>
        <v>6.2735257214554575E-4</v>
      </c>
      <c r="M692" s="34">
        <v>1</v>
      </c>
    </row>
    <row r="693" spans="1:13" ht="15" customHeight="1" x14ac:dyDescent="0.25">
      <c r="A693" s="30" t="s">
        <v>141</v>
      </c>
      <c r="B693" s="30" t="s">
        <v>107</v>
      </c>
      <c r="C693" s="9" t="s">
        <v>67</v>
      </c>
      <c r="D693" s="32">
        <v>2021</v>
      </c>
      <c r="E693" s="35" t="s">
        <v>163</v>
      </c>
      <c r="F693" s="33">
        <f t="shared" si="22"/>
        <v>2</v>
      </c>
      <c r="G693" s="33">
        <f t="shared" si="22"/>
        <v>0</v>
      </c>
      <c r="H693" s="33">
        <f t="shared" si="22"/>
        <v>0</v>
      </c>
      <c r="I693" s="40">
        <f t="shared" si="21"/>
        <v>1.2547051442910915E-3</v>
      </c>
      <c r="J693" s="40">
        <f t="shared" si="21"/>
        <v>0</v>
      </c>
      <c r="K693" s="40">
        <f t="shared" si="21"/>
        <v>0</v>
      </c>
      <c r="L693" s="40">
        <f>1000*M693/VLOOKUP(D693,'Normalised Rates'!$A$7:$B$12,2,FALSE)</f>
        <v>1.2547051442910915E-3</v>
      </c>
      <c r="M693" s="34">
        <v>2</v>
      </c>
    </row>
    <row r="694" spans="1:13" ht="15" customHeight="1" x14ac:dyDescent="0.25">
      <c r="A694" s="30" t="s">
        <v>141</v>
      </c>
      <c r="B694" s="30" t="s">
        <v>107</v>
      </c>
      <c r="C694" s="9" t="s">
        <v>67</v>
      </c>
      <c r="D694" s="32">
        <v>2022</v>
      </c>
      <c r="E694" s="35" t="s">
        <v>163</v>
      </c>
      <c r="F694" s="33">
        <f t="shared" si="22"/>
        <v>1</v>
      </c>
      <c r="G694" s="33">
        <f t="shared" si="22"/>
        <v>0</v>
      </c>
      <c r="H694" s="33">
        <f t="shared" si="22"/>
        <v>0</v>
      </c>
      <c r="I694" s="40">
        <f t="shared" si="21"/>
        <v>5.3333333333333336E-4</v>
      </c>
      <c r="J694" s="40">
        <f t="shared" si="21"/>
        <v>0</v>
      </c>
      <c r="K694" s="40">
        <f t="shared" si="21"/>
        <v>0</v>
      </c>
      <c r="L694" s="40">
        <f>1000*M694/VLOOKUP(D694,'Normalised Rates'!$A$7:$B$12,2,FALSE)</f>
        <v>5.3333333333333336E-4</v>
      </c>
      <c r="M694" s="34">
        <v>1</v>
      </c>
    </row>
    <row r="695" spans="1:13" ht="15" customHeight="1" x14ac:dyDescent="0.25">
      <c r="A695" s="30" t="s">
        <v>141</v>
      </c>
      <c r="B695" s="30" t="s">
        <v>107</v>
      </c>
      <c r="C695" s="9" t="s">
        <v>67</v>
      </c>
      <c r="D695" s="32">
        <v>2023</v>
      </c>
      <c r="E695" s="33" t="s">
        <v>34</v>
      </c>
      <c r="F695" s="33">
        <f t="shared" si="22"/>
        <v>0</v>
      </c>
      <c r="G695" s="33">
        <f t="shared" si="22"/>
        <v>0</v>
      </c>
      <c r="H695" s="33">
        <f t="shared" si="22"/>
        <v>1</v>
      </c>
      <c r="I695" s="40">
        <f t="shared" si="21"/>
        <v>0</v>
      </c>
      <c r="J695" s="40">
        <f t="shared" si="21"/>
        <v>0</v>
      </c>
      <c r="K695" s="40">
        <f t="shared" si="21"/>
        <v>4.3744531933508313E-4</v>
      </c>
      <c r="L695" s="40">
        <f>1000*M695/VLOOKUP(D695,'Normalised Rates'!$A$7:$B$12,2,FALSE)</f>
        <v>4.3744531933508313E-4</v>
      </c>
      <c r="M695" s="34">
        <v>1</v>
      </c>
    </row>
    <row r="696" spans="1:13" ht="15" customHeight="1" x14ac:dyDescent="0.25">
      <c r="A696" s="30" t="s">
        <v>141</v>
      </c>
      <c r="B696" s="30" t="s">
        <v>107</v>
      </c>
      <c r="C696" s="9" t="s">
        <v>67</v>
      </c>
      <c r="D696" s="32">
        <v>2023</v>
      </c>
      <c r="E696" s="35" t="s">
        <v>163</v>
      </c>
      <c r="F696" s="33">
        <f t="shared" si="22"/>
        <v>26</v>
      </c>
      <c r="G696" s="33">
        <f t="shared" si="22"/>
        <v>0</v>
      </c>
      <c r="H696" s="33">
        <f t="shared" si="22"/>
        <v>0</v>
      </c>
      <c r="I696" s="40">
        <f t="shared" si="21"/>
        <v>1.1373578302712161E-2</v>
      </c>
      <c r="J696" s="40">
        <f t="shared" si="21"/>
        <v>0</v>
      </c>
      <c r="K696" s="40">
        <f t="shared" si="21"/>
        <v>0</v>
      </c>
      <c r="L696" s="40">
        <f>1000*M696/VLOOKUP(D696,'Normalised Rates'!$A$7:$B$12,2,FALSE)</f>
        <v>1.1373578302712161E-2</v>
      </c>
      <c r="M696" s="34">
        <v>26</v>
      </c>
    </row>
    <row r="697" spans="1:13" ht="15" customHeight="1" x14ac:dyDescent="0.25">
      <c r="A697" s="30" t="s">
        <v>141</v>
      </c>
      <c r="B697" s="30" t="s">
        <v>107</v>
      </c>
      <c r="C697" s="9" t="s">
        <v>67</v>
      </c>
      <c r="D697" s="32">
        <v>2024</v>
      </c>
      <c r="E697" s="33" t="s">
        <v>34</v>
      </c>
      <c r="F697" s="33">
        <f t="shared" si="22"/>
        <v>0</v>
      </c>
      <c r="G697" s="33">
        <f t="shared" si="22"/>
        <v>0</v>
      </c>
      <c r="H697" s="33">
        <f t="shared" si="22"/>
        <v>1</v>
      </c>
      <c r="I697" s="40">
        <f t="shared" si="21"/>
        <v>0</v>
      </c>
      <c r="J697" s="40">
        <f t="shared" si="21"/>
        <v>0</v>
      </c>
      <c r="K697" s="40">
        <f t="shared" si="21"/>
        <v>3.7271710771524412E-4</v>
      </c>
      <c r="L697" s="40">
        <f>1000*M697/VLOOKUP(D697,'Normalised Rates'!$A$7:$B$12,2,FALSE)</f>
        <v>3.7271710771524412E-4</v>
      </c>
      <c r="M697" s="34">
        <v>1</v>
      </c>
    </row>
    <row r="698" spans="1:13" ht="15" customHeight="1" x14ac:dyDescent="0.25">
      <c r="A698" s="30" t="s">
        <v>141</v>
      </c>
      <c r="B698" s="30" t="s">
        <v>107</v>
      </c>
      <c r="C698" s="9" t="s">
        <v>67</v>
      </c>
      <c r="D698" s="32">
        <v>2024</v>
      </c>
      <c r="E698" s="35" t="s">
        <v>163</v>
      </c>
      <c r="F698" s="33">
        <f t="shared" si="22"/>
        <v>16</v>
      </c>
      <c r="G698" s="33">
        <f t="shared" si="22"/>
        <v>0</v>
      </c>
      <c r="H698" s="33">
        <f t="shared" si="22"/>
        <v>0</v>
      </c>
      <c r="I698" s="40">
        <f t="shared" si="21"/>
        <v>5.9634737234439059E-3</v>
      </c>
      <c r="J698" s="40">
        <f t="shared" si="21"/>
        <v>0</v>
      </c>
      <c r="K698" s="40">
        <f t="shared" si="21"/>
        <v>0</v>
      </c>
      <c r="L698" s="40">
        <f>1000*M698/VLOOKUP(D698,'Normalised Rates'!$A$7:$B$12,2,FALSE)</f>
        <v>5.9634737234439059E-3</v>
      </c>
      <c r="M698" s="34">
        <v>16</v>
      </c>
    </row>
    <row r="699" spans="1:13" ht="15" customHeight="1" x14ac:dyDescent="0.25">
      <c r="A699" s="30" t="s">
        <v>141</v>
      </c>
      <c r="B699" s="30" t="s">
        <v>107</v>
      </c>
      <c r="C699" s="9" t="s">
        <v>67</v>
      </c>
      <c r="D699" s="32">
        <v>2025</v>
      </c>
      <c r="E699" s="35" t="s">
        <v>163</v>
      </c>
      <c r="F699" s="33">
        <f t="shared" si="22"/>
        <v>28</v>
      </c>
      <c r="G699" s="33">
        <f t="shared" si="22"/>
        <v>0</v>
      </c>
      <c r="H699" s="33">
        <f t="shared" si="22"/>
        <v>0</v>
      </c>
      <c r="I699" s="40">
        <f t="shared" si="21"/>
        <v>8.8804313352362826E-3</v>
      </c>
      <c r="J699" s="40">
        <f t="shared" si="21"/>
        <v>0</v>
      </c>
      <c r="K699" s="40">
        <f t="shared" si="21"/>
        <v>0</v>
      </c>
      <c r="L699" s="40">
        <f>1000*M699/VLOOKUP(D699,'Normalised Rates'!$A$7:$B$12,2,FALSE)</f>
        <v>8.8804313352362826E-3</v>
      </c>
      <c r="M699" s="34">
        <v>28</v>
      </c>
    </row>
    <row r="700" spans="1:13" ht="15" customHeight="1" x14ac:dyDescent="0.25">
      <c r="A700" s="30" t="s">
        <v>141</v>
      </c>
      <c r="B700" s="30" t="s">
        <v>107</v>
      </c>
      <c r="C700" s="9" t="s">
        <v>67</v>
      </c>
      <c r="D700" s="32">
        <v>2026</v>
      </c>
      <c r="E700" s="35" t="s">
        <v>163</v>
      </c>
      <c r="F700" s="33">
        <f t="shared" si="22"/>
        <v>8</v>
      </c>
      <c r="G700" s="33">
        <f t="shared" si="22"/>
        <v>0</v>
      </c>
      <c r="H700" s="33">
        <f t="shared" si="22"/>
        <v>0</v>
      </c>
      <c r="I700" s="40">
        <f t="shared" si="21"/>
        <v>6.0894386298763082E-3</v>
      </c>
      <c r="J700" s="40">
        <f t="shared" si="21"/>
        <v>0</v>
      </c>
      <c r="K700" s="40">
        <f t="shared" si="21"/>
        <v>0</v>
      </c>
      <c r="L700" s="40">
        <f>1000*M700/VLOOKUP(D700,'Normalised Rates'!$A$7:$B$12,2,FALSE)</f>
        <v>6.0894386298763082E-3</v>
      </c>
      <c r="M700" s="34">
        <v>8</v>
      </c>
    </row>
    <row r="701" spans="1:13" ht="15" customHeight="1" x14ac:dyDescent="0.25">
      <c r="A701" s="30" t="s">
        <v>141</v>
      </c>
      <c r="B701" s="30" t="s">
        <v>69</v>
      </c>
      <c r="C701" s="9" t="s">
        <v>67</v>
      </c>
      <c r="D701" s="32">
        <v>2022</v>
      </c>
      <c r="E701" s="35" t="s">
        <v>163</v>
      </c>
      <c r="F701" s="33">
        <f t="shared" si="22"/>
        <v>2</v>
      </c>
      <c r="G701" s="33">
        <f t="shared" si="22"/>
        <v>0</v>
      </c>
      <c r="H701" s="33">
        <f t="shared" si="22"/>
        <v>0</v>
      </c>
      <c r="I701" s="40">
        <f t="shared" si="21"/>
        <v>1.0666666666666667E-3</v>
      </c>
      <c r="J701" s="40">
        <f t="shared" si="21"/>
        <v>0</v>
      </c>
      <c r="K701" s="40">
        <f t="shared" si="21"/>
        <v>0</v>
      </c>
      <c r="L701" s="40">
        <f>1000*M701/VLOOKUP(D701,'Normalised Rates'!$A$7:$B$12,2,FALSE)</f>
        <v>1.0666666666666667E-3</v>
      </c>
      <c r="M701" s="34">
        <v>2</v>
      </c>
    </row>
    <row r="702" spans="1:13" ht="15" customHeight="1" x14ac:dyDescent="0.25">
      <c r="A702" s="30" t="s">
        <v>141</v>
      </c>
      <c r="B702" s="30" t="s">
        <v>69</v>
      </c>
      <c r="C702" s="9" t="s">
        <v>67</v>
      </c>
      <c r="D702" s="32">
        <v>2023</v>
      </c>
      <c r="E702" s="33" t="s">
        <v>34</v>
      </c>
      <c r="F702" s="33">
        <f t="shared" si="22"/>
        <v>0</v>
      </c>
      <c r="G702" s="33">
        <f t="shared" si="22"/>
        <v>0</v>
      </c>
      <c r="H702" s="33">
        <f t="shared" si="22"/>
        <v>3</v>
      </c>
      <c r="I702" s="40">
        <f t="shared" si="21"/>
        <v>0</v>
      </c>
      <c r="J702" s="40">
        <f t="shared" si="21"/>
        <v>0</v>
      </c>
      <c r="K702" s="40">
        <f t="shared" si="21"/>
        <v>1.3123359580052493E-3</v>
      </c>
      <c r="L702" s="40">
        <f>1000*M702/VLOOKUP(D702,'Normalised Rates'!$A$7:$B$12,2,FALSE)</f>
        <v>1.3123359580052493E-3</v>
      </c>
      <c r="M702" s="34">
        <v>3</v>
      </c>
    </row>
    <row r="703" spans="1:13" ht="15" customHeight="1" x14ac:dyDescent="0.25">
      <c r="A703" s="30" t="s">
        <v>141</v>
      </c>
      <c r="B703" s="30" t="s">
        <v>69</v>
      </c>
      <c r="C703" s="9" t="s">
        <v>67</v>
      </c>
      <c r="D703" s="32">
        <v>2023</v>
      </c>
      <c r="E703" s="35" t="s">
        <v>163</v>
      </c>
      <c r="F703" s="33">
        <f t="shared" si="22"/>
        <v>33</v>
      </c>
      <c r="G703" s="33">
        <f t="shared" si="22"/>
        <v>0</v>
      </c>
      <c r="H703" s="33">
        <f t="shared" si="22"/>
        <v>0</v>
      </c>
      <c r="I703" s="40">
        <f t="shared" si="21"/>
        <v>1.4435695538057743E-2</v>
      </c>
      <c r="J703" s="40">
        <f t="shared" si="21"/>
        <v>0</v>
      </c>
      <c r="K703" s="40">
        <f t="shared" si="21"/>
        <v>0</v>
      </c>
      <c r="L703" s="40">
        <f>1000*M703/VLOOKUP(D703,'Normalised Rates'!$A$7:$B$12,2,FALSE)</f>
        <v>1.4435695538057743E-2</v>
      </c>
      <c r="M703" s="34">
        <v>33</v>
      </c>
    </row>
    <row r="704" spans="1:13" ht="15" customHeight="1" x14ac:dyDescent="0.25">
      <c r="A704" s="30" t="s">
        <v>141</v>
      </c>
      <c r="B704" s="30" t="s">
        <v>69</v>
      </c>
      <c r="C704" s="9" t="s">
        <v>67</v>
      </c>
      <c r="D704" s="32">
        <v>2024</v>
      </c>
      <c r="E704" s="33" t="s">
        <v>34</v>
      </c>
      <c r="F704" s="33">
        <f t="shared" si="22"/>
        <v>0</v>
      </c>
      <c r="G704" s="33">
        <f t="shared" si="22"/>
        <v>0</v>
      </c>
      <c r="H704" s="33">
        <f t="shared" si="22"/>
        <v>5</v>
      </c>
      <c r="I704" s="40">
        <f t="shared" si="21"/>
        <v>0</v>
      </c>
      <c r="J704" s="40">
        <f t="shared" si="21"/>
        <v>0</v>
      </c>
      <c r="K704" s="40">
        <f t="shared" si="21"/>
        <v>1.8635855385762206E-3</v>
      </c>
      <c r="L704" s="40">
        <f>1000*M704/VLOOKUP(D704,'Normalised Rates'!$A$7:$B$12,2,FALSE)</f>
        <v>1.8635855385762206E-3</v>
      </c>
      <c r="M704" s="34">
        <v>5</v>
      </c>
    </row>
    <row r="705" spans="1:13" ht="15" customHeight="1" x14ac:dyDescent="0.25">
      <c r="A705" s="30" t="s">
        <v>141</v>
      </c>
      <c r="B705" s="30" t="s">
        <v>69</v>
      </c>
      <c r="C705" s="9" t="s">
        <v>67</v>
      </c>
      <c r="D705" s="32">
        <v>2024</v>
      </c>
      <c r="E705" s="35" t="s">
        <v>163</v>
      </c>
      <c r="F705" s="33">
        <f t="shared" si="22"/>
        <v>1</v>
      </c>
      <c r="G705" s="33">
        <f t="shared" si="22"/>
        <v>0</v>
      </c>
      <c r="H705" s="33">
        <f t="shared" si="22"/>
        <v>0</v>
      </c>
      <c r="I705" s="40">
        <f t="shared" si="21"/>
        <v>3.7271710771524412E-4</v>
      </c>
      <c r="J705" s="40">
        <f t="shared" si="21"/>
        <v>0</v>
      </c>
      <c r="K705" s="40">
        <f t="shared" si="21"/>
        <v>0</v>
      </c>
      <c r="L705" s="40">
        <f>1000*M705/VLOOKUP(D705,'Normalised Rates'!$A$7:$B$12,2,FALSE)</f>
        <v>3.7271710771524412E-4</v>
      </c>
      <c r="M705" s="34">
        <v>1</v>
      </c>
    </row>
    <row r="706" spans="1:13" ht="15" customHeight="1" x14ac:dyDescent="0.25">
      <c r="A706" s="30" t="s">
        <v>141</v>
      </c>
      <c r="B706" s="30" t="s">
        <v>69</v>
      </c>
      <c r="C706" s="9" t="s">
        <v>67</v>
      </c>
      <c r="D706" s="32">
        <v>2025</v>
      </c>
      <c r="E706" s="33" t="s">
        <v>34</v>
      </c>
      <c r="F706" s="33">
        <f t="shared" si="22"/>
        <v>0</v>
      </c>
      <c r="G706" s="33">
        <f t="shared" si="22"/>
        <v>0</v>
      </c>
      <c r="H706" s="33">
        <f t="shared" si="22"/>
        <v>1</v>
      </c>
      <c r="I706" s="40">
        <f t="shared" si="21"/>
        <v>0</v>
      </c>
      <c r="J706" s="40">
        <f t="shared" si="21"/>
        <v>0</v>
      </c>
      <c r="K706" s="40">
        <f t="shared" si="21"/>
        <v>3.1715826197272439E-4</v>
      </c>
      <c r="L706" s="40">
        <f>1000*M706/VLOOKUP(D706,'Normalised Rates'!$A$7:$B$12,2,FALSE)</f>
        <v>3.1715826197272439E-4</v>
      </c>
      <c r="M706" s="34">
        <v>1</v>
      </c>
    </row>
    <row r="707" spans="1:13" ht="15" customHeight="1" x14ac:dyDescent="0.25">
      <c r="A707" s="30" t="s">
        <v>141</v>
      </c>
      <c r="B707" s="30" t="s">
        <v>69</v>
      </c>
      <c r="C707" s="9" t="s">
        <v>67</v>
      </c>
      <c r="D707" s="32">
        <v>2025</v>
      </c>
      <c r="E707" s="35" t="s">
        <v>163</v>
      </c>
      <c r="F707" s="33">
        <f t="shared" si="22"/>
        <v>13</v>
      </c>
      <c r="G707" s="33">
        <f t="shared" si="22"/>
        <v>0</v>
      </c>
      <c r="H707" s="33">
        <f t="shared" si="22"/>
        <v>0</v>
      </c>
      <c r="I707" s="40">
        <f t="shared" si="21"/>
        <v>4.1230574056454168E-3</v>
      </c>
      <c r="J707" s="40">
        <f t="shared" si="21"/>
        <v>0</v>
      </c>
      <c r="K707" s="40">
        <f t="shared" si="21"/>
        <v>0</v>
      </c>
      <c r="L707" s="40">
        <f>1000*M707/VLOOKUP(D707,'Normalised Rates'!$A$7:$B$12,2,FALSE)</f>
        <v>4.1230574056454168E-3</v>
      </c>
      <c r="M707" s="34">
        <v>13</v>
      </c>
    </row>
    <row r="708" spans="1:13" ht="15" customHeight="1" x14ac:dyDescent="0.25">
      <c r="A708" s="30" t="s">
        <v>141</v>
      </c>
      <c r="B708" s="30" t="s">
        <v>69</v>
      </c>
      <c r="C708" s="9" t="s">
        <v>67</v>
      </c>
      <c r="D708" s="32">
        <v>2026</v>
      </c>
      <c r="E708" s="35" t="s">
        <v>163</v>
      </c>
      <c r="F708" s="33">
        <f t="shared" si="22"/>
        <v>6</v>
      </c>
      <c r="G708" s="33">
        <f t="shared" si="22"/>
        <v>0</v>
      </c>
      <c r="H708" s="33">
        <f t="shared" si="22"/>
        <v>0</v>
      </c>
      <c r="I708" s="40">
        <f t="shared" si="21"/>
        <v>4.5670789724072316E-3</v>
      </c>
      <c r="J708" s="40">
        <f t="shared" si="21"/>
        <v>0</v>
      </c>
      <c r="K708" s="40">
        <f t="shared" si="21"/>
        <v>0</v>
      </c>
      <c r="L708" s="40">
        <f>1000*M708/VLOOKUP(D708,'Normalised Rates'!$A$7:$B$12,2,FALSE)</f>
        <v>4.5670789724072316E-3</v>
      </c>
      <c r="M708" s="34">
        <v>6</v>
      </c>
    </row>
    <row r="709" spans="1:13" ht="15" customHeight="1" x14ac:dyDescent="0.25">
      <c r="A709" s="30" t="s">
        <v>141</v>
      </c>
      <c r="B709" s="30" t="s">
        <v>92</v>
      </c>
      <c r="C709" s="9" t="s">
        <v>84</v>
      </c>
      <c r="D709" s="32">
        <v>2021</v>
      </c>
      <c r="E709" s="33" t="s">
        <v>34</v>
      </c>
      <c r="F709" s="33">
        <f t="shared" si="22"/>
        <v>0</v>
      </c>
      <c r="G709" s="33">
        <f t="shared" si="22"/>
        <v>0</v>
      </c>
      <c r="H709" s="33">
        <f t="shared" si="22"/>
        <v>2</v>
      </c>
      <c r="I709" s="40">
        <f t="shared" si="21"/>
        <v>0</v>
      </c>
      <c r="J709" s="40">
        <f t="shared" si="21"/>
        <v>0</v>
      </c>
      <c r="K709" s="40">
        <f t="shared" si="21"/>
        <v>1.2547051442910915E-3</v>
      </c>
      <c r="L709" s="40">
        <f>1000*M709/VLOOKUP(D709,'Normalised Rates'!$A$7:$B$12,2,FALSE)</f>
        <v>1.2547051442910915E-3</v>
      </c>
      <c r="M709" s="34">
        <v>2</v>
      </c>
    </row>
    <row r="710" spans="1:13" ht="15" customHeight="1" x14ac:dyDescent="0.25">
      <c r="A710" s="30" t="s">
        <v>141</v>
      </c>
      <c r="B710" s="30" t="s">
        <v>92</v>
      </c>
      <c r="C710" s="9" t="s">
        <v>84</v>
      </c>
      <c r="D710" s="32">
        <v>2022</v>
      </c>
      <c r="E710" s="35" t="s">
        <v>163</v>
      </c>
      <c r="F710" s="33">
        <f t="shared" si="22"/>
        <v>2</v>
      </c>
      <c r="G710" s="33">
        <f t="shared" si="22"/>
        <v>0</v>
      </c>
      <c r="H710" s="33">
        <f t="shared" si="22"/>
        <v>0</v>
      </c>
      <c r="I710" s="40">
        <f t="shared" si="21"/>
        <v>1.0666666666666667E-3</v>
      </c>
      <c r="J710" s="40">
        <f t="shared" si="21"/>
        <v>0</v>
      </c>
      <c r="K710" s="40">
        <f t="shared" si="21"/>
        <v>0</v>
      </c>
      <c r="L710" s="40">
        <f>1000*M710/VLOOKUP(D710,'Normalised Rates'!$A$7:$B$12,2,FALSE)</f>
        <v>1.0666666666666667E-3</v>
      </c>
      <c r="M710" s="34">
        <v>2</v>
      </c>
    </row>
    <row r="711" spans="1:13" ht="15" customHeight="1" x14ac:dyDescent="0.25">
      <c r="A711" s="30" t="s">
        <v>141</v>
      </c>
      <c r="B711" s="30" t="s">
        <v>92</v>
      </c>
      <c r="C711" s="9" t="s">
        <v>84</v>
      </c>
      <c r="D711" s="32">
        <v>2023</v>
      </c>
      <c r="E711" s="35" t="s">
        <v>163</v>
      </c>
      <c r="F711" s="33">
        <f t="shared" si="22"/>
        <v>12</v>
      </c>
      <c r="G711" s="33">
        <f t="shared" si="22"/>
        <v>0</v>
      </c>
      <c r="H711" s="33">
        <f t="shared" si="22"/>
        <v>0</v>
      </c>
      <c r="I711" s="40">
        <f t="shared" ref="I711:K774" si="23">IF(_xlfn.CONCAT($E711,"%")=I$5,$L711,0)</f>
        <v>5.2493438320209973E-3</v>
      </c>
      <c r="J711" s="40">
        <f t="shared" si="23"/>
        <v>0</v>
      </c>
      <c r="K711" s="40">
        <f t="shared" si="23"/>
        <v>0</v>
      </c>
      <c r="L711" s="40">
        <f>1000*M711/VLOOKUP(D711,'Normalised Rates'!$A$7:$B$12,2,FALSE)</f>
        <v>5.2493438320209973E-3</v>
      </c>
      <c r="M711" s="34">
        <v>12</v>
      </c>
    </row>
    <row r="712" spans="1:13" ht="15" customHeight="1" x14ac:dyDescent="0.25">
      <c r="A712" s="30" t="s">
        <v>141</v>
      </c>
      <c r="B712" s="30" t="s">
        <v>92</v>
      </c>
      <c r="C712" s="9" t="s">
        <v>84</v>
      </c>
      <c r="D712" s="32">
        <v>2024</v>
      </c>
      <c r="E712" s="33" t="s">
        <v>34</v>
      </c>
      <c r="F712" s="33">
        <f t="shared" si="22"/>
        <v>0</v>
      </c>
      <c r="G712" s="33">
        <f t="shared" si="22"/>
        <v>0</v>
      </c>
      <c r="H712" s="33">
        <f t="shared" si="22"/>
        <v>1</v>
      </c>
      <c r="I712" s="40">
        <f t="shared" si="23"/>
        <v>0</v>
      </c>
      <c r="J712" s="40">
        <f t="shared" si="23"/>
        <v>0</v>
      </c>
      <c r="K712" s="40">
        <f t="shared" si="23"/>
        <v>3.7271710771524412E-4</v>
      </c>
      <c r="L712" s="40">
        <f>1000*M712/VLOOKUP(D712,'Normalised Rates'!$A$7:$B$12,2,FALSE)</f>
        <v>3.7271710771524412E-4</v>
      </c>
      <c r="M712" s="34">
        <v>1</v>
      </c>
    </row>
    <row r="713" spans="1:13" ht="15" customHeight="1" x14ac:dyDescent="0.25">
      <c r="A713" s="30" t="s">
        <v>141</v>
      </c>
      <c r="B713" s="30" t="s">
        <v>92</v>
      </c>
      <c r="C713" s="9" t="s">
        <v>84</v>
      </c>
      <c r="D713" s="32">
        <v>2024</v>
      </c>
      <c r="E713" s="35" t="s">
        <v>163</v>
      </c>
      <c r="F713" s="33">
        <f t="shared" ref="F713:H776" si="24">IF($E713=F$5,$M713,0)</f>
        <v>7</v>
      </c>
      <c r="G713" s="33">
        <f t="shared" si="24"/>
        <v>0</v>
      </c>
      <c r="H713" s="33">
        <f t="shared" si="24"/>
        <v>0</v>
      </c>
      <c r="I713" s="40">
        <f t="shared" si="23"/>
        <v>2.6090197540067088E-3</v>
      </c>
      <c r="J713" s="40">
        <f t="shared" si="23"/>
        <v>0</v>
      </c>
      <c r="K713" s="40">
        <f t="shared" si="23"/>
        <v>0</v>
      </c>
      <c r="L713" s="40">
        <f>1000*M713/VLOOKUP(D713,'Normalised Rates'!$A$7:$B$12,2,FALSE)</f>
        <v>2.6090197540067088E-3</v>
      </c>
      <c r="M713" s="34">
        <v>7</v>
      </c>
    </row>
    <row r="714" spans="1:13" ht="15" customHeight="1" x14ac:dyDescent="0.25">
      <c r="A714" s="30" t="s">
        <v>141</v>
      </c>
      <c r="B714" s="30" t="s">
        <v>92</v>
      </c>
      <c r="C714" s="9" t="s">
        <v>84</v>
      </c>
      <c r="D714" s="32">
        <v>2025</v>
      </c>
      <c r="E714" s="35" t="s">
        <v>163</v>
      </c>
      <c r="F714" s="33">
        <f t="shared" si="24"/>
        <v>21</v>
      </c>
      <c r="G714" s="33">
        <f t="shared" si="24"/>
        <v>0</v>
      </c>
      <c r="H714" s="33">
        <f t="shared" si="24"/>
        <v>0</v>
      </c>
      <c r="I714" s="40">
        <f t="shared" si="23"/>
        <v>6.6603235014272124E-3</v>
      </c>
      <c r="J714" s="40">
        <f t="shared" si="23"/>
        <v>0</v>
      </c>
      <c r="K714" s="40">
        <f t="shared" si="23"/>
        <v>0</v>
      </c>
      <c r="L714" s="40">
        <f>1000*M714/VLOOKUP(D714,'Normalised Rates'!$A$7:$B$12,2,FALSE)</f>
        <v>6.6603235014272124E-3</v>
      </c>
      <c r="M714" s="34">
        <v>21</v>
      </c>
    </row>
    <row r="715" spans="1:13" ht="15" customHeight="1" x14ac:dyDescent="0.25">
      <c r="A715" s="30" t="s">
        <v>141</v>
      </c>
      <c r="B715" s="30" t="s">
        <v>92</v>
      </c>
      <c r="C715" s="9" t="s">
        <v>84</v>
      </c>
      <c r="D715" s="32">
        <v>2026</v>
      </c>
      <c r="E715" s="35" t="s">
        <v>163</v>
      </c>
      <c r="F715" s="33">
        <f t="shared" si="24"/>
        <v>13</v>
      </c>
      <c r="G715" s="33">
        <f t="shared" si="24"/>
        <v>0</v>
      </c>
      <c r="H715" s="33">
        <f t="shared" si="24"/>
        <v>0</v>
      </c>
      <c r="I715" s="40">
        <f t="shared" si="23"/>
        <v>9.8953377735490015E-3</v>
      </c>
      <c r="J715" s="40">
        <f t="shared" si="23"/>
        <v>0</v>
      </c>
      <c r="K715" s="40">
        <f t="shared" si="23"/>
        <v>0</v>
      </c>
      <c r="L715" s="40">
        <f>1000*M715/VLOOKUP(D715,'Normalised Rates'!$A$7:$B$12,2,FALSE)</f>
        <v>9.8953377735490015E-3</v>
      </c>
      <c r="M715" s="34">
        <v>13</v>
      </c>
    </row>
    <row r="716" spans="1:13" ht="15" customHeight="1" x14ac:dyDescent="0.25">
      <c r="A716" s="30" t="s">
        <v>141</v>
      </c>
      <c r="B716" s="30" t="s">
        <v>113</v>
      </c>
      <c r="C716" s="9" t="s">
        <v>84</v>
      </c>
      <c r="D716" s="32">
        <v>2021</v>
      </c>
      <c r="E716" s="35" t="s">
        <v>163</v>
      </c>
      <c r="F716" s="33">
        <f t="shared" si="24"/>
        <v>6</v>
      </c>
      <c r="G716" s="33">
        <f t="shared" si="24"/>
        <v>0</v>
      </c>
      <c r="H716" s="33">
        <f t="shared" si="24"/>
        <v>0</v>
      </c>
      <c r="I716" s="40">
        <f t="shared" si="23"/>
        <v>3.7641154328732747E-3</v>
      </c>
      <c r="J716" s="40">
        <f t="shared" si="23"/>
        <v>0</v>
      </c>
      <c r="K716" s="40">
        <f t="shared" si="23"/>
        <v>0</v>
      </c>
      <c r="L716" s="40">
        <f>1000*M716/VLOOKUP(D716,'Normalised Rates'!$A$7:$B$12,2,FALSE)</f>
        <v>3.7641154328732747E-3</v>
      </c>
      <c r="M716" s="34">
        <v>6</v>
      </c>
    </row>
    <row r="717" spans="1:13" ht="15" customHeight="1" x14ac:dyDescent="0.25">
      <c r="A717" s="30" t="s">
        <v>141</v>
      </c>
      <c r="B717" s="30" t="s">
        <v>113</v>
      </c>
      <c r="C717" s="9" t="s">
        <v>84</v>
      </c>
      <c r="D717" s="32">
        <v>2022</v>
      </c>
      <c r="E717" s="35" t="s">
        <v>163</v>
      </c>
      <c r="F717" s="33">
        <f t="shared" si="24"/>
        <v>3</v>
      </c>
      <c r="G717" s="33">
        <f t="shared" si="24"/>
        <v>0</v>
      </c>
      <c r="H717" s="33">
        <f t="shared" si="24"/>
        <v>0</v>
      </c>
      <c r="I717" s="40">
        <f t="shared" si="23"/>
        <v>1.6000000000000001E-3</v>
      </c>
      <c r="J717" s="40">
        <f t="shared" si="23"/>
        <v>0</v>
      </c>
      <c r="K717" s="40">
        <f t="shared" si="23"/>
        <v>0</v>
      </c>
      <c r="L717" s="40">
        <f>1000*M717/VLOOKUP(D717,'Normalised Rates'!$A$7:$B$12,2,FALSE)</f>
        <v>1.6000000000000001E-3</v>
      </c>
      <c r="M717" s="34">
        <v>3</v>
      </c>
    </row>
    <row r="718" spans="1:13" ht="15" customHeight="1" x14ac:dyDescent="0.25">
      <c r="A718" s="30" t="s">
        <v>141</v>
      </c>
      <c r="B718" s="30" t="s">
        <v>113</v>
      </c>
      <c r="C718" s="9" t="s">
        <v>84</v>
      </c>
      <c r="D718" s="32">
        <v>2023</v>
      </c>
      <c r="E718" s="33" t="s">
        <v>34</v>
      </c>
      <c r="F718" s="33">
        <f t="shared" si="24"/>
        <v>0</v>
      </c>
      <c r="G718" s="33">
        <f t="shared" si="24"/>
        <v>0</v>
      </c>
      <c r="H718" s="33">
        <f t="shared" si="24"/>
        <v>1</v>
      </c>
      <c r="I718" s="40">
        <f t="shared" si="23"/>
        <v>0</v>
      </c>
      <c r="J718" s="40">
        <f t="shared" si="23"/>
        <v>0</v>
      </c>
      <c r="K718" s="40">
        <f t="shared" si="23"/>
        <v>4.3744531933508313E-4</v>
      </c>
      <c r="L718" s="40">
        <f>1000*M718/VLOOKUP(D718,'Normalised Rates'!$A$7:$B$12,2,FALSE)</f>
        <v>4.3744531933508313E-4</v>
      </c>
      <c r="M718" s="34">
        <v>1</v>
      </c>
    </row>
    <row r="719" spans="1:13" ht="15" customHeight="1" x14ac:dyDescent="0.25">
      <c r="A719" s="30" t="s">
        <v>141</v>
      </c>
      <c r="B719" s="30" t="s">
        <v>113</v>
      </c>
      <c r="C719" s="9" t="s">
        <v>84</v>
      </c>
      <c r="D719" s="32">
        <v>2023</v>
      </c>
      <c r="E719" s="35" t="s">
        <v>163</v>
      </c>
      <c r="F719" s="33">
        <f t="shared" si="24"/>
        <v>7</v>
      </c>
      <c r="G719" s="33">
        <f t="shared" si="24"/>
        <v>0</v>
      </c>
      <c r="H719" s="33">
        <f t="shared" si="24"/>
        <v>0</v>
      </c>
      <c r="I719" s="40">
        <f t="shared" si="23"/>
        <v>3.0621172353455816E-3</v>
      </c>
      <c r="J719" s="40">
        <f t="shared" si="23"/>
        <v>0</v>
      </c>
      <c r="K719" s="40">
        <f t="shared" si="23"/>
        <v>0</v>
      </c>
      <c r="L719" s="40">
        <f>1000*M719/VLOOKUP(D719,'Normalised Rates'!$A$7:$B$12,2,FALSE)</f>
        <v>3.0621172353455816E-3</v>
      </c>
      <c r="M719" s="34">
        <v>7</v>
      </c>
    </row>
    <row r="720" spans="1:13" ht="15" customHeight="1" x14ac:dyDescent="0.25">
      <c r="A720" s="30" t="s">
        <v>141</v>
      </c>
      <c r="B720" s="30" t="s">
        <v>113</v>
      </c>
      <c r="C720" s="9" t="s">
        <v>84</v>
      </c>
      <c r="D720" s="32">
        <v>2024</v>
      </c>
      <c r="E720" s="33" t="s">
        <v>34</v>
      </c>
      <c r="F720" s="33">
        <f t="shared" si="24"/>
        <v>0</v>
      </c>
      <c r="G720" s="33">
        <f t="shared" si="24"/>
        <v>0</v>
      </c>
      <c r="H720" s="33">
        <f t="shared" si="24"/>
        <v>2</v>
      </c>
      <c r="I720" s="40">
        <f t="shared" si="23"/>
        <v>0</v>
      </c>
      <c r="J720" s="40">
        <f t="shared" si="23"/>
        <v>0</v>
      </c>
      <c r="K720" s="40">
        <f t="shared" si="23"/>
        <v>7.4543421543048823E-4</v>
      </c>
      <c r="L720" s="40">
        <f>1000*M720/VLOOKUP(D720,'Normalised Rates'!$A$7:$B$12,2,FALSE)</f>
        <v>7.4543421543048823E-4</v>
      </c>
      <c r="M720" s="34">
        <v>2</v>
      </c>
    </row>
    <row r="721" spans="1:13" ht="15" customHeight="1" x14ac:dyDescent="0.25">
      <c r="A721" s="30" t="s">
        <v>141</v>
      </c>
      <c r="B721" s="30" t="s">
        <v>113</v>
      </c>
      <c r="C721" s="9" t="s">
        <v>84</v>
      </c>
      <c r="D721" s="32">
        <v>2024</v>
      </c>
      <c r="E721" s="35" t="s">
        <v>163</v>
      </c>
      <c r="F721" s="33">
        <f t="shared" si="24"/>
        <v>15</v>
      </c>
      <c r="G721" s="33">
        <f t="shared" si="24"/>
        <v>0</v>
      </c>
      <c r="H721" s="33">
        <f t="shared" si="24"/>
        <v>0</v>
      </c>
      <c r="I721" s="40">
        <f t="shared" si="23"/>
        <v>5.5907566157286622E-3</v>
      </c>
      <c r="J721" s="40">
        <f t="shared" si="23"/>
        <v>0</v>
      </c>
      <c r="K721" s="40">
        <f t="shared" si="23"/>
        <v>0</v>
      </c>
      <c r="L721" s="40">
        <f>1000*M721/VLOOKUP(D721,'Normalised Rates'!$A$7:$B$12,2,FALSE)</f>
        <v>5.5907566157286622E-3</v>
      </c>
      <c r="M721" s="34">
        <v>15</v>
      </c>
    </row>
    <row r="722" spans="1:13" ht="15" customHeight="1" x14ac:dyDescent="0.25">
      <c r="A722" s="30" t="s">
        <v>141</v>
      </c>
      <c r="B722" s="30" t="s">
        <v>113</v>
      </c>
      <c r="C722" s="9" t="s">
        <v>84</v>
      </c>
      <c r="D722" s="32">
        <v>2025</v>
      </c>
      <c r="E722" s="33" t="s">
        <v>34</v>
      </c>
      <c r="F722" s="33">
        <f t="shared" si="24"/>
        <v>0</v>
      </c>
      <c r="G722" s="33">
        <f t="shared" si="24"/>
        <v>0</v>
      </c>
      <c r="H722" s="33">
        <f t="shared" si="24"/>
        <v>2</v>
      </c>
      <c r="I722" s="40">
        <f t="shared" si="23"/>
        <v>0</v>
      </c>
      <c r="J722" s="40">
        <f t="shared" si="23"/>
        <v>0</v>
      </c>
      <c r="K722" s="40">
        <f t="shared" si="23"/>
        <v>6.3431652394544877E-4</v>
      </c>
      <c r="L722" s="40">
        <f>1000*M722/VLOOKUP(D722,'Normalised Rates'!$A$7:$B$12,2,FALSE)</f>
        <v>6.3431652394544877E-4</v>
      </c>
      <c r="M722" s="34">
        <v>2</v>
      </c>
    </row>
    <row r="723" spans="1:13" ht="15" customHeight="1" x14ac:dyDescent="0.25">
      <c r="A723" s="30" t="s">
        <v>141</v>
      </c>
      <c r="B723" s="30" t="s">
        <v>113</v>
      </c>
      <c r="C723" s="9" t="s">
        <v>84</v>
      </c>
      <c r="D723" s="32">
        <v>2025</v>
      </c>
      <c r="E723" s="35" t="s">
        <v>163</v>
      </c>
      <c r="F723" s="33">
        <f t="shared" si="24"/>
        <v>8</v>
      </c>
      <c r="G723" s="33">
        <f t="shared" si="24"/>
        <v>0</v>
      </c>
      <c r="H723" s="33">
        <f t="shared" si="24"/>
        <v>0</v>
      </c>
      <c r="I723" s="40">
        <f t="shared" si="23"/>
        <v>2.5372660957817951E-3</v>
      </c>
      <c r="J723" s="40">
        <f t="shared" si="23"/>
        <v>0</v>
      </c>
      <c r="K723" s="40">
        <f t="shared" si="23"/>
        <v>0</v>
      </c>
      <c r="L723" s="40">
        <f>1000*M723/VLOOKUP(D723,'Normalised Rates'!$A$7:$B$12,2,FALSE)</f>
        <v>2.5372660957817951E-3</v>
      </c>
      <c r="M723" s="34">
        <v>8</v>
      </c>
    </row>
    <row r="724" spans="1:13" ht="15" customHeight="1" x14ac:dyDescent="0.25">
      <c r="A724" s="30" t="s">
        <v>141</v>
      </c>
      <c r="B724" s="30" t="s">
        <v>113</v>
      </c>
      <c r="C724" s="9" t="s">
        <v>84</v>
      </c>
      <c r="D724" s="32">
        <v>2026</v>
      </c>
      <c r="E724" s="35" t="s">
        <v>163</v>
      </c>
      <c r="F724" s="33">
        <f t="shared" si="24"/>
        <v>3</v>
      </c>
      <c r="G724" s="33">
        <f t="shared" si="24"/>
        <v>0</v>
      </c>
      <c r="H724" s="33">
        <f t="shared" si="24"/>
        <v>0</v>
      </c>
      <c r="I724" s="40">
        <f t="shared" si="23"/>
        <v>2.2835394862036158E-3</v>
      </c>
      <c r="J724" s="40">
        <f t="shared" si="23"/>
        <v>0</v>
      </c>
      <c r="K724" s="40">
        <f t="shared" si="23"/>
        <v>0</v>
      </c>
      <c r="L724" s="40">
        <f>1000*M724/VLOOKUP(D724,'Normalised Rates'!$A$7:$B$12,2,FALSE)</f>
        <v>2.2835394862036158E-3</v>
      </c>
      <c r="M724" s="34">
        <v>3</v>
      </c>
    </row>
    <row r="725" spans="1:13" ht="15" customHeight="1" x14ac:dyDescent="0.25">
      <c r="A725" s="30" t="s">
        <v>141</v>
      </c>
      <c r="B725" s="30" t="s">
        <v>104</v>
      </c>
      <c r="C725" s="9" t="s">
        <v>105</v>
      </c>
      <c r="D725" s="32">
        <v>2023</v>
      </c>
      <c r="E725" s="33" t="s">
        <v>34</v>
      </c>
      <c r="F725" s="33">
        <f t="shared" si="24"/>
        <v>0</v>
      </c>
      <c r="G725" s="33">
        <f t="shared" si="24"/>
        <v>0</v>
      </c>
      <c r="H725" s="33">
        <f t="shared" si="24"/>
        <v>1</v>
      </c>
      <c r="I725" s="40">
        <f t="shared" si="23"/>
        <v>0</v>
      </c>
      <c r="J725" s="40">
        <f t="shared" si="23"/>
        <v>0</v>
      </c>
      <c r="K725" s="40">
        <f t="shared" si="23"/>
        <v>4.3744531933508313E-4</v>
      </c>
      <c r="L725" s="40">
        <f>1000*M725/VLOOKUP(D725,'Normalised Rates'!$A$7:$B$12,2,FALSE)</f>
        <v>4.3744531933508313E-4</v>
      </c>
      <c r="M725" s="34">
        <v>1</v>
      </c>
    </row>
    <row r="726" spans="1:13" ht="15" customHeight="1" x14ac:dyDescent="0.25">
      <c r="A726" s="30" t="s">
        <v>141</v>
      </c>
      <c r="B726" s="30" t="s">
        <v>104</v>
      </c>
      <c r="C726" s="9" t="s">
        <v>105</v>
      </c>
      <c r="D726" s="32">
        <v>2023</v>
      </c>
      <c r="E726" s="35" t="s">
        <v>163</v>
      </c>
      <c r="F726" s="33">
        <f t="shared" si="24"/>
        <v>7</v>
      </c>
      <c r="G726" s="33">
        <f t="shared" si="24"/>
        <v>0</v>
      </c>
      <c r="H726" s="33">
        <f t="shared" si="24"/>
        <v>0</v>
      </c>
      <c r="I726" s="40">
        <f t="shared" si="23"/>
        <v>3.0621172353455816E-3</v>
      </c>
      <c r="J726" s="40">
        <f t="shared" si="23"/>
        <v>0</v>
      </c>
      <c r="K726" s="40">
        <f t="shared" si="23"/>
        <v>0</v>
      </c>
      <c r="L726" s="40">
        <f>1000*M726/VLOOKUP(D726,'Normalised Rates'!$A$7:$B$12,2,FALSE)</f>
        <v>3.0621172353455816E-3</v>
      </c>
      <c r="M726" s="34">
        <v>7</v>
      </c>
    </row>
    <row r="727" spans="1:13" ht="15" customHeight="1" x14ac:dyDescent="0.25">
      <c r="A727" s="30" t="s">
        <v>141</v>
      </c>
      <c r="B727" s="30" t="s">
        <v>104</v>
      </c>
      <c r="C727" s="9" t="s">
        <v>105</v>
      </c>
      <c r="D727" s="32">
        <v>2024</v>
      </c>
      <c r="E727" s="35" t="s">
        <v>163</v>
      </c>
      <c r="F727" s="33">
        <f t="shared" si="24"/>
        <v>10</v>
      </c>
      <c r="G727" s="33">
        <f t="shared" si="24"/>
        <v>0</v>
      </c>
      <c r="H727" s="33">
        <f t="shared" si="24"/>
        <v>0</v>
      </c>
      <c r="I727" s="40">
        <f t="shared" si="23"/>
        <v>3.7271710771524412E-3</v>
      </c>
      <c r="J727" s="40">
        <f t="shared" si="23"/>
        <v>0</v>
      </c>
      <c r="K727" s="40">
        <f t="shared" si="23"/>
        <v>0</v>
      </c>
      <c r="L727" s="40">
        <f>1000*M727/VLOOKUP(D727,'Normalised Rates'!$A$7:$B$12,2,FALSE)</f>
        <v>3.7271710771524412E-3</v>
      </c>
      <c r="M727" s="34">
        <v>10</v>
      </c>
    </row>
    <row r="728" spans="1:13" ht="15" customHeight="1" x14ac:dyDescent="0.25">
      <c r="A728" s="30" t="s">
        <v>141</v>
      </c>
      <c r="B728" s="30" t="s">
        <v>104</v>
      </c>
      <c r="C728" s="9" t="s">
        <v>105</v>
      </c>
      <c r="D728" s="32">
        <v>2025</v>
      </c>
      <c r="E728" s="35" t="s">
        <v>163</v>
      </c>
      <c r="F728" s="33">
        <f t="shared" si="24"/>
        <v>19</v>
      </c>
      <c r="G728" s="33">
        <f t="shared" si="24"/>
        <v>0</v>
      </c>
      <c r="H728" s="33">
        <f t="shared" si="24"/>
        <v>0</v>
      </c>
      <c r="I728" s="40">
        <f t="shared" si="23"/>
        <v>6.0260069774817635E-3</v>
      </c>
      <c r="J728" s="40">
        <f t="shared" si="23"/>
        <v>0</v>
      </c>
      <c r="K728" s="40">
        <f t="shared" si="23"/>
        <v>0</v>
      </c>
      <c r="L728" s="40">
        <f>1000*M728/VLOOKUP(D728,'Normalised Rates'!$A$7:$B$12,2,FALSE)</f>
        <v>6.0260069774817635E-3</v>
      </c>
      <c r="M728" s="34">
        <v>19</v>
      </c>
    </row>
    <row r="729" spans="1:13" ht="15" customHeight="1" x14ac:dyDescent="0.25">
      <c r="A729" s="30" t="s">
        <v>141</v>
      </c>
      <c r="B729" s="30" t="s">
        <v>104</v>
      </c>
      <c r="C729" s="9" t="s">
        <v>105</v>
      </c>
      <c r="D729" s="32">
        <v>2026</v>
      </c>
      <c r="E729" s="33" t="s">
        <v>34</v>
      </c>
      <c r="F729" s="33">
        <f t="shared" si="24"/>
        <v>0</v>
      </c>
      <c r="G729" s="33">
        <f t="shared" si="24"/>
        <v>0</v>
      </c>
      <c r="H729" s="33">
        <f t="shared" si="24"/>
        <v>1</v>
      </c>
      <c r="I729" s="40">
        <f t="shared" si="23"/>
        <v>0</v>
      </c>
      <c r="J729" s="40">
        <f t="shared" si="23"/>
        <v>0</v>
      </c>
      <c r="K729" s="40">
        <f t="shared" si="23"/>
        <v>7.6117982873453852E-4</v>
      </c>
      <c r="L729" s="40">
        <f>1000*M729/VLOOKUP(D729,'Normalised Rates'!$A$7:$B$12,2,FALSE)</f>
        <v>7.6117982873453852E-4</v>
      </c>
      <c r="M729" s="34">
        <v>1</v>
      </c>
    </row>
    <row r="730" spans="1:13" ht="15" customHeight="1" x14ac:dyDescent="0.25">
      <c r="A730" s="30" t="s">
        <v>141</v>
      </c>
      <c r="B730" s="30" t="s">
        <v>104</v>
      </c>
      <c r="C730" s="9" t="s">
        <v>105</v>
      </c>
      <c r="D730" s="32">
        <v>2026</v>
      </c>
      <c r="E730" s="35" t="s">
        <v>163</v>
      </c>
      <c r="F730" s="33">
        <f t="shared" si="24"/>
        <v>5</v>
      </c>
      <c r="G730" s="33">
        <f t="shared" si="24"/>
        <v>0</v>
      </c>
      <c r="H730" s="33">
        <f t="shared" si="24"/>
        <v>0</v>
      </c>
      <c r="I730" s="40">
        <f t="shared" si="23"/>
        <v>3.8058991436726928E-3</v>
      </c>
      <c r="J730" s="40">
        <f t="shared" si="23"/>
        <v>0</v>
      </c>
      <c r="K730" s="40">
        <f t="shared" si="23"/>
        <v>0</v>
      </c>
      <c r="L730" s="40">
        <f>1000*M730/VLOOKUP(D730,'Normalised Rates'!$A$7:$B$12,2,FALSE)</f>
        <v>3.8058991436726928E-3</v>
      </c>
      <c r="M730" s="34">
        <v>5</v>
      </c>
    </row>
    <row r="731" spans="1:13" ht="15" customHeight="1" x14ac:dyDescent="0.25">
      <c r="A731" s="30" t="s">
        <v>141</v>
      </c>
      <c r="B731" s="30" t="s">
        <v>96</v>
      </c>
      <c r="C731" s="9" t="s">
        <v>67</v>
      </c>
      <c r="D731" s="32">
        <v>2023</v>
      </c>
      <c r="E731" s="33" t="s">
        <v>34</v>
      </c>
      <c r="F731" s="33">
        <f t="shared" si="24"/>
        <v>0</v>
      </c>
      <c r="G731" s="33">
        <f t="shared" si="24"/>
        <v>0</v>
      </c>
      <c r="H731" s="33">
        <f t="shared" si="24"/>
        <v>1</v>
      </c>
      <c r="I731" s="40">
        <f t="shared" si="23"/>
        <v>0</v>
      </c>
      <c r="J731" s="40">
        <f t="shared" si="23"/>
        <v>0</v>
      </c>
      <c r="K731" s="40">
        <f t="shared" si="23"/>
        <v>4.3744531933508313E-4</v>
      </c>
      <c r="L731" s="40">
        <f>1000*M731/VLOOKUP(D731,'Normalised Rates'!$A$7:$B$12,2,FALSE)</f>
        <v>4.3744531933508313E-4</v>
      </c>
      <c r="M731" s="34">
        <v>1</v>
      </c>
    </row>
    <row r="732" spans="1:13" ht="15" customHeight="1" x14ac:dyDescent="0.25">
      <c r="A732" s="30" t="s">
        <v>141</v>
      </c>
      <c r="B732" s="30" t="s">
        <v>96</v>
      </c>
      <c r="C732" s="9" t="s">
        <v>67</v>
      </c>
      <c r="D732" s="32">
        <v>2023</v>
      </c>
      <c r="E732" s="35" t="s">
        <v>163</v>
      </c>
      <c r="F732" s="33">
        <f t="shared" si="24"/>
        <v>3</v>
      </c>
      <c r="G732" s="33">
        <f t="shared" si="24"/>
        <v>0</v>
      </c>
      <c r="H732" s="33">
        <f t="shared" si="24"/>
        <v>0</v>
      </c>
      <c r="I732" s="40">
        <f t="shared" si="23"/>
        <v>1.3123359580052493E-3</v>
      </c>
      <c r="J732" s="40">
        <f t="shared" si="23"/>
        <v>0</v>
      </c>
      <c r="K732" s="40">
        <f t="shared" si="23"/>
        <v>0</v>
      </c>
      <c r="L732" s="40">
        <f>1000*M732/VLOOKUP(D732,'Normalised Rates'!$A$7:$B$12,2,FALSE)</f>
        <v>1.3123359580052493E-3</v>
      </c>
      <c r="M732" s="34">
        <v>3</v>
      </c>
    </row>
    <row r="733" spans="1:13" ht="15" customHeight="1" x14ac:dyDescent="0.25">
      <c r="A733" s="30" t="s">
        <v>141</v>
      </c>
      <c r="B733" s="30" t="s">
        <v>96</v>
      </c>
      <c r="C733" s="9" t="s">
        <v>67</v>
      </c>
      <c r="D733" s="32">
        <v>2024</v>
      </c>
      <c r="E733" s="33" t="s">
        <v>34</v>
      </c>
      <c r="F733" s="33">
        <f t="shared" si="24"/>
        <v>0</v>
      </c>
      <c r="G733" s="33">
        <f t="shared" si="24"/>
        <v>0</v>
      </c>
      <c r="H733" s="33">
        <f t="shared" si="24"/>
        <v>3</v>
      </c>
      <c r="I733" s="40">
        <f t="shared" si="23"/>
        <v>0</v>
      </c>
      <c r="J733" s="40">
        <f t="shared" si="23"/>
        <v>0</v>
      </c>
      <c r="K733" s="40">
        <f t="shared" si="23"/>
        <v>1.1181513231457323E-3</v>
      </c>
      <c r="L733" s="40">
        <f>1000*M733/VLOOKUP(D733,'Normalised Rates'!$A$7:$B$12,2,FALSE)</f>
        <v>1.1181513231457323E-3</v>
      </c>
      <c r="M733" s="34">
        <v>3</v>
      </c>
    </row>
    <row r="734" spans="1:13" ht="15" customHeight="1" x14ac:dyDescent="0.25">
      <c r="A734" s="30" t="s">
        <v>141</v>
      </c>
      <c r="B734" s="30" t="s">
        <v>96</v>
      </c>
      <c r="C734" s="9" t="s">
        <v>67</v>
      </c>
      <c r="D734" s="32">
        <v>2024</v>
      </c>
      <c r="E734" s="35" t="s">
        <v>163</v>
      </c>
      <c r="F734" s="33">
        <f t="shared" si="24"/>
        <v>8</v>
      </c>
      <c r="G734" s="33">
        <f t="shared" si="24"/>
        <v>0</v>
      </c>
      <c r="H734" s="33">
        <f t="shared" si="24"/>
        <v>0</v>
      </c>
      <c r="I734" s="40">
        <f t="shared" si="23"/>
        <v>2.9817368617219529E-3</v>
      </c>
      <c r="J734" s="40">
        <f t="shared" si="23"/>
        <v>0</v>
      </c>
      <c r="K734" s="40">
        <f t="shared" si="23"/>
        <v>0</v>
      </c>
      <c r="L734" s="40">
        <f>1000*M734/VLOOKUP(D734,'Normalised Rates'!$A$7:$B$12,2,FALSE)</f>
        <v>2.9817368617219529E-3</v>
      </c>
      <c r="M734" s="34">
        <v>8</v>
      </c>
    </row>
    <row r="735" spans="1:13" ht="15" customHeight="1" x14ac:dyDescent="0.25">
      <c r="A735" s="30" t="s">
        <v>141</v>
      </c>
      <c r="B735" s="30" t="s">
        <v>96</v>
      </c>
      <c r="C735" s="9" t="s">
        <v>67</v>
      </c>
      <c r="D735" s="32">
        <v>2025</v>
      </c>
      <c r="E735" s="33" t="s">
        <v>34</v>
      </c>
      <c r="F735" s="33">
        <f t="shared" si="24"/>
        <v>0</v>
      </c>
      <c r="G735" s="33">
        <f t="shared" si="24"/>
        <v>0</v>
      </c>
      <c r="H735" s="33">
        <f t="shared" si="24"/>
        <v>1</v>
      </c>
      <c r="I735" s="40">
        <f t="shared" si="23"/>
        <v>0</v>
      </c>
      <c r="J735" s="40">
        <f t="shared" si="23"/>
        <v>0</v>
      </c>
      <c r="K735" s="40">
        <f t="shared" si="23"/>
        <v>3.1715826197272439E-4</v>
      </c>
      <c r="L735" s="40">
        <f>1000*M735/VLOOKUP(D735,'Normalised Rates'!$A$7:$B$12,2,FALSE)</f>
        <v>3.1715826197272439E-4</v>
      </c>
      <c r="M735" s="34">
        <v>1</v>
      </c>
    </row>
    <row r="736" spans="1:13" ht="15" customHeight="1" x14ac:dyDescent="0.25">
      <c r="A736" s="30" t="s">
        <v>141</v>
      </c>
      <c r="B736" s="30" t="s">
        <v>96</v>
      </c>
      <c r="C736" s="9" t="s">
        <v>67</v>
      </c>
      <c r="D736" s="32">
        <v>2025</v>
      </c>
      <c r="E736" s="35" t="s">
        <v>163</v>
      </c>
      <c r="F736" s="33">
        <f t="shared" si="24"/>
        <v>20</v>
      </c>
      <c r="G736" s="33">
        <f t="shared" si="24"/>
        <v>0</v>
      </c>
      <c r="H736" s="33">
        <f t="shared" si="24"/>
        <v>0</v>
      </c>
      <c r="I736" s="40">
        <f t="shared" si="23"/>
        <v>6.3431652394544879E-3</v>
      </c>
      <c r="J736" s="40">
        <f t="shared" si="23"/>
        <v>0</v>
      </c>
      <c r="K736" s="40">
        <f t="shared" si="23"/>
        <v>0</v>
      </c>
      <c r="L736" s="40">
        <f>1000*M736/VLOOKUP(D736,'Normalised Rates'!$A$7:$B$12,2,FALSE)</f>
        <v>6.3431652394544879E-3</v>
      </c>
      <c r="M736" s="34">
        <v>20</v>
      </c>
    </row>
    <row r="737" spans="1:13" ht="15" customHeight="1" x14ac:dyDescent="0.25">
      <c r="A737" s="30" t="s">
        <v>141</v>
      </c>
      <c r="B737" s="30" t="s">
        <v>96</v>
      </c>
      <c r="C737" s="9" t="s">
        <v>67</v>
      </c>
      <c r="D737" s="32">
        <v>2026</v>
      </c>
      <c r="E737" s="35" t="s">
        <v>163</v>
      </c>
      <c r="F737" s="33">
        <f t="shared" si="24"/>
        <v>7</v>
      </c>
      <c r="G737" s="33">
        <f t="shared" si="24"/>
        <v>0</v>
      </c>
      <c r="H737" s="33">
        <f t="shared" si="24"/>
        <v>0</v>
      </c>
      <c r="I737" s="40">
        <f t="shared" si="23"/>
        <v>5.3282588011417699E-3</v>
      </c>
      <c r="J737" s="40">
        <f t="shared" si="23"/>
        <v>0</v>
      </c>
      <c r="K737" s="40">
        <f t="shared" si="23"/>
        <v>0</v>
      </c>
      <c r="L737" s="40">
        <f>1000*M737/VLOOKUP(D737,'Normalised Rates'!$A$7:$B$12,2,FALSE)</f>
        <v>5.3282588011417699E-3</v>
      </c>
      <c r="M737" s="34">
        <v>7</v>
      </c>
    </row>
    <row r="738" spans="1:13" ht="15" customHeight="1" x14ac:dyDescent="0.25">
      <c r="A738" s="30" t="s">
        <v>141</v>
      </c>
      <c r="B738" s="30" t="s">
        <v>115</v>
      </c>
      <c r="C738" s="9" t="s">
        <v>84</v>
      </c>
      <c r="D738" s="32">
        <v>2021</v>
      </c>
      <c r="E738" s="35" t="s">
        <v>163</v>
      </c>
      <c r="F738" s="33">
        <f t="shared" si="24"/>
        <v>8</v>
      </c>
      <c r="G738" s="33">
        <f t="shared" si="24"/>
        <v>0</v>
      </c>
      <c r="H738" s="33">
        <f t="shared" si="24"/>
        <v>0</v>
      </c>
      <c r="I738" s="40">
        <f t="shared" si="23"/>
        <v>5.018820577164366E-3</v>
      </c>
      <c r="J738" s="40">
        <f t="shared" si="23"/>
        <v>0</v>
      </c>
      <c r="K738" s="40">
        <f t="shared" si="23"/>
        <v>0</v>
      </c>
      <c r="L738" s="40">
        <f>1000*M738/VLOOKUP(D738,'Normalised Rates'!$A$7:$B$12,2,FALSE)</f>
        <v>5.018820577164366E-3</v>
      </c>
      <c r="M738" s="34">
        <v>8</v>
      </c>
    </row>
    <row r="739" spans="1:13" ht="15" customHeight="1" x14ac:dyDescent="0.25">
      <c r="A739" s="30" t="s">
        <v>141</v>
      </c>
      <c r="B739" s="30" t="s">
        <v>115</v>
      </c>
      <c r="C739" s="9" t="s">
        <v>84</v>
      </c>
      <c r="D739" s="32">
        <v>2023</v>
      </c>
      <c r="E739" s="35" t="s">
        <v>163</v>
      </c>
      <c r="F739" s="33">
        <f t="shared" si="24"/>
        <v>6</v>
      </c>
      <c r="G739" s="33">
        <f t="shared" si="24"/>
        <v>0</v>
      </c>
      <c r="H739" s="33">
        <f t="shared" si="24"/>
        <v>0</v>
      </c>
      <c r="I739" s="40">
        <f t="shared" si="23"/>
        <v>2.6246719160104987E-3</v>
      </c>
      <c r="J739" s="40">
        <f t="shared" si="23"/>
        <v>0</v>
      </c>
      <c r="K739" s="40">
        <f t="shared" si="23"/>
        <v>0</v>
      </c>
      <c r="L739" s="40">
        <f>1000*M739/VLOOKUP(D739,'Normalised Rates'!$A$7:$B$12,2,FALSE)</f>
        <v>2.6246719160104987E-3</v>
      </c>
      <c r="M739" s="34">
        <v>6</v>
      </c>
    </row>
    <row r="740" spans="1:13" ht="15" customHeight="1" x14ac:dyDescent="0.25">
      <c r="A740" s="30" t="s">
        <v>141</v>
      </c>
      <c r="B740" s="30" t="s">
        <v>115</v>
      </c>
      <c r="C740" s="9" t="s">
        <v>84</v>
      </c>
      <c r="D740" s="32">
        <v>2024</v>
      </c>
      <c r="E740" s="33" t="s">
        <v>34</v>
      </c>
      <c r="F740" s="33">
        <f t="shared" si="24"/>
        <v>0</v>
      </c>
      <c r="G740" s="33">
        <f t="shared" si="24"/>
        <v>0</v>
      </c>
      <c r="H740" s="33">
        <f t="shared" si="24"/>
        <v>1</v>
      </c>
      <c r="I740" s="40">
        <f t="shared" si="23"/>
        <v>0</v>
      </c>
      <c r="J740" s="40">
        <f t="shared" si="23"/>
        <v>0</v>
      </c>
      <c r="K740" s="40">
        <f t="shared" si="23"/>
        <v>3.7271710771524412E-4</v>
      </c>
      <c r="L740" s="40">
        <f>1000*M740/VLOOKUP(D740,'Normalised Rates'!$A$7:$B$12,2,FALSE)</f>
        <v>3.7271710771524412E-4</v>
      </c>
      <c r="M740" s="34">
        <v>1</v>
      </c>
    </row>
    <row r="741" spans="1:13" ht="15" customHeight="1" x14ac:dyDescent="0.25">
      <c r="A741" s="30" t="s">
        <v>141</v>
      </c>
      <c r="B741" s="30" t="s">
        <v>115</v>
      </c>
      <c r="C741" s="9" t="s">
        <v>84</v>
      </c>
      <c r="D741" s="32">
        <v>2024</v>
      </c>
      <c r="E741" s="35" t="s">
        <v>163</v>
      </c>
      <c r="F741" s="33">
        <f t="shared" si="24"/>
        <v>11</v>
      </c>
      <c r="G741" s="33">
        <f t="shared" si="24"/>
        <v>0</v>
      </c>
      <c r="H741" s="33">
        <f t="shared" si="24"/>
        <v>0</v>
      </c>
      <c r="I741" s="40">
        <f t="shared" si="23"/>
        <v>4.0998881848676857E-3</v>
      </c>
      <c r="J741" s="40">
        <f t="shared" si="23"/>
        <v>0</v>
      </c>
      <c r="K741" s="40">
        <f t="shared" si="23"/>
        <v>0</v>
      </c>
      <c r="L741" s="40">
        <f>1000*M741/VLOOKUP(D741,'Normalised Rates'!$A$7:$B$12,2,FALSE)</f>
        <v>4.0998881848676857E-3</v>
      </c>
      <c r="M741" s="34">
        <v>11</v>
      </c>
    </row>
    <row r="742" spans="1:13" ht="15" customHeight="1" x14ac:dyDescent="0.25">
      <c r="A742" s="30" t="s">
        <v>141</v>
      </c>
      <c r="B742" s="30" t="s">
        <v>115</v>
      </c>
      <c r="C742" s="9" t="s">
        <v>84</v>
      </c>
      <c r="D742" s="32">
        <v>2025</v>
      </c>
      <c r="E742" s="35" t="s">
        <v>163</v>
      </c>
      <c r="F742" s="33">
        <f t="shared" si="24"/>
        <v>9</v>
      </c>
      <c r="G742" s="33">
        <f t="shared" si="24"/>
        <v>0</v>
      </c>
      <c r="H742" s="33">
        <f t="shared" si="24"/>
        <v>0</v>
      </c>
      <c r="I742" s="40">
        <f t="shared" si="23"/>
        <v>2.8544243577545195E-3</v>
      </c>
      <c r="J742" s="40">
        <f t="shared" si="23"/>
        <v>0</v>
      </c>
      <c r="K742" s="40">
        <f t="shared" si="23"/>
        <v>0</v>
      </c>
      <c r="L742" s="40">
        <f>1000*M742/VLOOKUP(D742,'Normalised Rates'!$A$7:$B$12,2,FALSE)</f>
        <v>2.8544243577545195E-3</v>
      </c>
      <c r="M742" s="34">
        <v>9</v>
      </c>
    </row>
    <row r="743" spans="1:13" ht="15" customHeight="1" x14ac:dyDescent="0.25">
      <c r="A743" s="30" t="s">
        <v>141</v>
      </c>
      <c r="B743" s="30" t="s">
        <v>79</v>
      </c>
      <c r="C743" s="9" t="s">
        <v>67</v>
      </c>
      <c r="D743" s="32">
        <v>2022</v>
      </c>
      <c r="E743" s="35" t="s">
        <v>163</v>
      </c>
      <c r="F743" s="33">
        <f t="shared" si="24"/>
        <v>1</v>
      </c>
      <c r="G743" s="33">
        <f t="shared" si="24"/>
        <v>0</v>
      </c>
      <c r="H743" s="33">
        <f t="shared" si="24"/>
        <v>0</v>
      </c>
      <c r="I743" s="40">
        <f t="shared" si="23"/>
        <v>5.3333333333333336E-4</v>
      </c>
      <c r="J743" s="40">
        <f t="shared" si="23"/>
        <v>0</v>
      </c>
      <c r="K743" s="40">
        <f t="shared" si="23"/>
        <v>0</v>
      </c>
      <c r="L743" s="40">
        <f>1000*M743/VLOOKUP(D743,'Normalised Rates'!$A$7:$B$12,2,FALSE)</f>
        <v>5.3333333333333336E-4</v>
      </c>
      <c r="M743" s="34">
        <v>1</v>
      </c>
    </row>
    <row r="744" spans="1:13" ht="15" customHeight="1" x14ac:dyDescent="0.25">
      <c r="A744" s="30" t="s">
        <v>141</v>
      </c>
      <c r="B744" s="30" t="s">
        <v>79</v>
      </c>
      <c r="C744" s="9" t="s">
        <v>67</v>
      </c>
      <c r="D744" s="32">
        <v>2023</v>
      </c>
      <c r="E744" s="35" t="s">
        <v>163</v>
      </c>
      <c r="F744" s="33">
        <f t="shared" si="24"/>
        <v>5</v>
      </c>
      <c r="G744" s="33">
        <f t="shared" si="24"/>
        <v>0</v>
      </c>
      <c r="H744" s="33">
        <f t="shared" si="24"/>
        <v>0</v>
      </c>
      <c r="I744" s="40">
        <f t="shared" si="23"/>
        <v>2.1872265966754157E-3</v>
      </c>
      <c r="J744" s="40">
        <f t="shared" si="23"/>
        <v>0</v>
      </c>
      <c r="K744" s="40">
        <f t="shared" si="23"/>
        <v>0</v>
      </c>
      <c r="L744" s="40">
        <f>1000*M744/VLOOKUP(D744,'Normalised Rates'!$A$7:$B$12,2,FALSE)</f>
        <v>2.1872265966754157E-3</v>
      </c>
      <c r="M744" s="34">
        <v>5</v>
      </c>
    </row>
    <row r="745" spans="1:13" ht="15" customHeight="1" x14ac:dyDescent="0.25">
      <c r="A745" s="30" t="s">
        <v>141</v>
      </c>
      <c r="B745" s="30" t="s">
        <v>79</v>
      </c>
      <c r="C745" s="9" t="s">
        <v>67</v>
      </c>
      <c r="D745" s="32">
        <v>2024</v>
      </c>
      <c r="E745" s="35" t="s">
        <v>163</v>
      </c>
      <c r="F745" s="33">
        <f t="shared" si="24"/>
        <v>10</v>
      </c>
      <c r="G745" s="33">
        <f t="shared" si="24"/>
        <v>0</v>
      </c>
      <c r="H745" s="33">
        <f t="shared" si="24"/>
        <v>0</v>
      </c>
      <c r="I745" s="40">
        <f t="shared" si="23"/>
        <v>3.7271710771524412E-3</v>
      </c>
      <c r="J745" s="40">
        <f t="shared" si="23"/>
        <v>0</v>
      </c>
      <c r="K745" s="40">
        <f t="shared" si="23"/>
        <v>0</v>
      </c>
      <c r="L745" s="40">
        <f>1000*M745/VLOOKUP(D745,'Normalised Rates'!$A$7:$B$12,2,FALSE)</f>
        <v>3.7271710771524412E-3</v>
      </c>
      <c r="M745" s="34">
        <v>10</v>
      </c>
    </row>
    <row r="746" spans="1:13" ht="15" customHeight="1" x14ac:dyDescent="0.25">
      <c r="A746" s="30" t="s">
        <v>141</v>
      </c>
      <c r="B746" s="30" t="s">
        <v>79</v>
      </c>
      <c r="C746" s="9" t="s">
        <v>67</v>
      </c>
      <c r="D746" s="32">
        <v>2025</v>
      </c>
      <c r="E746" s="35" t="s">
        <v>163</v>
      </c>
      <c r="F746" s="33">
        <f t="shared" si="24"/>
        <v>9</v>
      </c>
      <c r="G746" s="33">
        <f t="shared" si="24"/>
        <v>0</v>
      </c>
      <c r="H746" s="33">
        <f t="shared" si="24"/>
        <v>0</v>
      </c>
      <c r="I746" s="40">
        <f t="shared" si="23"/>
        <v>2.8544243577545195E-3</v>
      </c>
      <c r="J746" s="40">
        <f t="shared" si="23"/>
        <v>0</v>
      </c>
      <c r="K746" s="40">
        <f t="shared" si="23"/>
        <v>0</v>
      </c>
      <c r="L746" s="40">
        <f>1000*M746/VLOOKUP(D746,'Normalised Rates'!$A$7:$B$12,2,FALSE)</f>
        <v>2.8544243577545195E-3</v>
      </c>
      <c r="M746" s="34">
        <v>9</v>
      </c>
    </row>
    <row r="747" spans="1:13" ht="15" customHeight="1" x14ac:dyDescent="0.25">
      <c r="A747" s="30" t="s">
        <v>141</v>
      </c>
      <c r="B747" s="30" t="s">
        <v>79</v>
      </c>
      <c r="C747" s="9" t="s">
        <v>67</v>
      </c>
      <c r="D747" s="32">
        <v>2026</v>
      </c>
      <c r="E747" s="35" t="s">
        <v>163</v>
      </c>
      <c r="F747" s="33">
        <f t="shared" si="24"/>
        <v>9</v>
      </c>
      <c r="G747" s="33">
        <f t="shared" si="24"/>
        <v>0</v>
      </c>
      <c r="H747" s="33">
        <f t="shared" si="24"/>
        <v>0</v>
      </c>
      <c r="I747" s="40">
        <f t="shared" si="23"/>
        <v>6.8506184586108465E-3</v>
      </c>
      <c r="J747" s="40">
        <f t="shared" si="23"/>
        <v>0</v>
      </c>
      <c r="K747" s="40">
        <f t="shared" si="23"/>
        <v>0</v>
      </c>
      <c r="L747" s="40">
        <f>1000*M747/VLOOKUP(D747,'Normalised Rates'!$A$7:$B$12,2,FALSE)</f>
        <v>6.8506184586108465E-3</v>
      </c>
      <c r="M747" s="34">
        <v>9</v>
      </c>
    </row>
    <row r="748" spans="1:13" ht="15" customHeight="1" x14ac:dyDescent="0.25">
      <c r="A748" s="30" t="s">
        <v>141</v>
      </c>
      <c r="B748" s="30" t="s">
        <v>63</v>
      </c>
      <c r="C748" s="9" t="s">
        <v>64</v>
      </c>
      <c r="D748" s="32">
        <v>2022</v>
      </c>
      <c r="E748" s="35" t="s">
        <v>163</v>
      </c>
      <c r="F748" s="33">
        <f t="shared" si="24"/>
        <v>3</v>
      </c>
      <c r="G748" s="33">
        <f t="shared" si="24"/>
        <v>0</v>
      </c>
      <c r="H748" s="33">
        <f t="shared" si="24"/>
        <v>0</v>
      </c>
      <c r="I748" s="40">
        <f t="shared" si="23"/>
        <v>1.6000000000000001E-3</v>
      </c>
      <c r="J748" s="40">
        <f t="shared" si="23"/>
        <v>0</v>
      </c>
      <c r="K748" s="40">
        <f t="shared" si="23"/>
        <v>0</v>
      </c>
      <c r="L748" s="40">
        <f>1000*M748/VLOOKUP(D748,'Normalised Rates'!$A$7:$B$12,2,FALSE)</f>
        <v>1.6000000000000001E-3</v>
      </c>
      <c r="M748" s="34">
        <v>3</v>
      </c>
    </row>
    <row r="749" spans="1:13" ht="15" customHeight="1" x14ac:dyDescent="0.25">
      <c r="A749" s="30" t="s">
        <v>141</v>
      </c>
      <c r="B749" s="30" t="s">
        <v>63</v>
      </c>
      <c r="C749" s="9" t="s">
        <v>64</v>
      </c>
      <c r="D749" s="32">
        <v>2023</v>
      </c>
      <c r="E749" s="33" t="s">
        <v>34</v>
      </c>
      <c r="F749" s="33">
        <f t="shared" si="24"/>
        <v>0</v>
      </c>
      <c r="G749" s="33">
        <f t="shared" si="24"/>
        <v>0</v>
      </c>
      <c r="H749" s="33">
        <f t="shared" si="24"/>
        <v>1</v>
      </c>
      <c r="I749" s="40">
        <f t="shared" si="23"/>
        <v>0</v>
      </c>
      <c r="J749" s="40">
        <f t="shared" si="23"/>
        <v>0</v>
      </c>
      <c r="K749" s="40">
        <f t="shared" si="23"/>
        <v>4.3744531933508313E-4</v>
      </c>
      <c r="L749" s="40">
        <f>1000*M749/VLOOKUP(D749,'Normalised Rates'!$A$7:$B$12,2,FALSE)</f>
        <v>4.3744531933508313E-4</v>
      </c>
      <c r="M749" s="34">
        <v>1</v>
      </c>
    </row>
    <row r="750" spans="1:13" ht="15" customHeight="1" x14ac:dyDescent="0.25">
      <c r="A750" s="30" t="s">
        <v>141</v>
      </c>
      <c r="B750" s="30" t="s">
        <v>63</v>
      </c>
      <c r="C750" s="9" t="s">
        <v>64</v>
      </c>
      <c r="D750" s="32">
        <v>2023</v>
      </c>
      <c r="E750" s="35" t="s">
        <v>163</v>
      </c>
      <c r="F750" s="33">
        <f t="shared" si="24"/>
        <v>3</v>
      </c>
      <c r="G750" s="33">
        <f t="shared" si="24"/>
        <v>0</v>
      </c>
      <c r="H750" s="33">
        <f t="shared" si="24"/>
        <v>0</v>
      </c>
      <c r="I750" s="40">
        <f t="shared" si="23"/>
        <v>1.3123359580052493E-3</v>
      </c>
      <c r="J750" s="40">
        <f t="shared" si="23"/>
        <v>0</v>
      </c>
      <c r="K750" s="40">
        <f t="shared" si="23"/>
        <v>0</v>
      </c>
      <c r="L750" s="40">
        <f>1000*M750/VLOOKUP(D750,'Normalised Rates'!$A$7:$B$12,2,FALSE)</f>
        <v>1.3123359580052493E-3</v>
      </c>
      <c r="M750" s="34">
        <v>3</v>
      </c>
    </row>
    <row r="751" spans="1:13" ht="15" customHeight="1" x14ac:dyDescent="0.25">
      <c r="A751" s="30" t="s">
        <v>141</v>
      </c>
      <c r="B751" s="30" t="s">
        <v>63</v>
      </c>
      <c r="C751" s="9" t="s">
        <v>64</v>
      </c>
      <c r="D751" s="32">
        <v>2024</v>
      </c>
      <c r="E751" s="33" t="s">
        <v>34</v>
      </c>
      <c r="F751" s="33">
        <f t="shared" si="24"/>
        <v>0</v>
      </c>
      <c r="G751" s="33">
        <f t="shared" si="24"/>
        <v>0</v>
      </c>
      <c r="H751" s="33">
        <f t="shared" si="24"/>
        <v>1</v>
      </c>
      <c r="I751" s="40">
        <f t="shared" si="23"/>
        <v>0</v>
      </c>
      <c r="J751" s="40">
        <f t="shared" si="23"/>
        <v>0</v>
      </c>
      <c r="K751" s="40">
        <f t="shared" si="23"/>
        <v>3.7271710771524412E-4</v>
      </c>
      <c r="L751" s="40">
        <f>1000*M751/VLOOKUP(D751,'Normalised Rates'!$A$7:$B$12,2,FALSE)</f>
        <v>3.7271710771524412E-4</v>
      </c>
      <c r="M751" s="34">
        <v>1</v>
      </c>
    </row>
    <row r="752" spans="1:13" ht="15" customHeight="1" x14ac:dyDescent="0.25">
      <c r="A752" s="30" t="s">
        <v>141</v>
      </c>
      <c r="B752" s="30" t="s">
        <v>63</v>
      </c>
      <c r="C752" s="9" t="s">
        <v>64</v>
      </c>
      <c r="D752" s="32">
        <v>2024</v>
      </c>
      <c r="E752" s="35" t="s">
        <v>163</v>
      </c>
      <c r="F752" s="33">
        <f t="shared" si="24"/>
        <v>3</v>
      </c>
      <c r="G752" s="33">
        <f t="shared" si="24"/>
        <v>0</v>
      </c>
      <c r="H752" s="33">
        <f t="shared" si="24"/>
        <v>0</v>
      </c>
      <c r="I752" s="40">
        <f t="shared" si="23"/>
        <v>1.1181513231457323E-3</v>
      </c>
      <c r="J752" s="40">
        <f t="shared" si="23"/>
        <v>0</v>
      </c>
      <c r="K752" s="40">
        <f t="shared" si="23"/>
        <v>0</v>
      </c>
      <c r="L752" s="40">
        <f>1000*M752/VLOOKUP(D752,'Normalised Rates'!$A$7:$B$12,2,FALSE)</f>
        <v>1.1181513231457323E-3</v>
      </c>
      <c r="M752" s="34">
        <v>3</v>
      </c>
    </row>
    <row r="753" spans="1:13" ht="15" customHeight="1" x14ac:dyDescent="0.25">
      <c r="A753" s="30" t="s">
        <v>141</v>
      </c>
      <c r="B753" s="30" t="s">
        <v>63</v>
      </c>
      <c r="C753" s="9" t="s">
        <v>64</v>
      </c>
      <c r="D753" s="32">
        <v>2025</v>
      </c>
      <c r="E753" s="33" t="s">
        <v>34</v>
      </c>
      <c r="F753" s="33">
        <f t="shared" si="24"/>
        <v>0</v>
      </c>
      <c r="G753" s="33">
        <f t="shared" si="24"/>
        <v>0</v>
      </c>
      <c r="H753" s="33">
        <f t="shared" si="24"/>
        <v>1</v>
      </c>
      <c r="I753" s="40">
        <f t="shared" si="23"/>
        <v>0</v>
      </c>
      <c r="J753" s="40">
        <f t="shared" si="23"/>
        <v>0</v>
      </c>
      <c r="K753" s="40">
        <f t="shared" si="23"/>
        <v>3.1715826197272439E-4</v>
      </c>
      <c r="L753" s="40">
        <f>1000*M753/VLOOKUP(D753,'Normalised Rates'!$A$7:$B$12,2,FALSE)</f>
        <v>3.1715826197272439E-4</v>
      </c>
      <c r="M753" s="34">
        <v>1</v>
      </c>
    </row>
    <row r="754" spans="1:13" ht="15" customHeight="1" x14ac:dyDescent="0.25">
      <c r="A754" s="30" t="s">
        <v>141</v>
      </c>
      <c r="B754" s="30" t="s">
        <v>63</v>
      </c>
      <c r="C754" s="9" t="s">
        <v>64</v>
      </c>
      <c r="D754" s="32">
        <v>2026</v>
      </c>
      <c r="E754" s="33" t="s">
        <v>34</v>
      </c>
      <c r="F754" s="33">
        <f t="shared" si="24"/>
        <v>0</v>
      </c>
      <c r="G754" s="33">
        <f t="shared" si="24"/>
        <v>0</v>
      </c>
      <c r="H754" s="33">
        <f t="shared" si="24"/>
        <v>1</v>
      </c>
      <c r="I754" s="40">
        <f t="shared" si="23"/>
        <v>0</v>
      </c>
      <c r="J754" s="40">
        <f t="shared" si="23"/>
        <v>0</v>
      </c>
      <c r="K754" s="40">
        <f t="shared" si="23"/>
        <v>7.6117982873453852E-4</v>
      </c>
      <c r="L754" s="40">
        <f>1000*M754/VLOOKUP(D754,'Normalised Rates'!$A$7:$B$12,2,FALSE)</f>
        <v>7.6117982873453852E-4</v>
      </c>
      <c r="M754" s="34">
        <v>1</v>
      </c>
    </row>
    <row r="755" spans="1:13" ht="15" customHeight="1" x14ac:dyDescent="0.25">
      <c r="A755" s="30" t="s">
        <v>141</v>
      </c>
      <c r="B755" s="30" t="s">
        <v>63</v>
      </c>
      <c r="C755" s="9" t="s">
        <v>64</v>
      </c>
      <c r="D755" s="32">
        <v>2026</v>
      </c>
      <c r="E755" s="35" t="s">
        <v>163</v>
      </c>
      <c r="F755" s="33">
        <f t="shared" si="24"/>
        <v>8</v>
      </c>
      <c r="G755" s="33">
        <f t="shared" si="24"/>
        <v>0</v>
      </c>
      <c r="H755" s="33">
        <f t="shared" si="24"/>
        <v>0</v>
      </c>
      <c r="I755" s="40">
        <f t="shared" si="23"/>
        <v>6.0894386298763082E-3</v>
      </c>
      <c r="J755" s="40">
        <f t="shared" si="23"/>
        <v>0</v>
      </c>
      <c r="K755" s="40">
        <f t="shared" si="23"/>
        <v>0</v>
      </c>
      <c r="L755" s="40">
        <f>1000*M755/VLOOKUP(D755,'Normalised Rates'!$A$7:$B$12,2,FALSE)</f>
        <v>6.0894386298763082E-3</v>
      </c>
      <c r="M755" s="34">
        <v>8</v>
      </c>
    </row>
    <row r="756" spans="1:13" ht="15" customHeight="1" x14ac:dyDescent="0.25">
      <c r="A756" s="30" t="s">
        <v>141</v>
      </c>
      <c r="B756" s="30" t="s">
        <v>117</v>
      </c>
      <c r="C756" s="9" t="s">
        <v>64</v>
      </c>
      <c r="D756" s="32">
        <v>2022</v>
      </c>
      <c r="E756" s="35" t="s">
        <v>163</v>
      </c>
      <c r="F756" s="33">
        <f t="shared" si="24"/>
        <v>1</v>
      </c>
      <c r="G756" s="33">
        <f t="shared" si="24"/>
        <v>0</v>
      </c>
      <c r="H756" s="33">
        <f t="shared" si="24"/>
        <v>0</v>
      </c>
      <c r="I756" s="40">
        <f t="shared" si="23"/>
        <v>5.3333333333333336E-4</v>
      </c>
      <c r="J756" s="40">
        <f t="shared" si="23"/>
        <v>0</v>
      </c>
      <c r="K756" s="40">
        <f t="shared" si="23"/>
        <v>0</v>
      </c>
      <c r="L756" s="40">
        <f>1000*M756/VLOOKUP(D756,'Normalised Rates'!$A$7:$B$12,2,FALSE)</f>
        <v>5.3333333333333336E-4</v>
      </c>
      <c r="M756" s="34">
        <v>1</v>
      </c>
    </row>
    <row r="757" spans="1:13" ht="15" customHeight="1" x14ac:dyDescent="0.25">
      <c r="A757" s="30" t="s">
        <v>141</v>
      </c>
      <c r="B757" s="30" t="s">
        <v>117</v>
      </c>
      <c r="C757" s="9" t="s">
        <v>64</v>
      </c>
      <c r="D757" s="32">
        <v>2023</v>
      </c>
      <c r="E757" s="35" t="s">
        <v>163</v>
      </c>
      <c r="F757" s="33">
        <f t="shared" si="24"/>
        <v>8</v>
      </c>
      <c r="G757" s="33">
        <f t="shared" si="24"/>
        <v>0</v>
      </c>
      <c r="H757" s="33">
        <f t="shared" si="24"/>
        <v>0</v>
      </c>
      <c r="I757" s="40">
        <f t="shared" si="23"/>
        <v>3.499562554680665E-3</v>
      </c>
      <c r="J757" s="40">
        <f t="shared" si="23"/>
        <v>0</v>
      </c>
      <c r="K757" s="40">
        <f t="shared" si="23"/>
        <v>0</v>
      </c>
      <c r="L757" s="40">
        <f>1000*M757/VLOOKUP(D757,'Normalised Rates'!$A$7:$B$12,2,FALSE)</f>
        <v>3.499562554680665E-3</v>
      </c>
      <c r="M757" s="34">
        <v>8</v>
      </c>
    </row>
    <row r="758" spans="1:13" ht="15" customHeight="1" x14ac:dyDescent="0.25">
      <c r="A758" s="30" t="s">
        <v>141</v>
      </c>
      <c r="B758" s="30" t="s">
        <v>117</v>
      </c>
      <c r="C758" s="9" t="s">
        <v>64</v>
      </c>
      <c r="D758" s="32">
        <v>2024</v>
      </c>
      <c r="E758" s="33" t="s">
        <v>34</v>
      </c>
      <c r="F758" s="33">
        <f t="shared" si="24"/>
        <v>0</v>
      </c>
      <c r="G758" s="33">
        <f t="shared" si="24"/>
        <v>0</v>
      </c>
      <c r="H758" s="33">
        <f t="shared" si="24"/>
        <v>1</v>
      </c>
      <c r="I758" s="40">
        <f t="shared" si="23"/>
        <v>0</v>
      </c>
      <c r="J758" s="40">
        <f t="shared" si="23"/>
        <v>0</v>
      </c>
      <c r="K758" s="40">
        <f t="shared" si="23"/>
        <v>3.7271710771524412E-4</v>
      </c>
      <c r="L758" s="40">
        <f>1000*M758/VLOOKUP(D758,'Normalised Rates'!$A$7:$B$12,2,FALSE)</f>
        <v>3.7271710771524412E-4</v>
      </c>
      <c r="M758" s="34">
        <v>1</v>
      </c>
    </row>
    <row r="759" spans="1:13" ht="15" customHeight="1" x14ac:dyDescent="0.25">
      <c r="A759" s="30" t="s">
        <v>141</v>
      </c>
      <c r="B759" s="30" t="s">
        <v>117</v>
      </c>
      <c r="C759" s="9" t="s">
        <v>64</v>
      </c>
      <c r="D759" s="32">
        <v>2025</v>
      </c>
      <c r="E759" s="35" t="s">
        <v>163</v>
      </c>
      <c r="F759" s="33">
        <f t="shared" si="24"/>
        <v>5</v>
      </c>
      <c r="G759" s="33">
        <f t="shared" si="24"/>
        <v>0</v>
      </c>
      <c r="H759" s="33">
        <f t="shared" si="24"/>
        <v>0</v>
      </c>
      <c r="I759" s="40">
        <f t="shared" si="23"/>
        <v>1.585791309863622E-3</v>
      </c>
      <c r="J759" s="40">
        <f t="shared" si="23"/>
        <v>0</v>
      </c>
      <c r="K759" s="40">
        <f t="shared" si="23"/>
        <v>0</v>
      </c>
      <c r="L759" s="40">
        <f>1000*M759/VLOOKUP(D759,'Normalised Rates'!$A$7:$B$12,2,FALSE)</f>
        <v>1.585791309863622E-3</v>
      </c>
      <c r="M759" s="34">
        <v>5</v>
      </c>
    </row>
    <row r="760" spans="1:13" ht="15" customHeight="1" x14ac:dyDescent="0.25">
      <c r="A760" s="30" t="s">
        <v>141</v>
      </c>
      <c r="B760" s="30" t="s">
        <v>117</v>
      </c>
      <c r="C760" s="9" t="s">
        <v>64</v>
      </c>
      <c r="D760" s="32">
        <v>2026</v>
      </c>
      <c r="E760" s="35" t="s">
        <v>163</v>
      </c>
      <c r="F760" s="33">
        <f t="shared" si="24"/>
        <v>3</v>
      </c>
      <c r="G760" s="33">
        <f t="shared" si="24"/>
        <v>0</v>
      </c>
      <c r="H760" s="33">
        <f t="shared" si="24"/>
        <v>0</v>
      </c>
      <c r="I760" s="40">
        <f t="shared" si="23"/>
        <v>2.2835394862036158E-3</v>
      </c>
      <c r="J760" s="40">
        <f t="shared" si="23"/>
        <v>0</v>
      </c>
      <c r="K760" s="40">
        <f t="shared" si="23"/>
        <v>0</v>
      </c>
      <c r="L760" s="40">
        <f>1000*M760/VLOOKUP(D760,'Normalised Rates'!$A$7:$B$12,2,FALSE)</f>
        <v>2.2835394862036158E-3</v>
      </c>
      <c r="M760" s="34">
        <v>3</v>
      </c>
    </row>
    <row r="761" spans="1:13" ht="15" customHeight="1" x14ac:dyDescent="0.25">
      <c r="A761" s="30" t="s">
        <v>141</v>
      </c>
      <c r="B761" s="30" t="s">
        <v>121</v>
      </c>
      <c r="C761" s="9" t="s">
        <v>67</v>
      </c>
      <c r="D761" s="32">
        <v>2023</v>
      </c>
      <c r="E761" s="35" t="s">
        <v>163</v>
      </c>
      <c r="F761" s="33">
        <f t="shared" si="24"/>
        <v>4</v>
      </c>
      <c r="G761" s="33">
        <f t="shared" si="24"/>
        <v>0</v>
      </c>
      <c r="H761" s="33">
        <f t="shared" si="24"/>
        <v>0</v>
      </c>
      <c r="I761" s="40">
        <f t="shared" si="23"/>
        <v>1.7497812773403325E-3</v>
      </c>
      <c r="J761" s="40">
        <f t="shared" si="23"/>
        <v>0</v>
      </c>
      <c r="K761" s="40">
        <f t="shared" si="23"/>
        <v>0</v>
      </c>
      <c r="L761" s="40">
        <f>1000*M761/VLOOKUP(D761,'Normalised Rates'!$A$7:$B$12,2,FALSE)</f>
        <v>1.7497812773403325E-3</v>
      </c>
      <c r="M761" s="34">
        <v>4</v>
      </c>
    </row>
    <row r="762" spans="1:13" ht="15" customHeight="1" x14ac:dyDescent="0.25">
      <c r="A762" s="30" t="s">
        <v>141</v>
      </c>
      <c r="B762" s="30" t="s">
        <v>121</v>
      </c>
      <c r="C762" s="9" t="s">
        <v>67</v>
      </c>
      <c r="D762" s="32">
        <v>2024</v>
      </c>
      <c r="E762" s="35" t="s">
        <v>163</v>
      </c>
      <c r="F762" s="33">
        <f t="shared" si="24"/>
        <v>2</v>
      </c>
      <c r="G762" s="33">
        <f t="shared" si="24"/>
        <v>0</v>
      </c>
      <c r="H762" s="33">
        <f t="shared" si="24"/>
        <v>0</v>
      </c>
      <c r="I762" s="40">
        <f t="shared" si="23"/>
        <v>7.4543421543048823E-4</v>
      </c>
      <c r="J762" s="40">
        <f t="shared" si="23"/>
        <v>0</v>
      </c>
      <c r="K762" s="40">
        <f t="shared" si="23"/>
        <v>0</v>
      </c>
      <c r="L762" s="40">
        <f>1000*M762/VLOOKUP(D762,'Normalised Rates'!$A$7:$B$12,2,FALSE)</f>
        <v>7.4543421543048823E-4</v>
      </c>
      <c r="M762" s="34">
        <v>2</v>
      </c>
    </row>
    <row r="763" spans="1:13" ht="15" customHeight="1" x14ac:dyDescent="0.25">
      <c r="A763" s="30" t="s">
        <v>141</v>
      </c>
      <c r="B763" s="30" t="s">
        <v>121</v>
      </c>
      <c r="C763" s="9" t="s">
        <v>67</v>
      </c>
      <c r="D763" s="32">
        <v>2025</v>
      </c>
      <c r="E763" s="35" t="s">
        <v>163</v>
      </c>
      <c r="F763" s="33">
        <f t="shared" si="24"/>
        <v>3</v>
      </c>
      <c r="G763" s="33">
        <f t="shared" si="24"/>
        <v>0</v>
      </c>
      <c r="H763" s="33">
        <f t="shared" si="24"/>
        <v>0</v>
      </c>
      <c r="I763" s="40">
        <f t="shared" si="23"/>
        <v>9.5147478591817321E-4</v>
      </c>
      <c r="J763" s="40">
        <f t="shared" si="23"/>
        <v>0</v>
      </c>
      <c r="K763" s="40">
        <f t="shared" si="23"/>
        <v>0</v>
      </c>
      <c r="L763" s="40">
        <f>1000*M763/VLOOKUP(D763,'Normalised Rates'!$A$7:$B$12,2,FALSE)</f>
        <v>9.5147478591817321E-4</v>
      </c>
      <c r="M763" s="34">
        <v>3</v>
      </c>
    </row>
    <row r="764" spans="1:13" ht="15" customHeight="1" x14ac:dyDescent="0.25">
      <c r="A764" s="30" t="s">
        <v>141</v>
      </c>
      <c r="B764" s="30" t="s">
        <v>121</v>
      </c>
      <c r="C764" s="9" t="s">
        <v>67</v>
      </c>
      <c r="D764" s="32">
        <v>2026</v>
      </c>
      <c r="E764" s="33" t="s">
        <v>34</v>
      </c>
      <c r="F764" s="33">
        <f t="shared" si="24"/>
        <v>0</v>
      </c>
      <c r="G764" s="33">
        <f t="shared" si="24"/>
        <v>0</v>
      </c>
      <c r="H764" s="33">
        <f t="shared" si="24"/>
        <v>1</v>
      </c>
      <c r="I764" s="40">
        <f t="shared" si="23"/>
        <v>0</v>
      </c>
      <c r="J764" s="40">
        <f t="shared" si="23"/>
        <v>0</v>
      </c>
      <c r="K764" s="40">
        <f t="shared" si="23"/>
        <v>7.6117982873453852E-4</v>
      </c>
      <c r="L764" s="40">
        <f>1000*M764/VLOOKUP(D764,'Normalised Rates'!$A$7:$B$12,2,FALSE)</f>
        <v>7.6117982873453852E-4</v>
      </c>
      <c r="M764" s="34">
        <v>1</v>
      </c>
    </row>
    <row r="765" spans="1:13" ht="15" customHeight="1" x14ac:dyDescent="0.25">
      <c r="A765" s="30" t="s">
        <v>141</v>
      </c>
      <c r="B765" s="30" t="s">
        <v>121</v>
      </c>
      <c r="C765" s="9" t="s">
        <v>67</v>
      </c>
      <c r="D765" s="32">
        <v>2026</v>
      </c>
      <c r="E765" s="35" t="s">
        <v>163</v>
      </c>
      <c r="F765" s="33">
        <f t="shared" si="24"/>
        <v>5</v>
      </c>
      <c r="G765" s="33">
        <f t="shared" si="24"/>
        <v>0</v>
      </c>
      <c r="H765" s="33">
        <f t="shared" si="24"/>
        <v>0</v>
      </c>
      <c r="I765" s="40">
        <f t="shared" si="23"/>
        <v>3.8058991436726928E-3</v>
      </c>
      <c r="J765" s="40">
        <f t="shared" si="23"/>
        <v>0</v>
      </c>
      <c r="K765" s="40">
        <f t="shared" si="23"/>
        <v>0</v>
      </c>
      <c r="L765" s="40">
        <f>1000*M765/VLOOKUP(D765,'Normalised Rates'!$A$7:$B$12,2,FALSE)</f>
        <v>3.8058991436726928E-3</v>
      </c>
      <c r="M765" s="34">
        <v>5</v>
      </c>
    </row>
    <row r="766" spans="1:13" ht="15" customHeight="1" x14ac:dyDescent="0.25">
      <c r="A766" s="30" t="s">
        <v>141</v>
      </c>
      <c r="B766" s="30" t="s">
        <v>111</v>
      </c>
      <c r="C766" s="9" t="s">
        <v>105</v>
      </c>
      <c r="D766" s="32">
        <v>2024</v>
      </c>
      <c r="E766" s="33" t="s">
        <v>34</v>
      </c>
      <c r="F766" s="33">
        <f t="shared" si="24"/>
        <v>0</v>
      </c>
      <c r="G766" s="33">
        <f t="shared" si="24"/>
        <v>0</v>
      </c>
      <c r="H766" s="33">
        <f t="shared" si="24"/>
        <v>2</v>
      </c>
      <c r="I766" s="40">
        <f t="shared" si="23"/>
        <v>0</v>
      </c>
      <c r="J766" s="40">
        <f t="shared" si="23"/>
        <v>0</v>
      </c>
      <c r="K766" s="40">
        <f t="shared" si="23"/>
        <v>7.4543421543048823E-4</v>
      </c>
      <c r="L766" s="40">
        <f>1000*M766/VLOOKUP(D766,'Normalised Rates'!$A$7:$B$12,2,FALSE)</f>
        <v>7.4543421543048823E-4</v>
      </c>
      <c r="M766" s="34">
        <v>2</v>
      </c>
    </row>
    <row r="767" spans="1:13" ht="15" customHeight="1" x14ac:dyDescent="0.25">
      <c r="A767" s="30" t="s">
        <v>141</v>
      </c>
      <c r="B767" s="30" t="s">
        <v>111</v>
      </c>
      <c r="C767" s="9" t="s">
        <v>105</v>
      </c>
      <c r="D767" s="32">
        <v>2024</v>
      </c>
      <c r="E767" s="35" t="s">
        <v>163</v>
      </c>
      <c r="F767" s="33">
        <f t="shared" si="24"/>
        <v>3</v>
      </c>
      <c r="G767" s="33">
        <f t="shared" si="24"/>
        <v>0</v>
      </c>
      <c r="H767" s="33">
        <f t="shared" si="24"/>
        <v>0</v>
      </c>
      <c r="I767" s="40">
        <f t="shared" si="23"/>
        <v>1.1181513231457323E-3</v>
      </c>
      <c r="J767" s="40">
        <f t="shared" si="23"/>
        <v>0</v>
      </c>
      <c r="K767" s="40">
        <f t="shared" si="23"/>
        <v>0</v>
      </c>
      <c r="L767" s="40">
        <f>1000*M767/VLOOKUP(D767,'Normalised Rates'!$A$7:$B$12,2,FALSE)</f>
        <v>1.1181513231457323E-3</v>
      </c>
      <c r="M767" s="34">
        <v>3</v>
      </c>
    </row>
    <row r="768" spans="1:13" ht="15" customHeight="1" x14ac:dyDescent="0.25">
      <c r="A768" s="30" t="s">
        <v>141</v>
      </c>
      <c r="B768" s="30" t="s">
        <v>111</v>
      </c>
      <c r="C768" s="9" t="s">
        <v>105</v>
      </c>
      <c r="D768" s="32">
        <v>2025</v>
      </c>
      <c r="E768" s="35" t="s">
        <v>163</v>
      </c>
      <c r="F768" s="33">
        <f t="shared" si="24"/>
        <v>4</v>
      </c>
      <c r="G768" s="33">
        <f t="shared" si="24"/>
        <v>0</v>
      </c>
      <c r="H768" s="33">
        <f t="shared" si="24"/>
        <v>0</v>
      </c>
      <c r="I768" s="40">
        <f t="shared" si="23"/>
        <v>1.2686330478908975E-3</v>
      </c>
      <c r="J768" s="40">
        <f t="shared" si="23"/>
        <v>0</v>
      </c>
      <c r="K768" s="40">
        <f t="shared" si="23"/>
        <v>0</v>
      </c>
      <c r="L768" s="40">
        <f>1000*M768/VLOOKUP(D768,'Normalised Rates'!$A$7:$B$12,2,FALSE)</f>
        <v>1.2686330478908975E-3</v>
      </c>
      <c r="M768" s="34">
        <v>4</v>
      </c>
    </row>
    <row r="769" spans="1:13" ht="15" customHeight="1" x14ac:dyDescent="0.25">
      <c r="A769" s="30" t="s">
        <v>141</v>
      </c>
      <c r="B769" s="30" t="s">
        <v>111</v>
      </c>
      <c r="C769" s="9" t="s">
        <v>105</v>
      </c>
      <c r="D769" s="32">
        <v>2026</v>
      </c>
      <c r="E769" s="33" t="s">
        <v>34</v>
      </c>
      <c r="F769" s="33">
        <f t="shared" si="24"/>
        <v>0</v>
      </c>
      <c r="G769" s="33">
        <f t="shared" si="24"/>
        <v>0</v>
      </c>
      <c r="H769" s="33">
        <f t="shared" si="24"/>
        <v>1</v>
      </c>
      <c r="I769" s="40">
        <f t="shared" si="23"/>
        <v>0</v>
      </c>
      <c r="J769" s="40">
        <f t="shared" si="23"/>
        <v>0</v>
      </c>
      <c r="K769" s="40">
        <f t="shared" si="23"/>
        <v>7.6117982873453852E-4</v>
      </c>
      <c r="L769" s="40">
        <f>1000*M769/VLOOKUP(D769,'Normalised Rates'!$A$7:$B$12,2,FALSE)</f>
        <v>7.6117982873453852E-4</v>
      </c>
      <c r="M769" s="34">
        <v>1</v>
      </c>
    </row>
    <row r="770" spans="1:13" ht="15" customHeight="1" x14ac:dyDescent="0.25">
      <c r="A770" s="30" t="s">
        <v>141</v>
      </c>
      <c r="B770" s="30" t="s">
        <v>123</v>
      </c>
      <c r="C770" s="9" t="s">
        <v>84</v>
      </c>
      <c r="D770" s="32">
        <v>2021</v>
      </c>
      <c r="E770" s="35" t="s">
        <v>163</v>
      </c>
      <c r="F770" s="33">
        <f t="shared" si="24"/>
        <v>1</v>
      </c>
      <c r="G770" s="33">
        <f t="shared" si="24"/>
        <v>0</v>
      </c>
      <c r="H770" s="33">
        <f t="shared" si="24"/>
        <v>0</v>
      </c>
      <c r="I770" s="40">
        <f t="shared" si="23"/>
        <v>6.2735257214554575E-4</v>
      </c>
      <c r="J770" s="40">
        <f t="shared" si="23"/>
        <v>0</v>
      </c>
      <c r="K770" s="40">
        <f t="shared" si="23"/>
        <v>0</v>
      </c>
      <c r="L770" s="40">
        <f>1000*M770/VLOOKUP(D770,'Normalised Rates'!$A$7:$B$12,2,FALSE)</f>
        <v>6.2735257214554575E-4</v>
      </c>
      <c r="M770" s="34">
        <v>1</v>
      </c>
    </row>
    <row r="771" spans="1:13" ht="15" customHeight="1" x14ac:dyDescent="0.25">
      <c r="A771" s="30" t="s">
        <v>141</v>
      </c>
      <c r="B771" s="30" t="s">
        <v>123</v>
      </c>
      <c r="C771" s="9" t="s">
        <v>84</v>
      </c>
      <c r="D771" s="32">
        <v>2022</v>
      </c>
      <c r="E771" s="35" t="s">
        <v>163</v>
      </c>
      <c r="F771" s="33">
        <f t="shared" si="24"/>
        <v>1</v>
      </c>
      <c r="G771" s="33">
        <f t="shared" si="24"/>
        <v>0</v>
      </c>
      <c r="H771" s="33">
        <f t="shared" si="24"/>
        <v>0</v>
      </c>
      <c r="I771" s="40">
        <f t="shared" si="23"/>
        <v>5.3333333333333336E-4</v>
      </c>
      <c r="J771" s="40">
        <f t="shared" si="23"/>
        <v>0</v>
      </c>
      <c r="K771" s="40">
        <f t="shared" si="23"/>
        <v>0</v>
      </c>
      <c r="L771" s="40">
        <f>1000*M771/VLOOKUP(D771,'Normalised Rates'!$A$7:$B$12,2,FALSE)</f>
        <v>5.3333333333333336E-4</v>
      </c>
      <c r="M771" s="34">
        <v>1</v>
      </c>
    </row>
    <row r="772" spans="1:13" ht="15" customHeight="1" x14ac:dyDescent="0.25">
      <c r="A772" s="30" t="s">
        <v>141</v>
      </c>
      <c r="B772" s="30" t="s">
        <v>123</v>
      </c>
      <c r="C772" s="9" t="s">
        <v>84</v>
      </c>
      <c r="D772" s="32">
        <v>2023</v>
      </c>
      <c r="E772" s="35" t="s">
        <v>163</v>
      </c>
      <c r="F772" s="33">
        <f t="shared" si="24"/>
        <v>1</v>
      </c>
      <c r="G772" s="33">
        <f t="shared" si="24"/>
        <v>0</v>
      </c>
      <c r="H772" s="33">
        <f t="shared" si="24"/>
        <v>0</v>
      </c>
      <c r="I772" s="40">
        <f t="shared" si="23"/>
        <v>4.3744531933508313E-4</v>
      </c>
      <c r="J772" s="40">
        <f t="shared" si="23"/>
        <v>0</v>
      </c>
      <c r="K772" s="40">
        <f t="shared" si="23"/>
        <v>0</v>
      </c>
      <c r="L772" s="40">
        <f>1000*M772/VLOOKUP(D772,'Normalised Rates'!$A$7:$B$12,2,FALSE)</f>
        <v>4.3744531933508313E-4</v>
      </c>
      <c r="M772" s="34">
        <v>1</v>
      </c>
    </row>
    <row r="773" spans="1:13" ht="15" customHeight="1" x14ac:dyDescent="0.25">
      <c r="A773" s="30" t="s">
        <v>141</v>
      </c>
      <c r="B773" s="30" t="s">
        <v>123</v>
      </c>
      <c r="C773" s="9" t="s">
        <v>84</v>
      </c>
      <c r="D773" s="32">
        <v>2025</v>
      </c>
      <c r="E773" s="35" t="s">
        <v>163</v>
      </c>
      <c r="F773" s="33">
        <f t="shared" si="24"/>
        <v>4</v>
      </c>
      <c r="G773" s="33">
        <f t="shared" si="24"/>
        <v>0</v>
      </c>
      <c r="H773" s="33">
        <f t="shared" si="24"/>
        <v>0</v>
      </c>
      <c r="I773" s="40">
        <f t="shared" si="23"/>
        <v>1.2686330478908975E-3</v>
      </c>
      <c r="J773" s="40">
        <f t="shared" si="23"/>
        <v>0</v>
      </c>
      <c r="K773" s="40">
        <f t="shared" si="23"/>
        <v>0</v>
      </c>
      <c r="L773" s="40">
        <f>1000*M773/VLOOKUP(D773,'Normalised Rates'!$A$7:$B$12,2,FALSE)</f>
        <v>1.2686330478908975E-3</v>
      </c>
      <c r="M773" s="34">
        <v>4</v>
      </c>
    </row>
    <row r="774" spans="1:13" ht="15" customHeight="1" x14ac:dyDescent="0.25">
      <c r="A774" s="30" t="s">
        <v>141</v>
      </c>
      <c r="B774" s="30" t="s">
        <v>123</v>
      </c>
      <c r="C774" s="9" t="s">
        <v>84</v>
      </c>
      <c r="D774" s="32">
        <v>2026</v>
      </c>
      <c r="E774" s="35" t="s">
        <v>163</v>
      </c>
      <c r="F774" s="33">
        <f t="shared" si="24"/>
        <v>2</v>
      </c>
      <c r="G774" s="33">
        <f t="shared" si="24"/>
        <v>0</v>
      </c>
      <c r="H774" s="33">
        <f t="shared" si="24"/>
        <v>0</v>
      </c>
      <c r="I774" s="40">
        <f t="shared" si="23"/>
        <v>1.522359657469077E-3</v>
      </c>
      <c r="J774" s="40">
        <f t="shared" si="23"/>
        <v>0</v>
      </c>
      <c r="K774" s="40">
        <f t="shared" si="23"/>
        <v>0</v>
      </c>
      <c r="L774" s="40">
        <f>1000*M774/VLOOKUP(D774,'Normalised Rates'!$A$7:$B$12,2,FALSE)</f>
        <v>1.522359657469077E-3</v>
      </c>
      <c r="M774" s="34">
        <v>2</v>
      </c>
    </row>
    <row r="775" spans="1:13" ht="15" customHeight="1" x14ac:dyDescent="0.25">
      <c r="A775" s="30" t="s">
        <v>141</v>
      </c>
      <c r="B775" s="30" t="s">
        <v>127</v>
      </c>
      <c r="C775" s="9" t="s">
        <v>67</v>
      </c>
      <c r="D775" s="32">
        <v>2023</v>
      </c>
      <c r="E775" s="33" t="s">
        <v>34</v>
      </c>
      <c r="F775" s="33">
        <f t="shared" si="24"/>
        <v>0</v>
      </c>
      <c r="G775" s="33">
        <f t="shared" si="24"/>
        <v>0</v>
      </c>
      <c r="H775" s="33">
        <f t="shared" si="24"/>
        <v>2</v>
      </c>
      <c r="I775" s="40">
        <f t="shared" ref="I775:K838" si="25">IF(_xlfn.CONCAT($E775,"%")=I$5,$L775,0)</f>
        <v>0</v>
      </c>
      <c r="J775" s="40">
        <f t="shared" si="25"/>
        <v>0</v>
      </c>
      <c r="K775" s="40">
        <f t="shared" si="25"/>
        <v>8.7489063867016625E-4</v>
      </c>
      <c r="L775" s="40">
        <f>1000*M775/VLOOKUP(D775,'Normalised Rates'!$A$7:$B$12,2,FALSE)</f>
        <v>8.7489063867016625E-4</v>
      </c>
      <c r="M775" s="34">
        <v>2</v>
      </c>
    </row>
    <row r="776" spans="1:13" ht="15" customHeight="1" x14ac:dyDescent="0.25">
      <c r="A776" s="30" t="s">
        <v>141</v>
      </c>
      <c r="B776" s="30" t="s">
        <v>127</v>
      </c>
      <c r="C776" s="9" t="s">
        <v>67</v>
      </c>
      <c r="D776" s="32">
        <v>2023</v>
      </c>
      <c r="E776" s="35" t="s">
        <v>163</v>
      </c>
      <c r="F776" s="33">
        <f t="shared" si="24"/>
        <v>5</v>
      </c>
      <c r="G776" s="33">
        <f t="shared" si="24"/>
        <v>0</v>
      </c>
      <c r="H776" s="33">
        <f t="shared" si="24"/>
        <v>0</v>
      </c>
      <c r="I776" s="40">
        <f t="shared" si="25"/>
        <v>2.1872265966754157E-3</v>
      </c>
      <c r="J776" s="40">
        <f t="shared" si="25"/>
        <v>0</v>
      </c>
      <c r="K776" s="40">
        <f t="shared" si="25"/>
        <v>0</v>
      </c>
      <c r="L776" s="40">
        <f>1000*M776/VLOOKUP(D776,'Normalised Rates'!$A$7:$B$12,2,FALSE)</f>
        <v>2.1872265966754157E-3</v>
      </c>
      <c r="M776" s="34">
        <v>5</v>
      </c>
    </row>
    <row r="777" spans="1:13" ht="15" customHeight="1" x14ac:dyDescent="0.25">
      <c r="A777" s="30" t="s">
        <v>141</v>
      </c>
      <c r="B777" s="30" t="s">
        <v>94</v>
      </c>
      <c r="C777" s="9" t="s">
        <v>64</v>
      </c>
      <c r="D777" s="32">
        <v>2022</v>
      </c>
      <c r="E777" s="35" t="s">
        <v>163</v>
      </c>
      <c r="F777" s="33">
        <f t="shared" ref="F777:H840" si="26">IF($E777=F$5,$M777,0)</f>
        <v>2</v>
      </c>
      <c r="G777" s="33">
        <f t="shared" si="26"/>
        <v>0</v>
      </c>
      <c r="H777" s="33">
        <f t="shared" si="26"/>
        <v>0</v>
      </c>
      <c r="I777" s="40">
        <f t="shared" si="25"/>
        <v>1.0666666666666667E-3</v>
      </c>
      <c r="J777" s="40">
        <f t="shared" si="25"/>
        <v>0</v>
      </c>
      <c r="K777" s="40">
        <f t="shared" si="25"/>
        <v>0</v>
      </c>
      <c r="L777" s="40">
        <f>1000*M777/VLOOKUP(D777,'Normalised Rates'!$A$7:$B$12,2,FALSE)</f>
        <v>1.0666666666666667E-3</v>
      </c>
      <c r="M777" s="34">
        <v>2</v>
      </c>
    </row>
    <row r="778" spans="1:13" ht="15" customHeight="1" x14ac:dyDescent="0.25">
      <c r="A778" s="30" t="s">
        <v>141</v>
      </c>
      <c r="B778" s="30" t="s">
        <v>94</v>
      </c>
      <c r="C778" s="9" t="s">
        <v>64</v>
      </c>
      <c r="D778" s="32">
        <v>2023</v>
      </c>
      <c r="E778" s="35" t="s">
        <v>163</v>
      </c>
      <c r="F778" s="33">
        <f t="shared" si="26"/>
        <v>3</v>
      </c>
      <c r="G778" s="33">
        <f t="shared" si="26"/>
        <v>0</v>
      </c>
      <c r="H778" s="33">
        <f t="shared" si="26"/>
        <v>0</v>
      </c>
      <c r="I778" s="40">
        <f t="shared" si="25"/>
        <v>1.3123359580052493E-3</v>
      </c>
      <c r="J778" s="40">
        <f t="shared" si="25"/>
        <v>0</v>
      </c>
      <c r="K778" s="40">
        <f t="shared" si="25"/>
        <v>0</v>
      </c>
      <c r="L778" s="40">
        <f>1000*M778/VLOOKUP(D778,'Normalised Rates'!$A$7:$B$12,2,FALSE)</f>
        <v>1.3123359580052493E-3</v>
      </c>
      <c r="M778" s="34">
        <v>3</v>
      </c>
    </row>
    <row r="779" spans="1:13" ht="15" customHeight="1" x14ac:dyDescent="0.25">
      <c r="A779" s="30" t="s">
        <v>141</v>
      </c>
      <c r="B779" s="30" t="s">
        <v>71</v>
      </c>
      <c r="C779" s="9" t="s">
        <v>64</v>
      </c>
      <c r="D779" s="32">
        <v>2022</v>
      </c>
      <c r="E779" s="35" t="s">
        <v>163</v>
      </c>
      <c r="F779" s="33">
        <f t="shared" si="26"/>
        <v>1</v>
      </c>
      <c r="G779" s="33">
        <f t="shared" si="26"/>
        <v>0</v>
      </c>
      <c r="H779" s="33">
        <f t="shared" si="26"/>
        <v>0</v>
      </c>
      <c r="I779" s="40">
        <f t="shared" si="25"/>
        <v>5.3333333333333336E-4</v>
      </c>
      <c r="J779" s="40">
        <f t="shared" si="25"/>
        <v>0</v>
      </c>
      <c r="K779" s="40">
        <f t="shared" si="25"/>
        <v>0</v>
      </c>
      <c r="L779" s="40">
        <f>1000*M779/VLOOKUP(D779,'Normalised Rates'!$A$7:$B$12,2,FALSE)</f>
        <v>5.3333333333333336E-4</v>
      </c>
      <c r="M779" s="34">
        <v>1</v>
      </c>
    </row>
    <row r="780" spans="1:13" ht="15" customHeight="1" x14ac:dyDescent="0.25">
      <c r="A780" s="30" t="s">
        <v>141</v>
      </c>
      <c r="B780" s="30" t="s">
        <v>71</v>
      </c>
      <c r="C780" s="9" t="s">
        <v>64</v>
      </c>
      <c r="D780" s="32">
        <v>2023</v>
      </c>
      <c r="E780" s="33" t="s">
        <v>34</v>
      </c>
      <c r="F780" s="33">
        <f t="shared" si="26"/>
        <v>0</v>
      </c>
      <c r="G780" s="33">
        <f t="shared" si="26"/>
        <v>0</v>
      </c>
      <c r="H780" s="33">
        <f t="shared" si="26"/>
        <v>1</v>
      </c>
      <c r="I780" s="40">
        <f t="shared" si="25"/>
        <v>0</v>
      </c>
      <c r="J780" s="40">
        <f t="shared" si="25"/>
        <v>0</v>
      </c>
      <c r="K780" s="40">
        <f t="shared" si="25"/>
        <v>4.3744531933508313E-4</v>
      </c>
      <c r="L780" s="40">
        <f>1000*M780/VLOOKUP(D780,'Normalised Rates'!$A$7:$B$12,2,FALSE)</f>
        <v>4.3744531933508313E-4</v>
      </c>
      <c r="M780" s="34">
        <v>1</v>
      </c>
    </row>
    <row r="781" spans="1:13" ht="15" customHeight="1" x14ac:dyDescent="0.25">
      <c r="A781" s="30" t="s">
        <v>141</v>
      </c>
      <c r="B781" s="30" t="s">
        <v>71</v>
      </c>
      <c r="C781" s="9" t="s">
        <v>64</v>
      </c>
      <c r="D781" s="32">
        <v>2023</v>
      </c>
      <c r="E781" s="35" t="s">
        <v>163</v>
      </c>
      <c r="F781" s="33">
        <f t="shared" si="26"/>
        <v>1</v>
      </c>
      <c r="G781" s="33">
        <f t="shared" si="26"/>
        <v>0</v>
      </c>
      <c r="H781" s="33">
        <f t="shared" si="26"/>
        <v>0</v>
      </c>
      <c r="I781" s="40">
        <f t="shared" si="25"/>
        <v>4.3744531933508313E-4</v>
      </c>
      <c r="J781" s="40">
        <f t="shared" si="25"/>
        <v>0</v>
      </c>
      <c r="K781" s="40">
        <f t="shared" si="25"/>
        <v>0</v>
      </c>
      <c r="L781" s="40">
        <f>1000*M781/VLOOKUP(D781,'Normalised Rates'!$A$7:$B$12,2,FALSE)</f>
        <v>4.3744531933508313E-4</v>
      </c>
      <c r="M781" s="34">
        <v>1</v>
      </c>
    </row>
    <row r="782" spans="1:13" ht="15" customHeight="1" x14ac:dyDescent="0.25">
      <c r="A782" s="30" t="s">
        <v>141</v>
      </c>
      <c r="B782" s="30" t="s">
        <v>71</v>
      </c>
      <c r="C782" s="9" t="s">
        <v>64</v>
      </c>
      <c r="D782" s="32">
        <v>2026</v>
      </c>
      <c r="E782" s="35" t="s">
        <v>163</v>
      </c>
      <c r="F782" s="33">
        <f t="shared" si="26"/>
        <v>2</v>
      </c>
      <c r="G782" s="33">
        <f t="shared" si="26"/>
        <v>0</v>
      </c>
      <c r="H782" s="33">
        <f t="shared" si="26"/>
        <v>0</v>
      </c>
      <c r="I782" s="40">
        <f t="shared" si="25"/>
        <v>1.522359657469077E-3</v>
      </c>
      <c r="J782" s="40">
        <f t="shared" si="25"/>
        <v>0</v>
      </c>
      <c r="K782" s="40">
        <f t="shared" si="25"/>
        <v>0</v>
      </c>
      <c r="L782" s="40">
        <f>1000*M782/VLOOKUP(D782,'Normalised Rates'!$A$7:$B$12,2,FALSE)</f>
        <v>1.522359657469077E-3</v>
      </c>
      <c r="M782" s="34">
        <v>2</v>
      </c>
    </row>
    <row r="783" spans="1:13" ht="15" customHeight="1" x14ac:dyDescent="0.25">
      <c r="A783" s="30" t="s">
        <v>141</v>
      </c>
      <c r="B783" s="30" t="s">
        <v>119</v>
      </c>
      <c r="C783" s="9" t="s">
        <v>84</v>
      </c>
      <c r="D783" s="32">
        <v>2023</v>
      </c>
      <c r="E783" s="33" t="s">
        <v>34</v>
      </c>
      <c r="F783" s="33">
        <f t="shared" si="26"/>
        <v>0</v>
      </c>
      <c r="G783" s="33">
        <f t="shared" si="26"/>
        <v>0</v>
      </c>
      <c r="H783" s="33">
        <f t="shared" si="26"/>
        <v>1</v>
      </c>
      <c r="I783" s="40">
        <f t="shared" si="25"/>
        <v>0</v>
      </c>
      <c r="J783" s="40">
        <f t="shared" si="25"/>
        <v>0</v>
      </c>
      <c r="K783" s="40">
        <f t="shared" si="25"/>
        <v>4.3744531933508313E-4</v>
      </c>
      <c r="L783" s="40">
        <f>1000*M783/VLOOKUP(D783,'Normalised Rates'!$A$7:$B$12,2,FALSE)</f>
        <v>4.3744531933508313E-4</v>
      </c>
      <c r="M783" s="34">
        <v>1</v>
      </c>
    </row>
    <row r="784" spans="1:13" ht="15" customHeight="1" x14ac:dyDescent="0.25">
      <c r="A784" s="30" t="s">
        <v>141</v>
      </c>
      <c r="B784" s="30" t="s">
        <v>119</v>
      </c>
      <c r="C784" s="9" t="s">
        <v>84</v>
      </c>
      <c r="D784" s="32">
        <v>2025</v>
      </c>
      <c r="E784" s="35" t="s">
        <v>163</v>
      </c>
      <c r="F784" s="33">
        <f t="shared" si="26"/>
        <v>1</v>
      </c>
      <c r="G784" s="33">
        <f t="shared" si="26"/>
        <v>0</v>
      </c>
      <c r="H784" s="33">
        <f t="shared" si="26"/>
        <v>0</v>
      </c>
      <c r="I784" s="40">
        <f t="shared" si="25"/>
        <v>3.1715826197272439E-4</v>
      </c>
      <c r="J784" s="40">
        <f t="shared" si="25"/>
        <v>0</v>
      </c>
      <c r="K784" s="40">
        <f t="shared" si="25"/>
        <v>0</v>
      </c>
      <c r="L784" s="40">
        <f>1000*M784/VLOOKUP(D784,'Normalised Rates'!$A$7:$B$12,2,FALSE)</f>
        <v>3.1715826197272439E-4</v>
      </c>
      <c r="M784" s="34">
        <v>1</v>
      </c>
    </row>
    <row r="785" spans="1:13" ht="15" customHeight="1" x14ac:dyDescent="0.25">
      <c r="A785" s="30" t="s">
        <v>141</v>
      </c>
      <c r="B785" s="30" t="s">
        <v>119</v>
      </c>
      <c r="C785" s="9" t="s">
        <v>84</v>
      </c>
      <c r="D785" s="32">
        <v>2026</v>
      </c>
      <c r="E785" s="35" t="s">
        <v>163</v>
      </c>
      <c r="F785" s="33">
        <f t="shared" si="26"/>
        <v>2</v>
      </c>
      <c r="G785" s="33">
        <f t="shared" si="26"/>
        <v>0</v>
      </c>
      <c r="H785" s="33">
        <f t="shared" si="26"/>
        <v>0</v>
      </c>
      <c r="I785" s="40">
        <f t="shared" si="25"/>
        <v>1.522359657469077E-3</v>
      </c>
      <c r="J785" s="40">
        <f t="shared" si="25"/>
        <v>0</v>
      </c>
      <c r="K785" s="40">
        <f t="shared" si="25"/>
        <v>0</v>
      </c>
      <c r="L785" s="40">
        <f>1000*M785/VLOOKUP(D785,'Normalised Rates'!$A$7:$B$12,2,FALSE)</f>
        <v>1.522359657469077E-3</v>
      </c>
      <c r="M785" s="34">
        <v>2</v>
      </c>
    </row>
    <row r="786" spans="1:13" ht="15" customHeight="1" x14ac:dyDescent="0.25">
      <c r="A786" s="30" t="s">
        <v>141</v>
      </c>
      <c r="B786" s="30" t="s">
        <v>129</v>
      </c>
      <c r="C786" s="9" t="s">
        <v>130</v>
      </c>
      <c r="D786" s="32">
        <v>2026</v>
      </c>
      <c r="E786" s="35" t="s">
        <v>163</v>
      </c>
      <c r="F786" s="33">
        <f t="shared" si="26"/>
        <v>2</v>
      </c>
      <c r="G786" s="33">
        <f t="shared" si="26"/>
        <v>0</v>
      </c>
      <c r="H786" s="33">
        <f t="shared" si="26"/>
        <v>0</v>
      </c>
      <c r="I786" s="40">
        <f t="shared" si="25"/>
        <v>1.522359657469077E-3</v>
      </c>
      <c r="J786" s="40">
        <f t="shared" si="25"/>
        <v>0</v>
      </c>
      <c r="K786" s="40">
        <f t="shared" si="25"/>
        <v>0</v>
      </c>
      <c r="L786" s="40">
        <f>1000*M786/VLOOKUP(D786,'Normalised Rates'!$A$7:$B$12,2,FALSE)</f>
        <v>1.522359657469077E-3</v>
      </c>
      <c r="M786" s="34">
        <v>2</v>
      </c>
    </row>
    <row r="787" spans="1:13" ht="15" customHeight="1" x14ac:dyDescent="0.25">
      <c r="A787" s="30" t="s">
        <v>142</v>
      </c>
      <c r="B787" s="30" t="s">
        <v>79</v>
      </c>
      <c r="C787" s="9" t="s">
        <v>67</v>
      </c>
      <c r="D787" s="32">
        <v>2021</v>
      </c>
      <c r="E787" s="33" t="s">
        <v>34</v>
      </c>
      <c r="F787" s="33">
        <f t="shared" si="26"/>
        <v>0</v>
      </c>
      <c r="G787" s="33">
        <f t="shared" si="26"/>
        <v>0</v>
      </c>
      <c r="H787" s="33">
        <f t="shared" si="26"/>
        <v>23</v>
      </c>
      <c r="I787" s="40">
        <f t="shared" si="25"/>
        <v>0</v>
      </c>
      <c r="J787" s="40">
        <f t="shared" si="25"/>
        <v>0</v>
      </c>
      <c r="K787" s="40">
        <f t="shared" si="25"/>
        <v>1.4429109159347553E-2</v>
      </c>
      <c r="L787" s="40">
        <f>1000*M787/VLOOKUP(D787,'Normalised Rates'!$A$7:$B$12,2,FALSE)</f>
        <v>1.4429109159347553E-2</v>
      </c>
      <c r="M787" s="34">
        <v>23</v>
      </c>
    </row>
    <row r="788" spans="1:13" ht="15" customHeight="1" x14ac:dyDescent="0.25">
      <c r="A788" s="30" t="s">
        <v>142</v>
      </c>
      <c r="B788" s="30" t="s">
        <v>79</v>
      </c>
      <c r="C788" s="9" t="s">
        <v>67</v>
      </c>
      <c r="D788" s="32">
        <v>2022</v>
      </c>
      <c r="E788" s="33" t="s">
        <v>34</v>
      </c>
      <c r="F788" s="33">
        <f t="shared" si="26"/>
        <v>0</v>
      </c>
      <c r="G788" s="33">
        <f t="shared" si="26"/>
        <v>0</v>
      </c>
      <c r="H788" s="33">
        <f t="shared" si="26"/>
        <v>21</v>
      </c>
      <c r="I788" s="40">
        <f t="shared" si="25"/>
        <v>0</v>
      </c>
      <c r="J788" s="40">
        <f t="shared" si="25"/>
        <v>0</v>
      </c>
      <c r="K788" s="40">
        <f t="shared" si="25"/>
        <v>1.12E-2</v>
      </c>
      <c r="L788" s="40">
        <f>1000*M788/VLOOKUP(D788,'Normalised Rates'!$A$7:$B$12,2,FALSE)</f>
        <v>1.12E-2</v>
      </c>
      <c r="M788" s="34">
        <v>21</v>
      </c>
    </row>
    <row r="789" spans="1:13" ht="15" customHeight="1" x14ac:dyDescent="0.25">
      <c r="A789" s="30" t="s">
        <v>142</v>
      </c>
      <c r="B789" s="30" t="s">
        <v>79</v>
      </c>
      <c r="C789" s="9" t="s">
        <v>67</v>
      </c>
      <c r="D789" s="32">
        <v>2023</v>
      </c>
      <c r="E789" s="33" t="s">
        <v>34</v>
      </c>
      <c r="F789" s="33">
        <f t="shared" si="26"/>
        <v>0</v>
      </c>
      <c r="G789" s="33">
        <f t="shared" si="26"/>
        <v>0</v>
      </c>
      <c r="H789" s="33">
        <f t="shared" si="26"/>
        <v>13</v>
      </c>
      <c r="I789" s="40">
        <f t="shared" si="25"/>
        <v>0</v>
      </c>
      <c r="J789" s="40">
        <f t="shared" si="25"/>
        <v>0</v>
      </c>
      <c r="K789" s="40">
        <f t="shared" si="25"/>
        <v>5.6867891513560807E-3</v>
      </c>
      <c r="L789" s="40">
        <f>1000*M789/VLOOKUP(D789,'Normalised Rates'!$A$7:$B$12,2,FALSE)</f>
        <v>5.6867891513560807E-3</v>
      </c>
      <c r="M789" s="34">
        <v>13</v>
      </c>
    </row>
    <row r="790" spans="1:13" ht="15" customHeight="1" x14ac:dyDescent="0.25">
      <c r="A790" s="30" t="s">
        <v>142</v>
      </c>
      <c r="B790" s="30" t="s">
        <v>79</v>
      </c>
      <c r="C790" s="9" t="s">
        <v>67</v>
      </c>
      <c r="D790" s="32">
        <v>2023</v>
      </c>
      <c r="E790" s="35" t="s">
        <v>163</v>
      </c>
      <c r="F790" s="33">
        <f t="shared" si="26"/>
        <v>8</v>
      </c>
      <c r="G790" s="33">
        <f t="shared" si="26"/>
        <v>0</v>
      </c>
      <c r="H790" s="33">
        <f t="shared" si="26"/>
        <v>0</v>
      </c>
      <c r="I790" s="40">
        <f t="shared" si="25"/>
        <v>3.499562554680665E-3</v>
      </c>
      <c r="J790" s="40">
        <f t="shared" si="25"/>
        <v>0</v>
      </c>
      <c r="K790" s="40">
        <f t="shared" si="25"/>
        <v>0</v>
      </c>
      <c r="L790" s="40">
        <f>1000*M790/VLOOKUP(D790,'Normalised Rates'!$A$7:$B$12,2,FALSE)</f>
        <v>3.499562554680665E-3</v>
      </c>
      <c r="M790" s="34">
        <v>8</v>
      </c>
    </row>
    <row r="791" spans="1:13" ht="15" customHeight="1" x14ac:dyDescent="0.25">
      <c r="A791" s="30" t="s">
        <v>142</v>
      </c>
      <c r="B791" s="30" t="s">
        <v>79</v>
      </c>
      <c r="C791" s="9" t="s">
        <v>67</v>
      </c>
      <c r="D791" s="32">
        <v>2024</v>
      </c>
      <c r="E791" s="33" t="s">
        <v>34</v>
      </c>
      <c r="F791" s="33">
        <f t="shared" si="26"/>
        <v>0</v>
      </c>
      <c r="G791" s="33">
        <f t="shared" si="26"/>
        <v>0</v>
      </c>
      <c r="H791" s="33">
        <f t="shared" si="26"/>
        <v>11</v>
      </c>
      <c r="I791" s="40">
        <f t="shared" si="25"/>
        <v>0</v>
      </c>
      <c r="J791" s="40">
        <f t="shared" si="25"/>
        <v>0</v>
      </c>
      <c r="K791" s="40">
        <f t="shared" si="25"/>
        <v>4.0998881848676857E-3</v>
      </c>
      <c r="L791" s="40">
        <f>1000*M791/VLOOKUP(D791,'Normalised Rates'!$A$7:$B$12,2,FALSE)</f>
        <v>4.0998881848676857E-3</v>
      </c>
      <c r="M791" s="34">
        <v>11</v>
      </c>
    </row>
    <row r="792" spans="1:13" ht="15" customHeight="1" x14ac:dyDescent="0.25">
      <c r="A792" s="30" t="s">
        <v>142</v>
      </c>
      <c r="B792" s="30" t="s">
        <v>79</v>
      </c>
      <c r="C792" s="9" t="s">
        <v>67</v>
      </c>
      <c r="D792" s="32">
        <v>2024</v>
      </c>
      <c r="E792" s="35" t="s">
        <v>163</v>
      </c>
      <c r="F792" s="33">
        <f t="shared" si="26"/>
        <v>4</v>
      </c>
      <c r="G792" s="33">
        <f t="shared" si="26"/>
        <v>0</v>
      </c>
      <c r="H792" s="33">
        <f t="shared" si="26"/>
        <v>0</v>
      </c>
      <c r="I792" s="40">
        <f t="shared" si="25"/>
        <v>1.4908684308609765E-3</v>
      </c>
      <c r="J792" s="40">
        <f t="shared" si="25"/>
        <v>0</v>
      </c>
      <c r="K792" s="40">
        <f t="shared" si="25"/>
        <v>0</v>
      </c>
      <c r="L792" s="40">
        <f>1000*M792/VLOOKUP(D792,'Normalised Rates'!$A$7:$B$12,2,FALSE)</f>
        <v>1.4908684308609765E-3</v>
      </c>
      <c r="M792" s="34">
        <v>4</v>
      </c>
    </row>
    <row r="793" spans="1:13" ht="15" customHeight="1" x14ac:dyDescent="0.25">
      <c r="A793" s="30" t="s">
        <v>142</v>
      </c>
      <c r="B793" s="30" t="s">
        <v>79</v>
      </c>
      <c r="C793" s="9" t="s">
        <v>67</v>
      </c>
      <c r="D793" s="32">
        <v>2025</v>
      </c>
      <c r="E793" s="33" t="s">
        <v>34</v>
      </c>
      <c r="F793" s="33">
        <f t="shared" si="26"/>
        <v>0</v>
      </c>
      <c r="G793" s="33">
        <f t="shared" si="26"/>
        <v>0</v>
      </c>
      <c r="H793" s="33">
        <f t="shared" si="26"/>
        <v>55</v>
      </c>
      <c r="I793" s="40">
        <f t="shared" si="25"/>
        <v>0</v>
      </c>
      <c r="J793" s="40">
        <f t="shared" si="25"/>
        <v>0</v>
      </c>
      <c r="K793" s="40">
        <f t="shared" si="25"/>
        <v>1.7443704408499842E-2</v>
      </c>
      <c r="L793" s="40">
        <f>1000*M793/VLOOKUP(D793,'Normalised Rates'!$A$7:$B$12,2,FALSE)</f>
        <v>1.7443704408499842E-2</v>
      </c>
      <c r="M793" s="34">
        <v>55</v>
      </c>
    </row>
    <row r="794" spans="1:13" ht="15" customHeight="1" x14ac:dyDescent="0.25">
      <c r="A794" s="30" t="s">
        <v>142</v>
      </c>
      <c r="B794" s="30" t="s">
        <v>79</v>
      </c>
      <c r="C794" s="9" t="s">
        <v>67</v>
      </c>
      <c r="D794" s="32">
        <v>2025</v>
      </c>
      <c r="E794" s="35" t="s">
        <v>163</v>
      </c>
      <c r="F794" s="33">
        <f t="shared" si="26"/>
        <v>11</v>
      </c>
      <c r="G794" s="33">
        <f t="shared" si="26"/>
        <v>0</v>
      </c>
      <c r="H794" s="33">
        <f t="shared" si="26"/>
        <v>0</v>
      </c>
      <c r="I794" s="40">
        <f t="shared" si="25"/>
        <v>3.4887408816999684E-3</v>
      </c>
      <c r="J794" s="40">
        <f t="shared" si="25"/>
        <v>0</v>
      </c>
      <c r="K794" s="40">
        <f t="shared" si="25"/>
        <v>0</v>
      </c>
      <c r="L794" s="40">
        <f>1000*M794/VLOOKUP(D794,'Normalised Rates'!$A$7:$B$12,2,FALSE)</f>
        <v>3.4887408816999684E-3</v>
      </c>
      <c r="M794" s="34">
        <v>11</v>
      </c>
    </row>
    <row r="795" spans="1:13" ht="15" customHeight="1" x14ac:dyDescent="0.25">
      <c r="A795" s="30" t="s">
        <v>142</v>
      </c>
      <c r="B795" s="30" t="s">
        <v>79</v>
      </c>
      <c r="C795" s="9" t="s">
        <v>67</v>
      </c>
      <c r="D795" s="32">
        <v>2026</v>
      </c>
      <c r="E795" s="33" t="s">
        <v>34</v>
      </c>
      <c r="F795" s="33">
        <f t="shared" si="26"/>
        <v>0</v>
      </c>
      <c r="G795" s="33">
        <f t="shared" si="26"/>
        <v>0</v>
      </c>
      <c r="H795" s="33">
        <f t="shared" si="26"/>
        <v>24</v>
      </c>
      <c r="I795" s="40">
        <f t="shared" si="25"/>
        <v>0</v>
      </c>
      <c r="J795" s="40">
        <f t="shared" si="25"/>
        <v>0</v>
      </c>
      <c r="K795" s="40">
        <f t="shared" si="25"/>
        <v>1.8268315889628926E-2</v>
      </c>
      <c r="L795" s="40">
        <f>1000*M795/VLOOKUP(D795,'Normalised Rates'!$A$7:$B$12,2,FALSE)</f>
        <v>1.8268315889628926E-2</v>
      </c>
      <c r="M795" s="34">
        <v>24</v>
      </c>
    </row>
    <row r="796" spans="1:13" ht="15" customHeight="1" x14ac:dyDescent="0.25">
      <c r="A796" s="30" t="s">
        <v>142</v>
      </c>
      <c r="B796" s="30" t="s">
        <v>79</v>
      </c>
      <c r="C796" s="9" t="s">
        <v>67</v>
      </c>
      <c r="D796" s="32">
        <v>2026</v>
      </c>
      <c r="E796" s="35" t="s">
        <v>163</v>
      </c>
      <c r="F796" s="33">
        <f t="shared" si="26"/>
        <v>3</v>
      </c>
      <c r="G796" s="33">
        <f t="shared" si="26"/>
        <v>0</v>
      </c>
      <c r="H796" s="33">
        <f t="shared" si="26"/>
        <v>0</v>
      </c>
      <c r="I796" s="40">
        <f t="shared" si="25"/>
        <v>2.2835394862036158E-3</v>
      </c>
      <c r="J796" s="40">
        <f t="shared" si="25"/>
        <v>0</v>
      </c>
      <c r="K796" s="40">
        <f t="shared" si="25"/>
        <v>0</v>
      </c>
      <c r="L796" s="40">
        <f>1000*M796/VLOOKUP(D796,'Normalised Rates'!$A$7:$B$12,2,FALSE)</f>
        <v>2.2835394862036158E-3</v>
      </c>
      <c r="M796" s="34">
        <v>3</v>
      </c>
    </row>
    <row r="797" spans="1:13" ht="15" customHeight="1" x14ac:dyDescent="0.25">
      <c r="A797" s="30" t="s">
        <v>142</v>
      </c>
      <c r="B797" s="30" t="s">
        <v>66</v>
      </c>
      <c r="C797" s="9" t="s">
        <v>67</v>
      </c>
      <c r="D797" s="32">
        <v>2022</v>
      </c>
      <c r="E797" s="33" t="s">
        <v>34</v>
      </c>
      <c r="F797" s="33">
        <f t="shared" si="26"/>
        <v>0</v>
      </c>
      <c r="G797" s="33">
        <f t="shared" si="26"/>
        <v>0</v>
      </c>
      <c r="H797" s="33">
        <f t="shared" si="26"/>
        <v>1</v>
      </c>
      <c r="I797" s="40">
        <f t="shared" si="25"/>
        <v>0</v>
      </c>
      <c r="J797" s="40">
        <f t="shared" si="25"/>
        <v>0</v>
      </c>
      <c r="K797" s="40">
        <f t="shared" si="25"/>
        <v>5.3333333333333336E-4</v>
      </c>
      <c r="L797" s="40">
        <f>1000*M797/VLOOKUP(D797,'Normalised Rates'!$A$7:$B$12,2,FALSE)</f>
        <v>5.3333333333333336E-4</v>
      </c>
      <c r="M797" s="34">
        <v>1</v>
      </c>
    </row>
    <row r="798" spans="1:13" ht="15" customHeight="1" x14ac:dyDescent="0.25">
      <c r="A798" s="30" t="s">
        <v>142</v>
      </c>
      <c r="B798" s="30" t="s">
        <v>66</v>
      </c>
      <c r="C798" s="9" t="s">
        <v>67</v>
      </c>
      <c r="D798" s="32">
        <v>2022</v>
      </c>
      <c r="E798" s="35" t="s">
        <v>163</v>
      </c>
      <c r="F798" s="33">
        <f t="shared" si="26"/>
        <v>3</v>
      </c>
      <c r="G798" s="33">
        <f t="shared" si="26"/>
        <v>0</v>
      </c>
      <c r="H798" s="33">
        <f t="shared" si="26"/>
        <v>0</v>
      </c>
      <c r="I798" s="40">
        <f t="shared" si="25"/>
        <v>1.6000000000000001E-3</v>
      </c>
      <c r="J798" s="40">
        <f t="shared" si="25"/>
        <v>0</v>
      </c>
      <c r="K798" s="40">
        <f t="shared" si="25"/>
        <v>0</v>
      </c>
      <c r="L798" s="40">
        <f>1000*M798/VLOOKUP(D798,'Normalised Rates'!$A$7:$B$12,2,FALSE)</f>
        <v>1.6000000000000001E-3</v>
      </c>
      <c r="M798" s="34">
        <v>3</v>
      </c>
    </row>
    <row r="799" spans="1:13" ht="15" customHeight="1" x14ac:dyDescent="0.25">
      <c r="A799" s="30" t="s">
        <v>142</v>
      </c>
      <c r="B799" s="30" t="s">
        <v>66</v>
      </c>
      <c r="C799" s="9" t="s">
        <v>67</v>
      </c>
      <c r="D799" s="32">
        <v>2023</v>
      </c>
      <c r="E799" s="33" t="s">
        <v>34</v>
      </c>
      <c r="F799" s="33">
        <f t="shared" si="26"/>
        <v>0</v>
      </c>
      <c r="G799" s="33">
        <f t="shared" si="26"/>
        <v>0</v>
      </c>
      <c r="H799" s="33">
        <f t="shared" si="26"/>
        <v>2</v>
      </c>
      <c r="I799" s="40">
        <f t="shared" si="25"/>
        <v>0</v>
      </c>
      <c r="J799" s="40">
        <f t="shared" si="25"/>
        <v>0</v>
      </c>
      <c r="K799" s="40">
        <f t="shared" si="25"/>
        <v>8.7489063867016625E-4</v>
      </c>
      <c r="L799" s="40">
        <f>1000*M799/VLOOKUP(D799,'Normalised Rates'!$A$7:$B$12,2,FALSE)</f>
        <v>8.7489063867016625E-4</v>
      </c>
      <c r="M799" s="34">
        <v>2</v>
      </c>
    </row>
    <row r="800" spans="1:13" ht="15" customHeight="1" x14ac:dyDescent="0.25">
      <c r="A800" s="30" t="s">
        <v>142</v>
      </c>
      <c r="B800" s="30" t="s">
        <v>66</v>
      </c>
      <c r="C800" s="9" t="s">
        <v>67</v>
      </c>
      <c r="D800" s="32">
        <v>2023</v>
      </c>
      <c r="E800" s="35" t="s">
        <v>163</v>
      </c>
      <c r="F800" s="33">
        <f t="shared" si="26"/>
        <v>8</v>
      </c>
      <c r="G800" s="33">
        <f t="shared" si="26"/>
        <v>0</v>
      </c>
      <c r="H800" s="33">
        <f t="shared" si="26"/>
        <v>0</v>
      </c>
      <c r="I800" s="40">
        <f t="shared" si="25"/>
        <v>3.499562554680665E-3</v>
      </c>
      <c r="J800" s="40">
        <f t="shared" si="25"/>
        <v>0</v>
      </c>
      <c r="K800" s="40">
        <f t="shared" si="25"/>
        <v>0</v>
      </c>
      <c r="L800" s="40">
        <f>1000*M800/VLOOKUP(D800,'Normalised Rates'!$A$7:$B$12,2,FALSE)</f>
        <v>3.499562554680665E-3</v>
      </c>
      <c r="M800" s="34">
        <v>8</v>
      </c>
    </row>
    <row r="801" spans="1:13" ht="15" customHeight="1" x14ac:dyDescent="0.25">
      <c r="A801" s="30" t="s">
        <v>142</v>
      </c>
      <c r="B801" s="30" t="s">
        <v>66</v>
      </c>
      <c r="C801" s="9" t="s">
        <v>67</v>
      </c>
      <c r="D801" s="32">
        <v>2024</v>
      </c>
      <c r="E801" s="33" t="s">
        <v>34</v>
      </c>
      <c r="F801" s="33">
        <f t="shared" si="26"/>
        <v>0</v>
      </c>
      <c r="G801" s="33">
        <f t="shared" si="26"/>
        <v>0</v>
      </c>
      <c r="H801" s="33">
        <f t="shared" si="26"/>
        <v>2</v>
      </c>
      <c r="I801" s="40">
        <f t="shared" si="25"/>
        <v>0</v>
      </c>
      <c r="J801" s="40">
        <f t="shared" si="25"/>
        <v>0</v>
      </c>
      <c r="K801" s="40">
        <f t="shared" si="25"/>
        <v>7.4543421543048823E-4</v>
      </c>
      <c r="L801" s="40">
        <f>1000*M801/VLOOKUP(D801,'Normalised Rates'!$A$7:$B$12,2,FALSE)</f>
        <v>7.4543421543048823E-4</v>
      </c>
      <c r="M801" s="34">
        <v>2</v>
      </c>
    </row>
    <row r="802" spans="1:13" ht="15" customHeight="1" x14ac:dyDescent="0.25">
      <c r="A802" s="30" t="s">
        <v>142</v>
      </c>
      <c r="B802" s="30" t="s">
        <v>66</v>
      </c>
      <c r="C802" s="9" t="s">
        <v>67</v>
      </c>
      <c r="D802" s="32">
        <v>2024</v>
      </c>
      <c r="E802" s="35" t="s">
        <v>163</v>
      </c>
      <c r="F802" s="33">
        <f t="shared" si="26"/>
        <v>3</v>
      </c>
      <c r="G802" s="33">
        <f t="shared" si="26"/>
        <v>0</v>
      </c>
      <c r="H802" s="33">
        <f t="shared" si="26"/>
        <v>0</v>
      </c>
      <c r="I802" s="40">
        <f t="shared" si="25"/>
        <v>1.1181513231457323E-3</v>
      </c>
      <c r="J802" s="40">
        <f t="shared" si="25"/>
        <v>0</v>
      </c>
      <c r="K802" s="40">
        <f t="shared" si="25"/>
        <v>0</v>
      </c>
      <c r="L802" s="40">
        <f>1000*M802/VLOOKUP(D802,'Normalised Rates'!$A$7:$B$12,2,FALSE)</f>
        <v>1.1181513231457323E-3</v>
      </c>
      <c r="M802" s="34">
        <v>3</v>
      </c>
    </row>
    <row r="803" spans="1:13" ht="15" customHeight="1" x14ac:dyDescent="0.25">
      <c r="A803" s="30" t="s">
        <v>142</v>
      </c>
      <c r="B803" s="30" t="s">
        <v>66</v>
      </c>
      <c r="C803" s="9" t="s">
        <v>67</v>
      </c>
      <c r="D803" s="32">
        <v>2025</v>
      </c>
      <c r="E803" s="33" t="s">
        <v>34</v>
      </c>
      <c r="F803" s="33">
        <f t="shared" si="26"/>
        <v>0</v>
      </c>
      <c r="G803" s="33">
        <f t="shared" si="26"/>
        <v>0</v>
      </c>
      <c r="H803" s="33">
        <f t="shared" si="26"/>
        <v>1</v>
      </c>
      <c r="I803" s="40">
        <f t="shared" si="25"/>
        <v>0</v>
      </c>
      <c r="J803" s="40">
        <f t="shared" si="25"/>
        <v>0</v>
      </c>
      <c r="K803" s="40">
        <f t="shared" si="25"/>
        <v>3.1715826197272439E-4</v>
      </c>
      <c r="L803" s="40">
        <f>1000*M803/VLOOKUP(D803,'Normalised Rates'!$A$7:$B$12,2,FALSE)</f>
        <v>3.1715826197272439E-4</v>
      </c>
      <c r="M803" s="34">
        <v>1</v>
      </c>
    </row>
    <row r="804" spans="1:13" ht="15" customHeight="1" x14ac:dyDescent="0.25">
      <c r="A804" s="30" t="s">
        <v>142</v>
      </c>
      <c r="B804" s="30" t="s">
        <v>66</v>
      </c>
      <c r="C804" s="9" t="s">
        <v>67</v>
      </c>
      <c r="D804" s="32">
        <v>2026</v>
      </c>
      <c r="E804" s="33" t="s">
        <v>34</v>
      </c>
      <c r="F804" s="33">
        <f t="shared" si="26"/>
        <v>0</v>
      </c>
      <c r="G804" s="33">
        <f t="shared" si="26"/>
        <v>0</v>
      </c>
      <c r="H804" s="33">
        <f t="shared" si="26"/>
        <v>13</v>
      </c>
      <c r="I804" s="40">
        <f t="shared" si="25"/>
        <v>0</v>
      </c>
      <c r="J804" s="40">
        <f t="shared" si="25"/>
        <v>0</v>
      </c>
      <c r="K804" s="40">
        <f t="shared" si="25"/>
        <v>9.8953377735490015E-3</v>
      </c>
      <c r="L804" s="40">
        <f>1000*M804/VLOOKUP(D804,'Normalised Rates'!$A$7:$B$12,2,FALSE)</f>
        <v>9.8953377735490015E-3</v>
      </c>
      <c r="M804" s="34">
        <v>13</v>
      </c>
    </row>
    <row r="805" spans="1:13" ht="15" customHeight="1" x14ac:dyDescent="0.25">
      <c r="A805" s="30" t="s">
        <v>142</v>
      </c>
      <c r="B805" s="30" t="s">
        <v>66</v>
      </c>
      <c r="C805" s="9" t="s">
        <v>67</v>
      </c>
      <c r="D805" s="32">
        <v>2026</v>
      </c>
      <c r="E805" s="35" t="s">
        <v>163</v>
      </c>
      <c r="F805" s="33">
        <f t="shared" si="26"/>
        <v>1</v>
      </c>
      <c r="G805" s="33">
        <f t="shared" si="26"/>
        <v>0</v>
      </c>
      <c r="H805" s="33">
        <f t="shared" si="26"/>
        <v>0</v>
      </c>
      <c r="I805" s="40">
        <f t="shared" si="25"/>
        <v>7.6117982873453852E-4</v>
      </c>
      <c r="J805" s="40">
        <f t="shared" si="25"/>
        <v>0</v>
      </c>
      <c r="K805" s="40">
        <f t="shared" si="25"/>
        <v>0</v>
      </c>
      <c r="L805" s="40">
        <f>1000*M805/VLOOKUP(D805,'Normalised Rates'!$A$7:$B$12,2,FALSE)</f>
        <v>7.6117982873453852E-4</v>
      </c>
      <c r="M805" s="34">
        <v>1</v>
      </c>
    </row>
    <row r="806" spans="1:13" ht="15" customHeight="1" x14ac:dyDescent="0.25">
      <c r="A806" s="30" t="s">
        <v>142</v>
      </c>
      <c r="B806" s="30" t="s">
        <v>81</v>
      </c>
      <c r="C806" s="9" t="s">
        <v>67</v>
      </c>
      <c r="D806" s="32">
        <v>2021</v>
      </c>
      <c r="E806" s="33" t="s">
        <v>34</v>
      </c>
      <c r="F806" s="33">
        <f t="shared" si="26"/>
        <v>0</v>
      </c>
      <c r="G806" s="33">
        <f t="shared" si="26"/>
        <v>0</v>
      </c>
      <c r="H806" s="33">
        <f t="shared" si="26"/>
        <v>1</v>
      </c>
      <c r="I806" s="40">
        <f t="shared" si="25"/>
        <v>0</v>
      </c>
      <c r="J806" s="40">
        <f t="shared" si="25"/>
        <v>0</v>
      </c>
      <c r="K806" s="40">
        <f t="shared" si="25"/>
        <v>6.2735257214554575E-4</v>
      </c>
      <c r="L806" s="40">
        <f>1000*M806/VLOOKUP(D806,'Normalised Rates'!$A$7:$B$12,2,FALSE)</f>
        <v>6.2735257214554575E-4</v>
      </c>
      <c r="M806" s="34">
        <v>1</v>
      </c>
    </row>
    <row r="807" spans="1:13" ht="15" customHeight="1" x14ac:dyDescent="0.25">
      <c r="A807" s="30" t="s">
        <v>142</v>
      </c>
      <c r="B807" s="30" t="s">
        <v>81</v>
      </c>
      <c r="C807" s="9" t="s">
        <v>67</v>
      </c>
      <c r="D807" s="32">
        <v>2022</v>
      </c>
      <c r="E807" s="35" t="s">
        <v>163</v>
      </c>
      <c r="F807" s="33">
        <f t="shared" si="26"/>
        <v>1</v>
      </c>
      <c r="G807" s="33">
        <f t="shared" si="26"/>
        <v>0</v>
      </c>
      <c r="H807" s="33">
        <f t="shared" si="26"/>
        <v>0</v>
      </c>
      <c r="I807" s="40">
        <f t="shared" si="25"/>
        <v>5.3333333333333336E-4</v>
      </c>
      <c r="J807" s="40">
        <f t="shared" si="25"/>
        <v>0</v>
      </c>
      <c r="K807" s="40">
        <f t="shared" si="25"/>
        <v>0</v>
      </c>
      <c r="L807" s="40">
        <f>1000*M807/VLOOKUP(D807,'Normalised Rates'!$A$7:$B$12,2,FALSE)</f>
        <v>5.3333333333333336E-4</v>
      </c>
      <c r="M807" s="34">
        <v>1</v>
      </c>
    </row>
    <row r="808" spans="1:13" ht="15" customHeight="1" x14ac:dyDescent="0.25">
      <c r="A808" s="30" t="s">
        <v>142</v>
      </c>
      <c r="B808" s="30" t="s">
        <v>81</v>
      </c>
      <c r="C808" s="9" t="s">
        <v>67</v>
      </c>
      <c r="D808" s="32">
        <v>2023</v>
      </c>
      <c r="E808" s="33" t="s">
        <v>34</v>
      </c>
      <c r="F808" s="33">
        <f t="shared" si="26"/>
        <v>0</v>
      </c>
      <c r="G808" s="33">
        <f t="shared" si="26"/>
        <v>0</v>
      </c>
      <c r="H808" s="33">
        <f t="shared" si="26"/>
        <v>2</v>
      </c>
      <c r="I808" s="40">
        <f t="shared" si="25"/>
        <v>0</v>
      </c>
      <c r="J808" s="40">
        <f t="shared" si="25"/>
        <v>0</v>
      </c>
      <c r="K808" s="40">
        <f t="shared" si="25"/>
        <v>8.7489063867016625E-4</v>
      </c>
      <c r="L808" s="40">
        <f>1000*M808/VLOOKUP(D808,'Normalised Rates'!$A$7:$B$12,2,FALSE)</f>
        <v>8.7489063867016625E-4</v>
      </c>
      <c r="M808" s="34">
        <v>2</v>
      </c>
    </row>
    <row r="809" spans="1:13" ht="15" customHeight="1" x14ac:dyDescent="0.25">
      <c r="A809" s="30" t="s">
        <v>142</v>
      </c>
      <c r="B809" s="30" t="s">
        <v>81</v>
      </c>
      <c r="C809" s="9" t="s">
        <v>67</v>
      </c>
      <c r="D809" s="32">
        <v>2023</v>
      </c>
      <c r="E809" s="35" t="s">
        <v>163</v>
      </c>
      <c r="F809" s="33">
        <f t="shared" si="26"/>
        <v>3</v>
      </c>
      <c r="G809" s="33">
        <f t="shared" si="26"/>
        <v>0</v>
      </c>
      <c r="H809" s="33">
        <f t="shared" si="26"/>
        <v>0</v>
      </c>
      <c r="I809" s="40">
        <f t="shared" si="25"/>
        <v>1.3123359580052493E-3</v>
      </c>
      <c r="J809" s="40">
        <f t="shared" si="25"/>
        <v>0</v>
      </c>
      <c r="K809" s="40">
        <f t="shared" si="25"/>
        <v>0</v>
      </c>
      <c r="L809" s="40">
        <f>1000*M809/VLOOKUP(D809,'Normalised Rates'!$A$7:$B$12,2,FALSE)</f>
        <v>1.3123359580052493E-3</v>
      </c>
      <c r="M809" s="34">
        <v>3</v>
      </c>
    </row>
    <row r="810" spans="1:13" ht="15" customHeight="1" x14ac:dyDescent="0.25">
      <c r="A810" s="30" t="s">
        <v>142</v>
      </c>
      <c r="B810" s="30" t="s">
        <v>81</v>
      </c>
      <c r="C810" s="9" t="s">
        <v>67</v>
      </c>
      <c r="D810" s="32">
        <v>2024</v>
      </c>
      <c r="E810" s="33" t="s">
        <v>34</v>
      </c>
      <c r="F810" s="33">
        <f t="shared" si="26"/>
        <v>0</v>
      </c>
      <c r="G810" s="33">
        <f t="shared" si="26"/>
        <v>0</v>
      </c>
      <c r="H810" s="33">
        <f t="shared" si="26"/>
        <v>2</v>
      </c>
      <c r="I810" s="40">
        <f t="shared" si="25"/>
        <v>0</v>
      </c>
      <c r="J810" s="40">
        <f t="shared" si="25"/>
        <v>0</v>
      </c>
      <c r="K810" s="40">
        <f t="shared" si="25"/>
        <v>7.4543421543048823E-4</v>
      </c>
      <c r="L810" s="40">
        <f>1000*M810/VLOOKUP(D810,'Normalised Rates'!$A$7:$B$12,2,FALSE)</f>
        <v>7.4543421543048823E-4</v>
      </c>
      <c r="M810" s="34">
        <v>2</v>
      </c>
    </row>
    <row r="811" spans="1:13" ht="15" customHeight="1" x14ac:dyDescent="0.25">
      <c r="A811" s="30" t="s">
        <v>142</v>
      </c>
      <c r="B811" s="30" t="s">
        <v>81</v>
      </c>
      <c r="C811" s="9" t="s">
        <v>67</v>
      </c>
      <c r="D811" s="32">
        <v>2025</v>
      </c>
      <c r="E811" s="33" t="s">
        <v>34</v>
      </c>
      <c r="F811" s="33">
        <f t="shared" si="26"/>
        <v>0</v>
      </c>
      <c r="G811" s="33">
        <f t="shared" si="26"/>
        <v>0</v>
      </c>
      <c r="H811" s="33">
        <f t="shared" si="26"/>
        <v>11</v>
      </c>
      <c r="I811" s="40">
        <f t="shared" si="25"/>
        <v>0</v>
      </c>
      <c r="J811" s="40">
        <f t="shared" si="25"/>
        <v>0</v>
      </c>
      <c r="K811" s="40">
        <f t="shared" si="25"/>
        <v>3.4887408816999684E-3</v>
      </c>
      <c r="L811" s="40">
        <f>1000*M811/VLOOKUP(D811,'Normalised Rates'!$A$7:$B$12,2,FALSE)</f>
        <v>3.4887408816999684E-3</v>
      </c>
      <c r="M811" s="34">
        <v>11</v>
      </c>
    </row>
    <row r="812" spans="1:13" ht="15" customHeight="1" x14ac:dyDescent="0.25">
      <c r="A812" s="30" t="s">
        <v>142</v>
      </c>
      <c r="B812" s="30" t="s">
        <v>81</v>
      </c>
      <c r="C812" s="9" t="s">
        <v>67</v>
      </c>
      <c r="D812" s="32">
        <v>2025</v>
      </c>
      <c r="E812" s="35" t="s">
        <v>163</v>
      </c>
      <c r="F812" s="33">
        <f t="shared" si="26"/>
        <v>2</v>
      </c>
      <c r="G812" s="33">
        <f t="shared" si="26"/>
        <v>0</v>
      </c>
      <c r="H812" s="33">
        <f t="shared" si="26"/>
        <v>0</v>
      </c>
      <c r="I812" s="40">
        <f t="shared" si="25"/>
        <v>6.3431652394544877E-4</v>
      </c>
      <c r="J812" s="40">
        <f t="shared" si="25"/>
        <v>0</v>
      </c>
      <c r="K812" s="40">
        <f t="shared" si="25"/>
        <v>0</v>
      </c>
      <c r="L812" s="40">
        <f>1000*M812/VLOOKUP(D812,'Normalised Rates'!$A$7:$B$12,2,FALSE)</f>
        <v>6.3431652394544877E-4</v>
      </c>
      <c r="M812" s="34">
        <v>2</v>
      </c>
    </row>
    <row r="813" spans="1:13" ht="15" customHeight="1" x14ac:dyDescent="0.25">
      <c r="A813" s="30" t="s">
        <v>142</v>
      </c>
      <c r="B813" s="30" t="s">
        <v>81</v>
      </c>
      <c r="C813" s="9" t="s">
        <v>67</v>
      </c>
      <c r="D813" s="32">
        <v>2026</v>
      </c>
      <c r="E813" s="33" t="s">
        <v>34</v>
      </c>
      <c r="F813" s="33">
        <f t="shared" si="26"/>
        <v>0</v>
      </c>
      <c r="G813" s="33">
        <f t="shared" si="26"/>
        <v>0</v>
      </c>
      <c r="H813" s="33">
        <f t="shared" si="26"/>
        <v>6</v>
      </c>
      <c r="I813" s="40">
        <f t="shared" si="25"/>
        <v>0</v>
      </c>
      <c r="J813" s="40">
        <f t="shared" si="25"/>
        <v>0</v>
      </c>
      <c r="K813" s="40">
        <f t="shared" si="25"/>
        <v>4.5670789724072316E-3</v>
      </c>
      <c r="L813" s="40">
        <f>1000*M813/VLOOKUP(D813,'Normalised Rates'!$A$7:$B$12,2,FALSE)</f>
        <v>4.5670789724072316E-3</v>
      </c>
      <c r="M813" s="34">
        <v>6</v>
      </c>
    </row>
    <row r="814" spans="1:13" ht="15" customHeight="1" x14ac:dyDescent="0.25">
      <c r="A814" s="30" t="s">
        <v>142</v>
      </c>
      <c r="B814" s="30" t="s">
        <v>81</v>
      </c>
      <c r="C814" s="9" t="s">
        <v>67</v>
      </c>
      <c r="D814" s="32">
        <v>2026</v>
      </c>
      <c r="E814" s="35" t="s">
        <v>163</v>
      </c>
      <c r="F814" s="33">
        <f t="shared" si="26"/>
        <v>1</v>
      </c>
      <c r="G814" s="33">
        <f t="shared" si="26"/>
        <v>0</v>
      </c>
      <c r="H814" s="33">
        <f t="shared" si="26"/>
        <v>0</v>
      </c>
      <c r="I814" s="40">
        <f t="shared" si="25"/>
        <v>7.6117982873453852E-4</v>
      </c>
      <c r="J814" s="40">
        <f t="shared" si="25"/>
        <v>0</v>
      </c>
      <c r="K814" s="40">
        <f t="shared" si="25"/>
        <v>0</v>
      </c>
      <c r="L814" s="40">
        <f>1000*M814/VLOOKUP(D814,'Normalised Rates'!$A$7:$B$12,2,FALSE)</f>
        <v>7.6117982873453852E-4</v>
      </c>
      <c r="M814" s="34">
        <v>1</v>
      </c>
    </row>
    <row r="815" spans="1:13" ht="15" customHeight="1" x14ac:dyDescent="0.25">
      <c r="A815" s="30" t="s">
        <v>142</v>
      </c>
      <c r="B815" s="30" t="s">
        <v>73</v>
      </c>
      <c r="C815" s="9" t="s">
        <v>67</v>
      </c>
      <c r="D815" s="32">
        <v>2021</v>
      </c>
      <c r="E815" s="35" t="s">
        <v>163</v>
      </c>
      <c r="F815" s="33">
        <f t="shared" si="26"/>
        <v>2</v>
      </c>
      <c r="G815" s="33">
        <f t="shared" si="26"/>
        <v>0</v>
      </c>
      <c r="H815" s="33">
        <f t="shared" si="26"/>
        <v>0</v>
      </c>
      <c r="I815" s="40">
        <f t="shared" si="25"/>
        <v>1.2547051442910915E-3</v>
      </c>
      <c r="J815" s="40">
        <f t="shared" si="25"/>
        <v>0</v>
      </c>
      <c r="K815" s="40">
        <f t="shared" si="25"/>
        <v>0</v>
      </c>
      <c r="L815" s="40">
        <f>1000*M815/VLOOKUP(D815,'Normalised Rates'!$A$7:$B$12,2,FALSE)</f>
        <v>1.2547051442910915E-3</v>
      </c>
      <c r="M815" s="34">
        <v>2</v>
      </c>
    </row>
    <row r="816" spans="1:13" ht="15" customHeight="1" x14ac:dyDescent="0.25">
      <c r="A816" s="30" t="s">
        <v>142</v>
      </c>
      <c r="B816" s="30" t="s">
        <v>73</v>
      </c>
      <c r="C816" s="9" t="s">
        <v>67</v>
      </c>
      <c r="D816" s="32">
        <v>2022</v>
      </c>
      <c r="E816" s="35" t="s">
        <v>163</v>
      </c>
      <c r="F816" s="33">
        <f t="shared" si="26"/>
        <v>2</v>
      </c>
      <c r="G816" s="33">
        <f t="shared" si="26"/>
        <v>0</v>
      </c>
      <c r="H816" s="33">
        <f t="shared" si="26"/>
        <v>0</v>
      </c>
      <c r="I816" s="40">
        <f t="shared" si="25"/>
        <v>1.0666666666666667E-3</v>
      </c>
      <c r="J816" s="40">
        <f t="shared" si="25"/>
        <v>0</v>
      </c>
      <c r="K816" s="40">
        <f t="shared" si="25"/>
        <v>0</v>
      </c>
      <c r="L816" s="40">
        <f>1000*M816/VLOOKUP(D816,'Normalised Rates'!$A$7:$B$12,2,FALSE)</f>
        <v>1.0666666666666667E-3</v>
      </c>
      <c r="M816" s="34">
        <v>2</v>
      </c>
    </row>
    <row r="817" spans="1:13" ht="15" customHeight="1" x14ac:dyDescent="0.25">
      <c r="A817" s="30" t="s">
        <v>142</v>
      </c>
      <c r="B817" s="30" t="s">
        <v>73</v>
      </c>
      <c r="C817" s="9" t="s">
        <v>67</v>
      </c>
      <c r="D817" s="32">
        <v>2023</v>
      </c>
      <c r="E817" s="33" t="s">
        <v>34</v>
      </c>
      <c r="F817" s="33">
        <f t="shared" si="26"/>
        <v>0</v>
      </c>
      <c r="G817" s="33">
        <f t="shared" si="26"/>
        <v>0</v>
      </c>
      <c r="H817" s="33">
        <f t="shared" si="26"/>
        <v>1</v>
      </c>
      <c r="I817" s="40">
        <f t="shared" si="25"/>
        <v>0</v>
      </c>
      <c r="J817" s="40">
        <f t="shared" si="25"/>
        <v>0</v>
      </c>
      <c r="K817" s="40">
        <f t="shared" si="25"/>
        <v>4.3744531933508313E-4</v>
      </c>
      <c r="L817" s="40">
        <f>1000*M817/VLOOKUP(D817,'Normalised Rates'!$A$7:$B$12,2,FALSE)</f>
        <v>4.3744531933508313E-4</v>
      </c>
      <c r="M817" s="34">
        <v>1</v>
      </c>
    </row>
    <row r="818" spans="1:13" ht="15" customHeight="1" x14ac:dyDescent="0.25">
      <c r="A818" s="30" t="s">
        <v>142</v>
      </c>
      <c r="B818" s="30" t="s">
        <v>73</v>
      </c>
      <c r="C818" s="9" t="s">
        <v>67</v>
      </c>
      <c r="D818" s="32">
        <v>2023</v>
      </c>
      <c r="E818" s="35" t="s">
        <v>163</v>
      </c>
      <c r="F818" s="33">
        <f t="shared" si="26"/>
        <v>7</v>
      </c>
      <c r="G818" s="33">
        <f t="shared" si="26"/>
        <v>0</v>
      </c>
      <c r="H818" s="33">
        <f t="shared" si="26"/>
        <v>0</v>
      </c>
      <c r="I818" s="40">
        <f t="shared" si="25"/>
        <v>3.0621172353455816E-3</v>
      </c>
      <c r="J818" s="40">
        <f t="shared" si="25"/>
        <v>0</v>
      </c>
      <c r="K818" s="40">
        <f t="shared" si="25"/>
        <v>0</v>
      </c>
      <c r="L818" s="40">
        <f>1000*M818/VLOOKUP(D818,'Normalised Rates'!$A$7:$B$12,2,FALSE)</f>
        <v>3.0621172353455816E-3</v>
      </c>
      <c r="M818" s="34">
        <v>7</v>
      </c>
    </row>
    <row r="819" spans="1:13" ht="15" customHeight="1" x14ac:dyDescent="0.25">
      <c r="A819" s="30" t="s">
        <v>142</v>
      </c>
      <c r="B819" s="30" t="s">
        <v>73</v>
      </c>
      <c r="C819" s="9" t="s">
        <v>67</v>
      </c>
      <c r="D819" s="32">
        <v>2024</v>
      </c>
      <c r="E819" s="33" t="s">
        <v>34</v>
      </c>
      <c r="F819" s="33">
        <f t="shared" si="26"/>
        <v>0</v>
      </c>
      <c r="G819" s="33">
        <f t="shared" si="26"/>
        <v>0</v>
      </c>
      <c r="H819" s="33">
        <f t="shared" si="26"/>
        <v>4</v>
      </c>
      <c r="I819" s="40">
        <f t="shared" si="25"/>
        <v>0</v>
      </c>
      <c r="J819" s="40">
        <f t="shared" si="25"/>
        <v>0</v>
      </c>
      <c r="K819" s="40">
        <f t="shared" si="25"/>
        <v>1.4908684308609765E-3</v>
      </c>
      <c r="L819" s="40">
        <f>1000*M819/VLOOKUP(D819,'Normalised Rates'!$A$7:$B$12,2,FALSE)</f>
        <v>1.4908684308609765E-3</v>
      </c>
      <c r="M819" s="34">
        <v>4</v>
      </c>
    </row>
    <row r="820" spans="1:13" ht="15" customHeight="1" x14ac:dyDescent="0.25">
      <c r="A820" s="30" t="s">
        <v>142</v>
      </c>
      <c r="B820" s="30" t="s">
        <v>73</v>
      </c>
      <c r="C820" s="9" t="s">
        <v>67</v>
      </c>
      <c r="D820" s="32">
        <v>2024</v>
      </c>
      <c r="E820" s="35" t="s">
        <v>163</v>
      </c>
      <c r="F820" s="33">
        <f t="shared" si="26"/>
        <v>3</v>
      </c>
      <c r="G820" s="33">
        <f t="shared" si="26"/>
        <v>0</v>
      </c>
      <c r="H820" s="33">
        <f t="shared" si="26"/>
        <v>0</v>
      </c>
      <c r="I820" s="40">
        <f t="shared" si="25"/>
        <v>1.1181513231457323E-3</v>
      </c>
      <c r="J820" s="40">
        <f t="shared" si="25"/>
        <v>0</v>
      </c>
      <c r="K820" s="40">
        <f t="shared" si="25"/>
        <v>0</v>
      </c>
      <c r="L820" s="40">
        <f>1000*M820/VLOOKUP(D820,'Normalised Rates'!$A$7:$B$12,2,FALSE)</f>
        <v>1.1181513231457323E-3</v>
      </c>
      <c r="M820" s="34">
        <v>3</v>
      </c>
    </row>
    <row r="821" spans="1:13" ht="15" customHeight="1" x14ac:dyDescent="0.25">
      <c r="A821" s="30" t="s">
        <v>142</v>
      </c>
      <c r="B821" s="30" t="s">
        <v>73</v>
      </c>
      <c r="C821" s="9" t="s">
        <v>67</v>
      </c>
      <c r="D821" s="32">
        <v>2025</v>
      </c>
      <c r="E821" s="33" t="s">
        <v>34</v>
      </c>
      <c r="F821" s="33">
        <f t="shared" si="26"/>
        <v>0</v>
      </c>
      <c r="G821" s="33">
        <f t="shared" si="26"/>
        <v>0</v>
      </c>
      <c r="H821" s="33">
        <f t="shared" si="26"/>
        <v>1</v>
      </c>
      <c r="I821" s="40">
        <f t="shared" si="25"/>
        <v>0</v>
      </c>
      <c r="J821" s="40">
        <f t="shared" si="25"/>
        <v>0</v>
      </c>
      <c r="K821" s="40">
        <f t="shared" si="25"/>
        <v>3.1715826197272439E-4</v>
      </c>
      <c r="L821" s="40">
        <f>1000*M821/VLOOKUP(D821,'Normalised Rates'!$A$7:$B$12,2,FALSE)</f>
        <v>3.1715826197272439E-4</v>
      </c>
      <c r="M821" s="34">
        <v>1</v>
      </c>
    </row>
    <row r="822" spans="1:13" ht="15" customHeight="1" x14ac:dyDescent="0.25">
      <c r="A822" s="30" t="s">
        <v>142</v>
      </c>
      <c r="B822" s="30" t="s">
        <v>73</v>
      </c>
      <c r="C822" s="9" t="s">
        <v>67</v>
      </c>
      <c r="D822" s="32">
        <v>2026</v>
      </c>
      <c r="E822" s="33" t="s">
        <v>34</v>
      </c>
      <c r="F822" s="33">
        <f t="shared" si="26"/>
        <v>0</v>
      </c>
      <c r="G822" s="33">
        <f t="shared" si="26"/>
        <v>0</v>
      </c>
      <c r="H822" s="33">
        <f t="shared" si="26"/>
        <v>3</v>
      </c>
      <c r="I822" s="40">
        <f t="shared" si="25"/>
        <v>0</v>
      </c>
      <c r="J822" s="40">
        <f t="shared" si="25"/>
        <v>0</v>
      </c>
      <c r="K822" s="40">
        <f t="shared" si="25"/>
        <v>2.2835394862036158E-3</v>
      </c>
      <c r="L822" s="40">
        <f>1000*M822/VLOOKUP(D822,'Normalised Rates'!$A$7:$B$12,2,FALSE)</f>
        <v>2.2835394862036158E-3</v>
      </c>
      <c r="M822" s="34">
        <v>3</v>
      </c>
    </row>
    <row r="823" spans="1:13" ht="15" customHeight="1" x14ac:dyDescent="0.25">
      <c r="A823" s="30" t="s">
        <v>142</v>
      </c>
      <c r="B823" s="30" t="s">
        <v>83</v>
      </c>
      <c r="C823" s="9" t="s">
        <v>84</v>
      </c>
      <c r="D823" s="32">
        <v>2022</v>
      </c>
      <c r="E823" s="33" t="s">
        <v>34</v>
      </c>
      <c r="F823" s="33">
        <f t="shared" si="26"/>
        <v>0</v>
      </c>
      <c r="G823" s="33">
        <f t="shared" si="26"/>
        <v>0</v>
      </c>
      <c r="H823" s="33">
        <f t="shared" si="26"/>
        <v>1</v>
      </c>
      <c r="I823" s="40">
        <f t="shared" si="25"/>
        <v>0</v>
      </c>
      <c r="J823" s="40">
        <f t="shared" si="25"/>
        <v>0</v>
      </c>
      <c r="K823" s="40">
        <f t="shared" si="25"/>
        <v>5.3333333333333336E-4</v>
      </c>
      <c r="L823" s="40">
        <f>1000*M823/VLOOKUP(D823,'Normalised Rates'!$A$7:$B$12,2,FALSE)</f>
        <v>5.3333333333333336E-4</v>
      </c>
      <c r="M823" s="34">
        <v>1</v>
      </c>
    </row>
    <row r="824" spans="1:13" ht="15" customHeight="1" x14ac:dyDescent="0.25">
      <c r="A824" s="30" t="s">
        <v>142</v>
      </c>
      <c r="B824" s="30" t="s">
        <v>83</v>
      </c>
      <c r="C824" s="9" t="s">
        <v>84</v>
      </c>
      <c r="D824" s="32">
        <v>2022</v>
      </c>
      <c r="E824" s="35" t="s">
        <v>163</v>
      </c>
      <c r="F824" s="33">
        <f t="shared" si="26"/>
        <v>1</v>
      </c>
      <c r="G824" s="33">
        <f t="shared" si="26"/>
        <v>0</v>
      </c>
      <c r="H824" s="33">
        <f t="shared" si="26"/>
        <v>0</v>
      </c>
      <c r="I824" s="40">
        <f t="shared" si="25"/>
        <v>5.3333333333333336E-4</v>
      </c>
      <c r="J824" s="40">
        <f t="shared" si="25"/>
        <v>0</v>
      </c>
      <c r="K824" s="40">
        <f t="shared" si="25"/>
        <v>0</v>
      </c>
      <c r="L824" s="40">
        <f>1000*M824/VLOOKUP(D824,'Normalised Rates'!$A$7:$B$12,2,FALSE)</f>
        <v>5.3333333333333336E-4</v>
      </c>
      <c r="M824" s="34">
        <v>1</v>
      </c>
    </row>
    <row r="825" spans="1:13" ht="15" customHeight="1" x14ac:dyDescent="0.25">
      <c r="A825" s="30" t="s">
        <v>142</v>
      </c>
      <c r="B825" s="30" t="s">
        <v>83</v>
      </c>
      <c r="C825" s="9" t="s">
        <v>84</v>
      </c>
      <c r="D825" s="32">
        <v>2023</v>
      </c>
      <c r="E825" s="33" t="s">
        <v>34</v>
      </c>
      <c r="F825" s="33">
        <f t="shared" si="26"/>
        <v>0</v>
      </c>
      <c r="G825" s="33">
        <f t="shared" si="26"/>
        <v>0</v>
      </c>
      <c r="H825" s="33">
        <f t="shared" si="26"/>
        <v>6</v>
      </c>
      <c r="I825" s="40">
        <f t="shared" si="25"/>
        <v>0</v>
      </c>
      <c r="J825" s="40">
        <f t="shared" si="25"/>
        <v>0</v>
      </c>
      <c r="K825" s="40">
        <f t="shared" si="25"/>
        <v>2.6246719160104987E-3</v>
      </c>
      <c r="L825" s="40">
        <f>1000*M825/VLOOKUP(D825,'Normalised Rates'!$A$7:$B$12,2,FALSE)</f>
        <v>2.6246719160104987E-3</v>
      </c>
      <c r="M825" s="34">
        <v>6</v>
      </c>
    </row>
    <row r="826" spans="1:13" ht="15" customHeight="1" x14ac:dyDescent="0.25">
      <c r="A826" s="30" t="s">
        <v>142</v>
      </c>
      <c r="B826" s="30" t="s">
        <v>83</v>
      </c>
      <c r="C826" s="9" t="s">
        <v>84</v>
      </c>
      <c r="D826" s="32">
        <v>2023</v>
      </c>
      <c r="E826" s="35" t="s">
        <v>163</v>
      </c>
      <c r="F826" s="33">
        <f t="shared" si="26"/>
        <v>2</v>
      </c>
      <c r="G826" s="33">
        <f t="shared" si="26"/>
        <v>0</v>
      </c>
      <c r="H826" s="33">
        <f t="shared" si="26"/>
        <v>0</v>
      </c>
      <c r="I826" s="40">
        <f t="shared" si="25"/>
        <v>8.7489063867016625E-4</v>
      </c>
      <c r="J826" s="40">
        <f t="shared" si="25"/>
        <v>0</v>
      </c>
      <c r="K826" s="40">
        <f t="shared" si="25"/>
        <v>0</v>
      </c>
      <c r="L826" s="40">
        <f>1000*M826/VLOOKUP(D826,'Normalised Rates'!$A$7:$B$12,2,FALSE)</f>
        <v>8.7489063867016625E-4</v>
      </c>
      <c r="M826" s="34">
        <v>2</v>
      </c>
    </row>
    <row r="827" spans="1:13" ht="15" customHeight="1" x14ac:dyDescent="0.25">
      <c r="A827" s="30" t="s">
        <v>142</v>
      </c>
      <c r="B827" s="30" t="s">
        <v>83</v>
      </c>
      <c r="C827" s="9" t="s">
        <v>84</v>
      </c>
      <c r="D827" s="32">
        <v>2024</v>
      </c>
      <c r="E827" s="33" t="s">
        <v>34</v>
      </c>
      <c r="F827" s="33">
        <f t="shared" si="26"/>
        <v>0</v>
      </c>
      <c r="G827" s="33">
        <f t="shared" si="26"/>
        <v>0</v>
      </c>
      <c r="H827" s="33">
        <f t="shared" si="26"/>
        <v>3</v>
      </c>
      <c r="I827" s="40">
        <f t="shared" si="25"/>
        <v>0</v>
      </c>
      <c r="J827" s="40">
        <f t="shared" si="25"/>
        <v>0</v>
      </c>
      <c r="K827" s="40">
        <f t="shared" si="25"/>
        <v>1.1181513231457323E-3</v>
      </c>
      <c r="L827" s="40">
        <f>1000*M827/VLOOKUP(D827,'Normalised Rates'!$A$7:$B$12,2,FALSE)</f>
        <v>1.1181513231457323E-3</v>
      </c>
      <c r="M827" s="34">
        <v>3</v>
      </c>
    </row>
    <row r="828" spans="1:13" ht="15" customHeight="1" x14ac:dyDescent="0.25">
      <c r="A828" s="30" t="s">
        <v>142</v>
      </c>
      <c r="B828" s="30" t="s">
        <v>83</v>
      </c>
      <c r="C828" s="9" t="s">
        <v>84</v>
      </c>
      <c r="D828" s="32">
        <v>2024</v>
      </c>
      <c r="E828" s="35" t="s">
        <v>163</v>
      </c>
      <c r="F828" s="33">
        <f t="shared" si="26"/>
        <v>1</v>
      </c>
      <c r="G828" s="33">
        <f t="shared" si="26"/>
        <v>0</v>
      </c>
      <c r="H828" s="33">
        <f t="shared" si="26"/>
        <v>0</v>
      </c>
      <c r="I828" s="40">
        <f t="shared" si="25"/>
        <v>3.7271710771524412E-4</v>
      </c>
      <c r="J828" s="40">
        <f t="shared" si="25"/>
        <v>0</v>
      </c>
      <c r="K828" s="40">
        <f t="shared" si="25"/>
        <v>0</v>
      </c>
      <c r="L828" s="40">
        <f>1000*M828/VLOOKUP(D828,'Normalised Rates'!$A$7:$B$12,2,FALSE)</f>
        <v>3.7271710771524412E-4</v>
      </c>
      <c r="M828" s="34">
        <v>1</v>
      </c>
    </row>
    <row r="829" spans="1:13" ht="15" customHeight="1" x14ac:dyDescent="0.25">
      <c r="A829" s="30" t="s">
        <v>142</v>
      </c>
      <c r="B829" s="30" t="s">
        <v>83</v>
      </c>
      <c r="C829" s="9" t="s">
        <v>84</v>
      </c>
      <c r="D829" s="32">
        <v>2025</v>
      </c>
      <c r="E829" s="33" t="s">
        <v>34</v>
      </c>
      <c r="F829" s="33">
        <f t="shared" si="26"/>
        <v>0</v>
      </c>
      <c r="G829" s="33">
        <f t="shared" si="26"/>
        <v>0</v>
      </c>
      <c r="H829" s="33">
        <f t="shared" si="26"/>
        <v>3</v>
      </c>
      <c r="I829" s="40">
        <f t="shared" si="25"/>
        <v>0</v>
      </c>
      <c r="J829" s="40">
        <f t="shared" si="25"/>
        <v>0</v>
      </c>
      <c r="K829" s="40">
        <f t="shared" si="25"/>
        <v>9.5147478591817321E-4</v>
      </c>
      <c r="L829" s="40">
        <f>1000*M829/VLOOKUP(D829,'Normalised Rates'!$A$7:$B$12,2,FALSE)</f>
        <v>9.5147478591817321E-4</v>
      </c>
      <c r="M829" s="34">
        <v>3</v>
      </c>
    </row>
    <row r="830" spans="1:13" ht="15" customHeight="1" x14ac:dyDescent="0.25">
      <c r="A830" s="30" t="s">
        <v>142</v>
      </c>
      <c r="B830" s="30" t="s">
        <v>83</v>
      </c>
      <c r="C830" s="9" t="s">
        <v>84</v>
      </c>
      <c r="D830" s="32">
        <v>2026</v>
      </c>
      <c r="E830" s="33" t="s">
        <v>34</v>
      </c>
      <c r="F830" s="33">
        <f t="shared" si="26"/>
        <v>0</v>
      </c>
      <c r="G830" s="33">
        <f t="shared" si="26"/>
        <v>0</v>
      </c>
      <c r="H830" s="33">
        <f t="shared" si="26"/>
        <v>4</v>
      </c>
      <c r="I830" s="40">
        <f t="shared" si="25"/>
        <v>0</v>
      </c>
      <c r="J830" s="40">
        <f t="shared" si="25"/>
        <v>0</v>
      </c>
      <c r="K830" s="40">
        <f t="shared" si="25"/>
        <v>3.0447193149381541E-3</v>
      </c>
      <c r="L830" s="40">
        <f>1000*M830/VLOOKUP(D830,'Normalised Rates'!$A$7:$B$12,2,FALSE)</f>
        <v>3.0447193149381541E-3</v>
      </c>
      <c r="M830" s="34">
        <v>4</v>
      </c>
    </row>
    <row r="831" spans="1:13" ht="15" customHeight="1" x14ac:dyDescent="0.25">
      <c r="A831" s="30" t="s">
        <v>142</v>
      </c>
      <c r="B831" s="30" t="s">
        <v>75</v>
      </c>
      <c r="C831" s="9" t="s">
        <v>67</v>
      </c>
      <c r="D831" s="32">
        <v>2022</v>
      </c>
      <c r="E831" s="33" t="s">
        <v>34</v>
      </c>
      <c r="F831" s="33">
        <f t="shared" si="26"/>
        <v>0</v>
      </c>
      <c r="G831" s="33">
        <f t="shared" si="26"/>
        <v>0</v>
      </c>
      <c r="H831" s="33">
        <f t="shared" si="26"/>
        <v>1</v>
      </c>
      <c r="I831" s="40">
        <f t="shared" si="25"/>
        <v>0</v>
      </c>
      <c r="J831" s="40">
        <f t="shared" si="25"/>
        <v>0</v>
      </c>
      <c r="K831" s="40">
        <f t="shared" si="25"/>
        <v>5.3333333333333336E-4</v>
      </c>
      <c r="L831" s="40">
        <f>1000*M831/VLOOKUP(D831,'Normalised Rates'!$A$7:$B$12,2,FALSE)</f>
        <v>5.3333333333333336E-4</v>
      </c>
      <c r="M831" s="34">
        <v>1</v>
      </c>
    </row>
    <row r="832" spans="1:13" ht="15" customHeight="1" x14ac:dyDescent="0.25">
      <c r="A832" s="30" t="s">
        <v>142</v>
      </c>
      <c r="B832" s="30" t="s">
        <v>75</v>
      </c>
      <c r="C832" s="9" t="s">
        <v>67</v>
      </c>
      <c r="D832" s="32">
        <v>2022</v>
      </c>
      <c r="E832" s="35" t="s">
        <v>163</v>
      </c>
      <c r="F832" s="33">
        <f t="shared" si="26"/>
        <v>1</v>
      </c>
      <c r="G832" s="33">
        <f t="shared" si="26"/>
        <v>0</v>
      </c>
      <c r="H832" s="33">
        <f t="shared" si="26"/>
        <v>0</v>
      </c>
      <c r="I832" s="40">
        <f t="shared" si="25"/>
        <v>5.3333333333333336E-4</v>
      </c>
      <c r="J832" s="40">
        <f t="shared" si="25"/>
        <v>0</v>
      </c>
      <c r="K832" s="40">
        <f t="shared" si="25"/>
        <v>0</v>
      </c>
      <c r="L832" s="40">
        <f>1000*M832/VLOOKUP(D832,'Normalised Rates'!$A$7:$B$12,2,FALSE)</f>
        <v>5.3333333333333336E-4</v>
      </c>
      <c r="M832" s="34">
        <v>1</v>
      </c>
    </row>
    <row r="833" spans="1:13" ht="15" customHeight="1" x14ac:dyDescent="0.25">
      <c r="A833" s="30" t="s">
        <v>142</v>
      </c>
      <c r="B833" s="30" t="s">
        <v>75</v>
      </c>
      <c r="C833" s="9" t="s">
        <v>67</v>
      </c>
      <c r="D833" s="32">
        <v>2023</v>
      </c>
      <c r="E833" s="33" t="s">
        <v>34</v>
      </c>
      <c r="F833" s="33">
        <f t="shared" si="26"/>
        <v>0</v>
      </c>
      <c r="G833" s="33">
        <f t="shared" si="26"/>
        <v>0</v>
      </c>
      <c r="H833" s="33">
        <f t="shared" si="26"/>
        <v>2</v>
      </c>
      <c r="I833" s="40">
        <f t="shared" si="25"/>
        <v>0</v>
      </c>
      <c r="J833" s="40">
        <f t="shared" si="25"/>
        <v>0</v>
      </c>
      <c r="K833" s="40">
        <f t="shared" si="25"/>
        <v>8.7489063867016625E-4</v>
      </c>
      <c r="L833" s="40">
        <f>1000*M833/VLOOKUP(D833,'Normalised Rates'!$A$7:$B$12,2,FALSE)</f>
        <v>8.7489063867016625E-4</v>
      </c>
      <c r="M833" s="34">
        <v>2</v>
      </c>
    </row>
    <row r="834" spans="1:13" ht="15" customHeight="1" x14ac:dyDescent="0.25">
      <c r="A834" s="30" t="s">
        <v>142</v>
      </c>
      <c r="B834" s="30" t="s">
        <v>75</v>
      </c>
      <c r="C834" s="9" t="s">
        <v>67</v>
      </c>
      <c r="D834" s="32">
        <v>2023</v>
      </c>
      <c r="E834" s="35" t="s">
        <v>163</v>
      </c>
      <c r="F834" s="33">
        <f t="shared" si="26"/>
        <v>3</v>
      </c>
      <c r="G834" s="33">
        <f t="shared" si="26"/>
        <v>0</v>
      </c>
      <c r="H834" s="33">
        <f t="shared" si="26"/>
        <v>0</v>
      </c>
      <c r="I834" s="40">
        <f t="shared" si="25"/>
        <v>1.3123359580052493E-3</v>
      </c>
      <c r="J834" s="40">
        <f t="shared" si="25"/>
        <v>0</v>
      </c>
      <c r="K834" s="40">
        <f t="shared" si="25"/>
        <v>0</v>
      </c>
      <c r="L834" s="40">
        <f>1000*M834/VLOOKUP(D834,'Normalised Rates'!$A$7:$B$12,2,FALSE)</f>
        <v>1.3123359580052493E-3</v>
      </c>
      <c r="M834" s="34">
        <v>3</v>
      </c>
    </row>
    <row r="835" spans="1:13" ht="15" customHeight="1" x14ac:dyDescent="0.25">
      <c r="A835" s="30" t="s">
        <v>142</v>
      </c>
      <c r="B835" s="30" t="s">
        <v>75</v>
      </c>
      <c r="C835" s="9" t="s">
        <v>67</v>
      </c>
      <c r="D835" s="32">
        <v>2024</v>
      </c>
      <c r="E835" s="33" t="s">
        <v>34</v>
      </c>
      <c r="F835" s="33">
        <f t="shared" si="26"/>
        <v>0</v>
      </c>
      <c r="G835" s="33">
        <f t="shared" si="26"/>
        <v>0</v>
      </c>
      <c r="H835" s="33">
        <f t="shared" si="26"/>
        <v>1</v>
      </c>
      <c r="I835" s="40">
        <f t="shared" si="25"/>
        <v>0</v>
      </c>
      <c r="J835" s="40">
        <f t="shared" si="25"/>
        <v>0</v>
      </c>
      <c r="K835" s="40">
        <f t="shared" si="25"/>
        <v>3.7271710771524412E-4</v>
      </c>
      <c r="L835" s="40">
        <f>1000*M835/VLOOKUP(D835,'Normalised Rates'!$A$7:$B$12,2,FALSE)</f>
        <v>3.7271710771524412E-4</v>
      </c>
      <c r="M835" s="34">
        <v>1</v>
      </c>
    </row>
    <row r="836" spans="1:13" ht="15" customHeight="1" x14ac:dyDescent="0.25">
      <c r="A836" s="30" t="s">
        <v>142</v>
      </c>
      <c r="B836" s="30" t="s">
        <v>75</v>
      </c>
      <c r="C836" s="9" t="s">
        <v>67</v>
      </c>
      <c r="D836" s="32">
        <v>2024</v>
      </c>
      <c r="E836" s="35" t="s">
        <v>163</v>
      </c>
      <c r="F836" s="33">
        <f t="shared" si="26"/>
        <v>3</v>
      </c>
      <c r="G836" s="33">
        <f t="shared" si="26"/>
        <v>0</v>
      </c>
      <c r="H836" s="33">
        <f t="shared" si="26"/>
        <v>0</v>
      </c>
      <c r="I836" s="40">
        <f t="shared" si="25"/>
        <v>1.1181513231457323E-3</v>
      </c>
      <c r="J836" s="40">
        <f t="shared" si="25"/>
        <v>0</v>
      </c>
      <c r="K836" s="40">
        <f t="shared" si="25"/>
        <v>0</v>
      </c>
      <c r="L836" s="40">
        <f>1000*M836/VLOOKUP(D836,'Normalised Rates'!$A$7:$B$12,2,FALSE)</f>
        <v>1.1181513231457323E-3</v>
      </c>
      <c r="M836" s="34">
        <v>3</v>
      </c>
    </row>
    <row r="837" spans="1:13" ht="15" customHeight="1" x14ac:dyDescent="0.25">
      <c r="A837" s="30" t="s">
        <v>142</v>
      </c>
      <c r="B837" s="30" t="s">
        <v>75</v>
      </c>
      <c r="C837" s="9" t="s">
        <v>67</v>
      </c>
      <c r="D837" s="32">
        <v>2025</v>
      </c>
      <c r="E837" s="33" t="s">
        <v>34</v>
      </c>
      <c r="F837" s="33">
        <f t="shared" si="26"/>
        <v>0</v>
      </c>
      <c r="G837" s="33">
        <f t="shared" si="26"/>
        <v>0</v>
      </c>
      <c r="H837" s="33">
        <f t="shared" si="26"/>
        <v>1</v>
      </c>
      <c r="I837" s="40">
        <f t="shared" si="25"/>
        <v>0</v>
      </c>
      <c r="J837" s="40">
        <f t="shared" si="25"/>
        <v>0</v>
      </c>
      <c r="K837" s="40">
        <f t="shared" si="25"/>
        <v>3.1715826197272439E-4</v>
      </c>
      <c r="L837" s="40">
        <f>1000*M837/VLOOKUP(D837,'Normalised Rates'!$A$7:$B$12,2,FALSE)</f>
        <v>3.1715826197272439E-4</v>
      </c>
      <c r="M837" s="34">
        <v>1</v>
      </c>
    </row>
    <row r="838" spans="1:13" ht="15" customHeight="1" x14ac:dyDescent="0.25">
      <c r="A838" s="30" t="s">
        <v>142</v>
      </c>
      <c r="B838" s="30" t="s">
        <v>75</v>
      </c>
      <c r="C838" s="9" t="s">
        <v>67</v>
      </c>
      <c r="D838" s="32">
        <v>2026</v>
      </c>
      <c r="E838" s="33" t="s">
        <v>34</v>
      </c>
      <c r="F838" s="33">
        <f t="shared" si="26"/>
        <v>0</v>
      </c>
      <c r="G838" s="33">
        <f t="shared" si="26"/>
        <v>0</v>
      </c>
      <c r="H838" s="33">
        <f t="shared" si="26"/>
        <v>4</v>
      </c>
      <c r="I838" s="40">
        <f t="shared" si="25"/>
        <v>0</v>
      </c>
      <c r="J838" s="40">
        <f t="shared" si="25"/>
        <v>0</v>
      </c>
      <c r="K838" s="40">
        <f t="shared" si="25"/>
        <v>3.0447193149381541E-3</v>
      </c>
      <c r="L838" s="40">
        <f>1000*M838/VLOOKUP(D838,'Normalised Rates'!$A$7:$B$12,2,FALSE)</f>
        <v>3.0447193149381541E-3</v>
      </c>
      <c r="M838" s="34">
        <v>4</v>
      </c>
    </row>
    <row r="839" spans="1:13" ht="15" customHeight="1" x14ac:dyDescent="0.25">
      <c r="A839" s="30" t="s">
        <v>142</v>
      </c>
      <c r="B839" s="30" t="s">
        <v>90</v>
      </c>
      <c r="C839" s="9" t="s">
        <v>67</v>
      </c>
      <c r="D839" s="32">
        <v>2021</v>
      </c>
      <c r="E839" s="35" t="s">
        <v>163</v>
      </c>
      <c r="F839" s="33">
        <f t="shared" si="26"/>
        <v>1</v>
      </c>
      <c r="G839" s="33">
        <f t="shared" si="26"/>
        <v>0</v>
      </c>
      <c r="H839" s="33">
        <f t="shared" si="26"/>
        <v>0</v>
      </c>
      <c r="I839" s="40">
        <f t="shared" ref="I839:K902" si="27">IF(_xlfn.CONCAT($E839,"%")=I$5,$L839,0)</f>
        <v>6.2735257214554575E-4</v>
      </c>
      <c r="J839" s="40">
        <f t="shared" si="27"/>
        <v>0</v>
      </c>
      <c r="K839" s="40">
        <f t="shared" si="27"/>
        <v>0</v>
      </c>
      <c r="L839" s="40">
        <f>1000*M839/VLOOKUP(D839,'Normalised Rates'!$A$7:$B$12,2,FALSE)</f>
        <v>6.2735257214554575E-4</v>
      </c>
      <c r="M839" s="34">
        <v>1</v>
      </c>
    </row>
    <row r="840" spans="1:13" ht="15" customHeight="1" x14ac:dyDescent="0.25">
      <c r="A840" s="30" t="s">
        <v>142</v>
      </c>
      <c r="B840" s="30" t="s">
        <v>90</v>
      </c>
      <c r="C840" s="9" t="s">
        <v>67</v>
      </c>
      <c r="D840" s="32">
        <v>2022</v>
      </c>
      <c r="E840" s="35" t="s">
        <v>163</v>
      </c>
      <c r="F840" s="33">
        <f t="shared" si="26"/>
        <v>3</v>
      </c>
      <c r="G840" s="33">
        <f t="shared" si="26"/>
        <v>0</v>
      </c>
      <c r="H840" s="33">
        <f t="shared" si="26"/>
        <v>0</v>
      </c>
      <c r="I840" s="40">
        <f t="shared" si="27"/>
        <v>1.6000000000000001E-3</v>
      </c>
      <c r="J840" s="40">
        <f t="shared" si="27"/>
        <v>0</v>
      </c>
      <c r="K840" s="40">
        <f t="shared" si="27"/>
        <v>0</v>
      </c>
      <c r="L840" s="40">
        <f>1000*M840/VLOOKUP(D840,'Normalised Rates'!$A$7:$B$12,2,FALSE)</f>
        <v>1.6000000000000001E-3</v>
      </c>
      <c r="M840" s="34">
        <v>3</v>
      </c>
    </row>
    <row r="841" spans="1:13" ht="15" customHeight="1" x14ac:dyDescent="0.25">
      <c r="A841" s="30" t="s">
        <v>142</v>
      </c>
      <c r="B841" s="30" t="s">
        <v>90</v>
      </c>
      <c r="C841" s="9" t="s">
        <v>67</v>
      </c>
      <c r="D841" s="32">
        <v>2023</v>
      </c>
      <c r="E841" s="33" t="s">
        <v>34</v>
      </c>
      <c r="F841" s="33">
        <f t="shared" ref="F841:H904" si="28">IF($E841=F$5,$M841,0)</f>
        <v>0</v>
      </c>
      <c r="G841" s="33">
        <f t="shared" si="28"/>
        <v>0</v>
      </c>
      <c r="H841" s="33">
        <f t="shared" si="28"/>
        <v>1</v>
      </c>
      <c r="I841" s="40">
        <f t="shared" si="27"/>
        <v>0</v>
      </c>
      <c r="J841" s="40">
        <f t="shared" si="27"/>
        <v>0</v>
      </c>
      <c r="K841" s="40">
        <f t="shared" si="27"/>
        <v>4.3744531933508313E-4</v>
      </c>
      <c r="L841" s="40">
        <f>1000*M841/VLOOKUP(D841,'Normalised Rates'!$A$7:$B$12,2,FALSE)</f>
        <v>4.3744531933508313E-4</v>
      </c>
      <c r="M841" s="34">
        <v>1</v>
      </c>
    </row>
    <row r="842" spans="1:13" ht="15" customHeight="1" x14ac:dyDescent="0.25">
      <c r="A842" s="30" t="s">
        <v>142</v>
      </c>
      <c r="B842" s="30" t="s">
        <v>90</v>
      </c>
      <c r="C842" s="9" t="s">
        <v>67</v>
      </c>
      <c r="D842" s="32">
        <v>2023</v>
      </c>
      <c r="E842" s="35" t="s">
        <v>163</v>
      </c>
      <c r="F842" s="33">
        <f t="shared" si="28"/>
        <v>3</v>
      </c>
      <c r="G842" s="33">
        <f t="shared" si="28"/>
        <v>0</v>
      </c>
      <c r="H842" s="33">
        <f t="shared" si="28"/>
        <v>0</v>
      </c>
      <c r="I842" s="40">
        <f t="shared" si="27"/>
        <v>1.3123359580052493E-3</v>
      </c>
      <c r="J842" s="40">
        <f t="shared" si="27"/>
        <v>0</v>
      </c>
      <c r="K842" s="40">
        <f t="shared" si="27"/>
        <v>0</v>
      </c>
      <c r="L842" s="40">
        <f>1000*M842/VLOOKUP(D842,'Normalised Rates'!$A$7:$B$12,2,FALSE)</f>
        <v>1.3123359580052493E-3</v>
      </c>
      <c r="M842" s="34">
        <v>3</v>
      </c>
    </row>
    <row r="843" spans="1:13" ht="15" customHeight="1" x14ac:dyDescent="0.25">
      <c r="A843" s="30" t="s">
        <v>142</v>
      </c>
      <c r="B843" s="30" t="s">
        <v>90</v>
      </c>
      <c r="C843" s="9" t="s">
        <v>67</v>
      </c>
      <c r="D843" s="32">
        <v>2024</v>
      </c>
      <c r="E843" s="35" t="s">
        <v>163</v>
      </c>
      <c r="F843" s="33">
        <f t="shared" si="28"/>
        <v>1</v>
      </c>
      <c r="G843" s="33">
        <f t="shared" si="28"/>
        <v>0</v>
      </c>
      <c r="H843" s="33">
        <f t="shared" si="28"/>
        <v>0</v>
      </c>
      <c r="I843" s="40">
        <f t="shared" si="27"/>
        <v>3.7271710771524412E-4</v>
      </c>
      <c r="J843" s="40">
        <f t="shared" si="27"/>
        <v>0</v>
      </c>
      <c r="K843" s="40">
        <f t="shared" si="27"/>
        <v>0</v>
      </c>
      <c r="L843" s="40">
        <f>1000*M843/VLOOKUP(D843,'Normalised Rates'!$A$7:$B$12,2,FALSE)</f>
        <v>3.7271710771524412E-4</v>
      </c>
      <c r="M843" s="34">
        <v>1</v>
      </c>
    </row>
    <row r="844" spans="1:13" ht="15" customHeight="1" x14ac:dyDescent="0.25">
      <c r="A844" s="30" t="s">
        <v>142</v>
      </c>
      <c r="B844" s="30" t="s">
        <v>90</v>
      </c>
      <c r="C844" s="9" t="s">
        <v>67</v>
      </c>
      <c r="D844" s="32">
        <v>2025</v>
      </c>
      <c r="E844" s="33" t="s">
        <v>34</v>
      </c>
      <c r="F844" s="33">
        <f t="shared" si="28"/>
        <v>0</v>
      </c>
      <c r="G844" s="33">
        <f t="shared" si="28"/>
        <v>0</v>
      </c>
      <c r="H844" s="33">
        <f t="shared" si="28"/>
        <v>3</v>
      </c>
      <c r="I844" s="40">
        <f t="shared" si="27"/>
        <v>0</v>
      </c>
      <c r="J844" s="40">
        <f t="shared" si="27"/>
        <v>0</v>
      </c>
      <c r="K844" s="40">
        <f t="shared" si="27"/>
        <v>9.5147478591817321E-4</v>
      </c>
      <c r="L844" s="40">
        <f>1000*M844/VLOOKUP(D844,'Normalised Rates'!$A$7:$B$12,2,FALSE)</f>
        <v>9.5147478591817321E-4</v>
      </c>
      <c r="M844" s="34">
        <v>3</v>
      </c>
    </row>
    <row r="845" spans="1:13" ht="15" customHeight="1" x14ac:dyDescent="0.25">
      <c r="A845" s="30" t="s">
        <v>142</v>
      </c>
      <c r="B845" s="30" t="s">
        <v>90</v>
      </c>
      <c r="C845" s="9" t="s">
        <v>67</v>
      </c>
      <c r="D845" s="32">
        <v>2026</v>
      </c>
      <c r="E845" s="33" t="s">
        <v>34</v>
      </c>
      <c r="F845" s="33">
        <f t="shared" si="28"/>
        <v>0</v>
      </c>
      <c r="G845" s="33">
        <f t="shared" si="28"/>
        <v>0</v>
      </c>
      <c r="H845" s="33">
        <f t="shared" si="28"/>
        <v>4</v>
      </c>
      <c r="I845" s="40">
        <f t="shared" si="27"/>
        <v>0</v>
      </c>
      <c r="J845" s="40">
        <f t="shared" si="27"/>
        <v>0</v>
      </c>
      <c r="K845" s="40">
        <f t="shared" si="27"/>
        <v>3.0447193149381541E-3</v>
      </c>
      <c r="L845" s="40">
        <f>1000*M845/VLOOKUP(D845,'Normalised Rates'!$A$7:$B$12,2,FALSE)</f>
        <v>3.0447193149381541E-3</v>
      </c>
      <c r="M845" s="34">
        <v>4</v>
      </c>
    </row>
    <row r="846" spans="1:13" ht="15" customHeight="1" x14ac:dyDescent="0.25">
      <c r="A846" s="30" t="s">
        <v>142</v>
      </c>
      <c r="B846" s="30" t="s">
        <v>86</v>
      </c>
      <c r="C846" s="9" t="s">
        <v>84</v>
      </c>
      <c r="D846" s="32">
        <v>2021</v>
      </c>
      <c r="E846" s="33" t="s">
        <v>34</v>
      </c>
      <c r="F846" s="33">
        <f t="shared" si="28"/>
        <v>0</v>
      </c>
      <c r="G846" s="33">
        <f t="shared" si="28"/>
        <v>0</v>
      </c>
      <c r="H846" s="33">
        <f t="shared" si="28"/>
        <v>1</v>
      </c>
      <c r="I846" s="40">
        <f t="shared" si="27"/>
        <v>0</v>
      </c>
      <c r="J846" s="40">
        <f t="shared" si="27"/>
        <v>0</v>
      </c>
      <c r="K846" s="40">
        <f t="shared" si="27"/>
        <v>6.2735257214554575E-4</v>
      </c>
      <c r="L846" s="40">
        <f>1000*M846/VLOOKUP(D846,'Normalised Rates'!$A$7:$B$12,2,FALSE)</f>
        <v>6.2735257214554575E-4</v>
      </c>
      <c r="M846" s="34">
        <v>1</v>
      </c>
    </row>
    <row r="847" spans="1:13" ht="15" customHeight="1" x14ac:dyDescent="0.25">
      <c r="A847" s="30" t="s">
        <v>142</v>
      </c>
      <c r="B847" s="30" t="s">
        <v>86</v>
      </c>
      <c r="C847" s="9" t="s">
        <v>84</v>
      </c>
      <c r="D847" s="32">
        <v>2022</v>
      </c>
      <c r="E847" s="33" t="s">
        <v>34</v>
      </c>
      <c r="F847" s="33">
        <f t="shared" si="28"/>
        <v>0</v>
      </c>
      <c r="G847" s="33">
        <f t="shared" si="28"/>
        <v>0</v>
      </c>
      <c r="H847" s="33">
        <f t="shared" si="28"/>
        <v>2</v>
      </c>
      <c r="I847" s="40">
        <f t="shared" si="27"/>
        <v>0</v>
      </c>
      <c r="J847" s="40">
        <f t="shared" si="27"/>
        <v>0</v>
      </c>
      <c r="K847" s="40">
        <f t="shared" si="27"/>
        <v>1.0666666666666667E-3</v>
      </c>
      <c r="L847" s="40">
        <f>1000*M847/VLOOKUP(D847,'Normalised Rates'!$A$7:$B$12,2,FALSE)</f>
        <v>1.0666666666666667E-3</v>
      </c>
      <c r="M847" s="34">
        <v>2</v>
      </c>
    </row>
    <row r="848" spans="1:13" ht="15" customHeight="1" x14ac:dyDescent="0.25">
      <c r="A848" s="30" t="s">
        <v>142</v>
      </c>
      <c r="B848" s="30" t="s">
        <v>86</v>
      </c>
      <c r="C848" s="9" t="s">
        <v>84</v>
      </c>
      <c r="D848" s="32">
        <v>2022</v>
      </c>
      <c r="E848" s="35" t="s">
        <v>163</v>
      </c>
      <c r="F848" s="33">
        <f t="shared" si="28"/>
        <v>1</v>
      </c>
      <c r="G848" s="33">
        <f t="shared" si="28"/>
        <v>0</v>
      </c>
      <c r="H848" s="33">
        <f t="shared" si="28"/>
        <v>0</v>
      </c>
      <c r="I848" s="40">
        <f t="shared" si="27"/>
        <v>5.3333333333333336E-4</v>
      </c>
      <c r="J848" s="40">
        <f t="shared" si="27"/>
        <v>0</v>
      </c>
      <c r="K848" s="40">
        <f t="shared" si="27"/>
        <v>0</v>
      </c>
      <c r="L848" s="40">
        <f>1000*M848/VLOOKUP(D848,'Normalised Rates'!$A$7:$B$12,2,FALSE)</f>
        <v>5.3333333333333336E-4</v>
      </c>
      <c r="M848" s="34">
        <v>1</v>
      </c>
    </row>
    <row r="849" spans="1:13" ht="15" customHeight="1" x14ac:dyDescent="0.25">
      <c r="A849" s="30" t="s">
        <v>142</v>
      </c>
      <c r="B849" s="30" t="s">
        <v>86</v>
      </c>
      <c r="C849" s="9" t="s">
        <v>84</v>
      </c>
      <c r="D849" s="32">
        <v>2023</v>
      </c>
      <c r="E849" s="33" t="s">
        <v>34</v>
      </c>
      <c r="F849" s="33">
        <f t="shared" si="28"/>
        <v>0</v>
      </c>
      <c r="G849" s="33">
        <f t="shared" si="28"/>
        <v>0</v>
      </c>
      <c r="H849" s="33">
        <f t="shared" si="28"/>
        <v>1</v>
      </c>
      <c r="I849" s="40">
        <f t="shared" si="27"/>
        <v>0</v>
      </c>
      <c r="J849" s="40">
        <f t="shared" si="27"/>
        <v>0</v>
      </c>
      <c r="K849" s="40">
        <f t="shared" si="27"/>
        <v>4.3744531933508313E-4</v>
      </c>
      <c r="L849" s="40">
        <f>1000*M849/VLOOKUP(D849,'Normalised Rates'!$A$7:$B$12,2,FALSE)</f>
        <v>4.3744531933508313E-4</v>
      </c>
      <c r="M849" s="34">
        <v>1</v>
      </c>
    </row>
    <row r="850" spans="1:13" ht="15" customHeight="1" x14ac:dyDescent="0.25">
      <c r="A850" s="30" t="s">
        <v>142</v>
      </c>
      <c r="B850" s="30" t="s">
        <v>86</v>
      </c>
      <c r="C850" s="9" t="s">
        <v>84</v>
      </c>
      <c r="D850" s="32">
        <v>2023</v>
      </c>
      <c r="E850" s="35" t="s">
        <v>163</v>
      </c>
      <c r="F850" s="33">
        <f t="shared" si="28"/>
        <v>1</v>
      </c>
      <c r="G850" s="33">
        <f t="shared" si="28"/>
        <v>0</v>
      </c>
      <c r="H850" s="33">
        <f t="shared" si="28"/>
        <v>0</v>
      </c>
      <c r="I850" s="40">
        <f t="shared" si="27"/>
        <v>4.3744531933508313E-4</v>
      </c>
      <c r="J850" s="40">
        <f t="shared" si="27"/>
        <v>0</v>
      </c>
      <c r="K850" s="40">
        <f t="shared" si="27"/>
        <v>0</v>
      </c>
      <c r="L850" s="40">
        <f>1000*M850/VLOOKUP(D850,'Normalised Rates'!$A$7:$B$12,2,FALSE)</f>
        <v>4.3744531933508313E-4</v>
      </c>
      <c r="M850" s="34">
        <v>1</v>
      </c>
    </row>
    <row r="851" spans="1:13" ht="15" customHeight="1" x14ac:dyDescent="0.25">
      <c r="A851" s="30" t="s">
        <v>142</v>
      </c>
      <c r="B851" s="30" t="s">
        <v>86</v>
      </c>
      <c r="C851" s="9" t="s">
        <v>84</v>
      </c>
      <c r="D851" s="32">
        <v>2024</v>
      </c>
      <c r="E851" s="33" t="s">
        <v>34</v>
      </c>
      <c r="F851" s="33">
        <f t="shared" si="28"/>
        <v>0</v>
      </c>
      <c r="G851" s="33">
        <f t="shared" si="28"/>
        <v>0</v>
      </c>
      <c r="H851" s="33">
        <f t="shared" si="28"/>
        <v>1</v>
      </c>
      <c r="I851" s="40">
        <f t="shared" si="27"/>
        <v>0</v>
      </c>
      <c r="J851" s="40">
        <f t="shared" si="27"/>
        <v>0</v>
      </c>
      <c r="K851" s="40">
        <f t="shared" si="27"/>
        <v>3.7271710771524412E-4</v>
      </c>
      <c r="L851" s="40">
        <f>1000*M851/VLOOKUP(D851,'Normalised Rates'!$A$7:$B$12,2,FALSE)</f>
        <v>3.7271710771524412E-4</v>
      </c>
      <c r="M851" s="34">
        <v>1</v>
      </c>
    </row>
    <row r="852" spans="1:13" ht="15" customHeight="1" x14ac:dyDescent="0.25">
      <c r="A852" s="30" t="s">
        <v>142</v>
      </c>
      <c r="B852" s="30" t="s">
        <v>86</v>
      </c>
      <c r="C852" s="9" t="s">
        <v>84</v>
      </c>
      <c r="D852" s="32">
        <v>2024</v>
      </c>
      <c r="E852" s="35" t="s">
        <v>163</v>
      </c>
      <c r="F852" s="33">
        <f t="shared" si="28"/>
        <v>2</v>
      </c>
      <c r="G852" s="33">
        <f t="shared" si="28"/>
        <v>0</v>
      </c>
      <c r="H852" s="33">
        <f t="shared" si="28"/>
        <v>0</v>
      </c>
      <c r="I852" s="40">
        <f t="shared" si="27"/>
        <v>7.4543421543048823E-4</v>
      </c>
      <c r="J852" s="40">
        <f t="shared" si="27"/>
        <v>0</v>
      </c>
      <c r="K852" s="40">
        <f t="shared" si="27"/>
        <v>0</v>
      </c>
      <c r="L852" s="40">
        <f>1000*M852/VLOOKUP(D852,'Normalised Rates'!$A$7:$B$12,2,FALSE)</f>
        <v>7.4543421543048823E-4</v>
      </c>
      <c r="M852" s="34">
        <v>2</v>
      </c>
    </row>
    <row r="853" spans="1:13" ht="15" customHeight="1" x14ac:dyDescent="0.25">
      <c r="A853" s="30" t="s">
        <v>142</v>
      </c>
      <c r="B853" s="30" t="s">
        <v>86</v>
      </c>
      <c r="C853" s="9" t="s">
        <v>84</v>
      </c>
      <c r="D853" s="32">
        <v>2025</v>
      </c>
      <c r="E853" s="33" t="s">
        <v>34</v>
      </c>
      <c r="F853" s="33">
        <f t="shared" si="28"/>
        <v>0</v>
      </c>
      <c r="G853" s="33">
        <f t="shared" si="28"/>
        <v>0</v>
      </c>
      <c r="H853" s="33">
        <f t="shared" si="28"/>
        <v>4</v>
      </c>
      <c r="I853" s="40">
        <f t="shared" si="27"/>
        <v>0</v>
      </c>
      <c r="J853" s="40">
        <f t="shared" si="27"/>
        <v>0</v>
      </c>
      <c r="K853" s="40">
        <f t="shared" si="27"/>
        <v>1.2686330478908975E-3</v>
      </c>
      <c r="L853" s="40">
        <f>1000*M853/VLOOKUP(D853,'Normalised Rates'!$A$7:$B$12,2,FALSE)</f>
        <v>1.2686330478908975E-3</v>
      </c>
      <c r="M853" s="34">
        <v>4</v>
      </c>
    </row>
    <row r="854" spans="1:13" ht="15" customHeight="1" x14ac:dyDescent="0.25">
      <c r="A854" s="30" t="s">
        <v>142</v>
      </c>
      <c r="B854" s="30" t="s">
        <v>86</v>
      </c>
      <c r="C854" s="9" t="s">
        <v>84</v>
      </c>
      <c r="D854" s="32">
        <v>2026</v>
      </c>
      <c r="E854" s="35" t="s">
        <v>163</v>
      </c>
      <c r="F854" s="33">
        <f t="shared" si="28"/>
        <v>1</v>
      </c>
      <c r="G854" s="33">
        <f t="shared" si="28"/>
        <v>0</v>
      </c>
      <c r="H854" s="33">
        <f t="shared" si="28"/>
        <v>0</v>
      </c>
      <c r="I854" s="40">
        <f t="shared" si="27"/>
        <v>7.6117982873453852E-4</v>
      </c>
      <c r="J854" s="40">
        <f t="shared" si="27"/>
        <v>0</v>
      </c>
      <c r="K854" s="40">
        <f t="shared" si="27"/>
        <v>0</v>
      </c>
      <c r="L854" s="40">
        <f>1000*M854/VLOOKUP(D854,'Normalised Rates'!$A$7:$B$12,2,FALSE)</f>
        <v>7.6117982873453852E-4</v>
      </c>
      <c r="M854" s="34">
        <v>1</v>
      </c>
    </row>
    <row r="855" spans="1:13" ht="15" customHeight="1" x14ac:dyDescent="0.25">
      <c r="A855" s="30" t="s">
        <v>142</v>
      </c>
      <c r="B855" s="30" t="s">
        <v>96</v>
      </c>
      <c r="C855" s="9" t="s">
        <v>67</v>
      </c>
      <c r="D855" s="32">
        <v>2021</v>
      </c>
      <c r="E855" s="33" t="s">
        <v>34</v>
      </c>
      <c r="F855" s="33">
        <f t="shared" si="28"/>
        <v>0</v>
      </c>
      <c r="G855" s="33">
        <f t="shared" si="28"/>
        <v>0</v>
      </c>
      <c r="H855" s="33">
        <f t="shared" si="28"/>
        <v>2</v>
      </c>
      <c r="I855" s="40">
        <f t="shared" si="27"/>
        <v>0</v>
      </c>
      <c r="J855" s="40">
        <f t="shared" si="27"/>
        <v>0</v>
      </c>
      <c r="K855" s="40">
        <f t="shared" si="27"/>
        <v>1.2547051442910915E-3</v>
      </c>
      <c r="L855" s="40">
        <f>1000*M855/VLOOKUP(D855,'Normalised Rates'!$A$7:$B$12,2,FALSE)</f>
        <v>1.2547051442910915E-3</v>
      </c>
      <c r="M855" s="34">
        <v>2</v>
      </c>
    </row>
    <row r="856" spans="1:13" ht="15" customHeight="1" x14ac:dyDescent="0.25">
      <c r="A856" s="30" t="s">
        <v>142</v>
      </c>
      <c r="B856" s="30" t="s">
        <v>96</v>
      </c>
      <c r="C856" s="9" t="s">
        <v>67</v>
      </c>
      <c r="D856" s="32">
        <v>2022</v>
      </c>
      <c r="E856" s="33" t="s">
        <v>34</v>
      </c>
      <c r="F856" s="33">
        <f t="shared" si="28"/>
        <v>0</v>
      </c>
      <c r="G856" s="33">
        <f t="shared" si="28"/>
        <v>0</v>
      </c>
      <c r="H856" s="33">
        <f t="shared" si="28"/>
        <v>1</v>
      </c>
      <c r="I856" s="40">
        <f t="shared" si="27"/>
        <v>0</v>
      </c>
      <c r="J856" s="40">
        <f t="shared" si="27"/>
        <v>0</v>
      </c>
      <c r="K856" s="40">
        <f t="shared" si="27"/>
        <v>5.3333333333333336E-4</v>
      </c>
      <c r="L856" s="40">
        <f>1000*M856/VLOOKUP(D856,'Normalised Rates'!$A$7:$B$12,2,FALSE)</f>
        <v>5.3333333333333336E-4</v>
      </c>
      <c r="M856" s="34">
        <v>1</v>
      </c>
    </row>
    <row r="857" spans="1:13" ht="15" customHeight="1" x14ac:dyDescent="0.25">
      <c r="A857" s="30" t="s">
        <v>142</v>
      </c>
      <c r="B857" s="30" t="s">
        <v>96</v>
      </c>
      <c r="C857" s="9" t="s">
        <v>67</v>
      </c>
      <c r="D857" s="32">
        <v>2023</v>
      </c>
      <c r="E857" s="33" t="s">
        <v>34</v>
      </c>
      <c r="F857" s="33">
        <f t="shared" si="28"/>
        <v>0</v>
      </c>
      <c r="G857" s="33">
        <f t="shared" si="28"/>
        <v>0</v>
      </c>
      <c r="H857" s="33">
        <f t="shared" si="28"/>
        <v>1</v>
      </c>
      <c r="I857" s="40">
        <f t="shared" si="27"/>
        <v>0</v>
      </c>
      <c r="J857" s="40">
        <f t="shared" si="27"/>
        <v>0</v>
      </c>
      <c r="K857" s="40">
        <f t="shared" si="27"/>
        <v>4.3744531933508313E-4</v>
      </c>
      <c r="L857" s="40">
        <f>1000*M857/VLOOKUP(D857,'Normalised Rates'!$A$7:$B$12,2,FALSE)</f>
        <v>4.3744531933508313E-4</v>
      </c>
      <c r="M857" s="34">
        <v>1</v>
      </c>
    </row>
    <row r="858" spans="1:13" ht="15" customHeight="1" x14ac:dyDescent="0.25">
      <c r="A858" s="30" t="s">
        <v>142</v>
      </c>
      <c r="B858" s="30" t="s">
        <v>96</v>
      </c>
      <c r="C858" s="9" t="s">
        <v>67</v>
      </c>
      <c r="D858" s="32">
        <v>2023</v>
      </c>
      <c r="E858" s="35" t="s">
        <v>163</v>
      </c>
      <c r="F858" s="33">
        <f t="shared" si="28"/>
        <v>3</v>
      </c>
      <c r="G858" s="33">
        <f t="shared" si="28"/>
        <v>0</v>
      </c>
      <c r="H858" s="33">
        <f t="shared" si="28"/>
        <v>0</v>
      </c>
      <c r="I858" s="40">
        <f t="shared" si="27"/>
        <v>1.3123359580052493E-3</v>
      </c>
      <c r="J858" s="40">
        <f t="shared" si="27"/>
        <v>0</v>
      </c>
      <c r="K858" s="40">
        <f t="shared" si="27"/>
        <v>0</v>
      </c>
      <c r="L858" s="40">
        <f>1000*M858/VLOOKUP(D858,'Normalised Rates'!$A$7:$B$12,2,FALSE)</f>
        <v>1.3123359580052493E-3</v>
      </c>
      <c r="M858" s="34">
        <v>3</v>
      </c>
    </row>
    <row r="859" spans="1:13" ht="15" customHeight="1" x14ac:dyDescent="0.25">
      <c r="A859" s="30" t="s">
        <v>142</v>
      </c>
      <c r="B859" s="30" t="s">
        <v>96</v>
      </c>
      <c r="C859" s="9" t="s">
        <v>67</v>
      </c>
      <c r="D859" s="32">
        <v>2024</v>
      </c>
      <c r="E859" s="33" t="s">
        <v>34</v>
      </c>
      <c r="F859" s="33">
        <f t="shared" si="28"/>
        <v>0</v>
      </c>
      <c r="G859" s="33">
        <f t="shared" si="28"/>
        <v>0</v>
      </c>
      <c r="H859" s="33">
        <f t="shared" si="28"/>
        <v>2</v>
      </c>
      <c r="I859" s="40">
        <f t="shared" si="27"/>
        <v>0</v>
      </c>
      <c r="J859" s="40">
        <f t="shared" si="27"/>
        <v>0</v>
      </c>
      <c r="K859" s="40">
        <f t="shared" si="27"/>
        <v>7.4543421543048823E-4</v>
      </c>
      <c r="L859" s="40">
        <f>1000*M859/VLOOKUP(D859,'Normalised Rates'!$A$7:$B$12,2,FALSE)</f>
        <v>7.4543421543048823E-4</v>
      </c>
      <c r="M859" s="34">
        <v>2</v>
      </c>
    </row>
    <row r="860" spans="1:13" ht="15" customHeight="1" x14ac:dyDescent="0.25">
      <c r="A860" s="30" t="s">
        <v>142</v>
      </c>
      <c r="B860" s="30" t="s">
        <v>96</v>
      </c>
      <c r="C860" s="9" t="s">
        <v>67</v>
      </c>
      <c r="D860" s="32">
        <v>2024</v>
      </c>
      <c r="E860" s="35" t="s">
        <v>163</v>
      </c>
      <c r="F860" s="33">
        <f t="shared" si="28"/>
        <v>1</v>
      </c>
      <c r="G860" s="33">
        <f t="shared" si="28"/>
        <v>0</v>
      </c>
      <c r="H860" s="33">
        <f t="shared" si="28"/>
        <v>0</v>
      </c>
      <c r="I860" s="40">
        <f t="shared" si="27"/>
        <v>3.7271710771524412E-4</v>
      </c>
      <c r="J860" s="40">
        <f t="shared" si="27"/>
        <v>0</v>
      </c>
      <c r="K860" s="40">
        <f t="shared" si="27"/>
        <v>0</v>
      </c>
      <c r="L860" s="40">
        <f>1000*M860/VLOOKUP(D860,'Normalised Rates'!$A$7:$B$12,2,FALSE)</f>
        <v>3.7271710771524412E-4</v>
      </c>
      <c r="M860" s="34">
        <v>1</v>
      </c>
    </row>
    <row r="861" spans="1:13" ht="15" customHeight="1" x14ac:dyDescent="0.25">
      <c r="A861" s="30" t="s">
        <v>142</v>
      </c>
      <c r="B861" s="30" t="s">
        <v>96</v>
      </c>
      <c r="C861" s="9" t="s">
        <v>67</v>
      </c>
      <c r="D861" s="32">
        <v>2025</v>
      </c>
      <c r="E861" s="33" t="s">
        <v>34</v>
      </c>
      <c r="F861" s="33">
        <f t="shared" si="28"/>
        <v>0</v>
      </c>
      <c r="G861" s="33">
        <f t="shared" si="28"/>
        <v>0</v>
      </c>
      <c r="H861" s="33">
        <f t="shared" si="28"/>
        <v>2</v>
      </c>
      <c r="I861" s="40">
        <f t="shared" si="27"/>
        <v>0</v>
      </c>
      <c r="J861" s="40">
        <f t="shared" si="27"/>
        <v>0</v>
      </c>
      <c r="K861" s="40">
        <f t="shared" si="27"/>
        <v>6.3431652394544877E-4</v>
      </c>
      <c r="L861" s="40">
        <f>1000*M861/VLOOKUP(D861,'Normalised Rates'!$A$7:$B$12,2,FALSE)</f>
        <v>6.3431652394544877E-4</v>
      </c>
      <c r="M861" s="34">
        <v>2</v>
      </c>
    </row>
    <row r="862" spans="1:13" ht="15" customHeight="1" x14ac:dyDescent="0.25">
      <c r="A862" s="30" t="s">
        <v>142</v>
      </c>
      <c r="B862" s="30" t="s">
        <v>96</v>
      </c>
      <c r="C862" s="9" t="s">
        <v>67</v>
      </c>
      <c r="D862" s="32">
        <v>2026</v>
      </c>
      <c r="E862" s="33" t="s">
        <v>34</v>
      </c>
      <c r="F862" s="33">
        <f t="shared" si="28"/>
        <v>0</v>
      </c>
      <c r="G862" s="33">
        <f t="shared" si="28"/>
        <v>0</v>
      </c>
      <c r="H862" s="33">
        <f t="shared" si="28"/>
        <v>2</v>
      </c>
      <c r="I862" s="40">
        <f t="shared" si="27"/>
        <v>0</v>
      </c>
      <c r="J862" s="40">
        <f t="shared" si="27"/>
        <v>0</v>
      </c>
      <c r="K862" s="40">
        <f t="shared" si="27"/>
        <v>1.522359657469077E-3</v>
      </c>
      <c r="L862" s="40">
        <f>1000*M862/VLOOKUP(D862,'Normalised Rates'!$A$7:$B$12,2,FALSE)</f>
        <v>1.522359657469077E-3</v>
      </c>
      <c r="M862" s="34">
        <v>2</v>
      </c>
    </row>
    <row r="863" spans="1:13" ht="15" customHeight="1" x14ac:dyDescent="0.25">
      <c r="A863" s="30" t="s">
        <v>142</v>
      </c>
      <c r="B863" s="30" t="s">
        <v>88</v>
      </c>
      <c r="C863" s="9" t="s">
        <v>84</v>
      </c>
      <c r="D863" s="32">
        <v>2023</v>
      </c>
      <c r="E863" s="33" t="s">
        <v>34</v>
      </c>
      <c r="F863" s="33">
        <f t="shared" si="28"/>
        <v>0</v>
      </c>
      <c r="G863" s="33">
        <f t="shared" si="28"/>
        <v>0</v>
      </c>
      <c r="H863" s="33">
        <f t="shared" si="28"/>
        <v>2</v>
      </c>
      <c r="I863" s="40">
        <f t="shared" si="27"/>
        <v>0</v>
      </c>
      <c r="J863" s="40">
        <f t="shared" si="27"/>
        <v>0</v>
      </c>
      <c r="K863" s="40">
        <f t="shared" si="27"/>
        <v>8.7489063867016625E-4</v>
      </c>
      <c r="L863" s="40">
        <f>1000*M863/VLOOKUP(D863,'Normalised Rates'!$A$7:$B$12,2,FALSE)</f>
        <v>8.7489063867016625E-4</v>
      </c>
      <c r="M863" s="34">
        <v>2</v>
      </c>
    </row>
    <row r="864" spans="1:13" ht="15" customHeight="1" x14ac:dyDescent="0.25">
      <c r="A864" s="30" t="s">
        <v>142</v>
      </c>
      <c r="B864" s="30" t="s">
        <v>88</v>
      </c>
      <c r="C864" s="9" t="s">
        <v>84</v>
      </c>
      <c r="D864" s="32">
        <v>2023</v>
      </c>
      <c r="E864" s="35" t="s">
        <v>163</v>
      </c>
      <c r="F864" s="33">
        <f t="shared" si="28"/>
        <v>4</v>
      </c>
      <c r="G864" s="33">
        <f t="shared" si="28"/>
        <v>0</v>
      </c>
      <c r="H864" s="33">
        <f t="shared" si="28"/>
        <v>0</v>
      </c>
      <c r="I864" s="40">
        <f t="shared" si="27"/>
        <v>1.7497812773403325E-3</v>
      </c>
      <c r="J864" s="40">
        <f t="shared" si="27"/>
        <v>0</v>
      </c>
      <c r="K864" s="40">
        <f t="shared" si="27"/>
        <v>0</v>
      </c>
      <c r="L864" s="40">
        <f>1000*M864/VLOOKUP(D864,'Normalised Rates'!$A$7:$B$12,2,FALSE)</f>
        <v>1.7497812773403325E-3</v>
      </c>
      <c r="M864" s="34">
        <v>4</v>
      </c>
    </row>
    <row r="865" spans="1:13" ht="15" customHeight="1" x14ac:dyDescent="0.25">
      <c r="A865" s="30" t="s">
        <v>142</v>
      </c>
      <c r="B865" s="30" t="s">
        <v>88</v>
      </c>
      <c r="C865" s="9" t="s">
        <v>84</v>
      </c>
      <c r="D865" s="32">
        <v>2024</v>
      </c>
      <c r="E865" s="33" t="s">
        <v>34</v>
      </c>
      <c r="F865" s="33">
        <f t="shared" si="28"/>
        <v>0</v>
      </c>
      <c r="G865" s="33">
        <f t="shared" si="28"/>
        <v>0</v>
      </c>
      <c r="H865" s="33">
        <f t="shared" si="28"/>
        <v>3</v>
      </c>
      <c r="I865" s="40">
        <f t="shared" si="27"/>
        <v>0</v>
      </c>
      <c r="J865" s="40">
        <f t="shared" si="27"/>
        <v>0</v>
      </c>
      <c r="K865" s="40">
        <f t="shared" si="27"/>
        <v>1.1181513231457323E-3</v>
      </c>
      <c r="L865" s="40">
        <f>1000*M865/VLOOKUP(D865,'Normalised Rates'!$A$7:$B$12,2,FALSE)</f>
        <v>1.1181513231457323E-3</v>
      </c>
      <c r="M865" s="34">
        <v>3</v>
      </c>
    </row>
    <row r="866" spans="1:13" ht="15" customHeight="1" x14ac:dyDescent="0.25">
      <c r="A866" s="30" t="s">
        <v>142</v>
      </c>
      <c r="B866" s="30" t="s">
        <v>88</v>
      </c>
      <c r="C866" s="9" t="s">
        <v>84</v>
      </c>
      <c r="D866" s="32">
        <v>2024</v>
      </c>
      <c r="E866" s="35" t="s">
        <v>163</v>
      </c>
      <c r="F866" s="33">
        <f t="shared" si="28"/>
        <v>4</v>
      </c>
      <c r="G866" s="33">
        <f t="shared" si="28"/>
        <v>0</v>
      </c>
      <c r="H866" s="33">
        <f t="shared" si="28"/>
        <v>0</v>
      </c>
      <c r="I866" s="40">
        <f t="shared" si="27"/>
        <v>1.4908684308609765E-3</v>
      </c>
      <c r="J866" s="40">
        <f t="shared" si="27"/>
        <v>0</v>
      </c>
      <c r="K866" s="40">
        <f t="shared" si="27"/>
        <v>0</v>
      </c>
      <c r="L866" s="40">
        <f>1000*M866/VLOOKUP(D866,'Normalised Rates'!$A$7:$B$12,2,FALSE)</f>
        <v>1.4908684308609765E-3</v>
      </c>
      <c r="M866" s="34">
        <v>4</v>
      </c>
    </row>
    <row r="867" spans="1:13" ht="15" customHeight="1" x14ac:dyDescent="0.25">
      <c r="A867" s="30" t="s">
        <v>142</v>
      </c>
      <c r="B867" s="30" t="s">
        <v>88</v>
      </c>
      <c r="C867" s="9" t="s">
        <v>84</v>
      </c>
      <c r="D867" s="32">
        <v>2026</v>
      </c>
      <c r="E867" s="33" t="s">
        <v>34</v>
      </c>
      <c r="F867" s="33">
        <f t="shared" si="28"/>
        <v>0</v>
      </c>
      <c r="G867" s="33">
        <f t="shared" si="28"/>
        <v>0</v>
      </c>
      <c r="H867" s="33">
        <f t="shared" si="28"/>
        <v>1</v>
      </c>
      <c r="I867" s="40">
        <f t="shared" si="27"/>
        <v>0</v>
      </c>
      <c r="J867" s="40">
        <f t="shared" si="27"/>
        <v>0</v>
      </c>
      <c r="K867" s="40">
        <f t="shared" si="27"/>
        <v>7.6117982873453852E-4</v>
      </c>
      <c r="L867" s="40">
        <f>1000*M867/VLOOKUP(D867,'Normalised Rates'!$A$7:$B$12,2,FALSE)</f>
        <v>7.6117982873453852E-4</v>
      </c>
      <c r="M867" s="34">
        <v>1</v>
      </c>
    </row>
    <row r="868" spans="1:13" ht="15" customHeight="1" x14ac:dyDescent="0.25">
      <c r="A868" s="30" t="s">
        <v>142</v>
      </c>
      <c r="B868" s="30" t="s">
        <v>77</v>
      </c>
      <c r="C868" s="9" t="s">
        <v>64</v>
      </c>
      <c r="D868" s="32">
        <v>2021</v>
      </c>
      <c r="E868" s="33" t="s">
        <v>34</v>
      </c>
      <c r="F868" s="33">
        <f t="shared" si="28"/>
        <v>0</v>
      </c>
      <c r="G868" s="33">
        <f t="shared" si="28"/>
        <v>0</v>
      </c>
      <c r="H868" s="33">
        <f t="shared" si="28"/>
        <v>3</v>
      </c>
      <c r="I868" s="40">
        <f t="shared" si="27"/>
        <v>0</v>
      </c>
      <c r="J868" s="40">
        <f t="shared" si="27"/>
        <v>0</v>
      </c>
      <c r="K868" s="40">
        <f t="shared" si="27"/>
        <v>1.8820577164366374E-3</v>
      </c>
      <c r="L868" s="40">
        <f>1000*M868/VLOOKUP(D868,'Normalised Rates'!$A$7:$B$12,2,FALSE)</f>
        <v>1.8820577164366374E-3</v>
      </c>
      <c r="M868" s="34">
        <v>3</v>
      </c>
    </row>
    <row r="869" spans="1:13" ht="15" customHeight="1" x14ac:dyDescent="0.25">
      <c r="A869" s="30" t="s">
        <v>142</v>
      </c>
      <c r="B869" s="30" t="s">
        <v>77</v>
      </c>
      <c r="C869" s="9" t="s">
        <v>64</v>
      </c>
      <c r="D869" s="32">
        <v>2021</v>
      </c>
      <c r="E869" s="35" t="s">
        <v>163</v>
      </c>
      <c r="F869" s="33">
        <f t="shared" si="28"/>
        <v>3</v>
      </c>
      <c r="G869" s="33">
        <f t="shared" si="28"/>
        <v>0</v>
      </c>
      <c r="H869" s="33">
        <f t="shared" si="28"/>
        <v>0</v>
      </c>
      <c r="I869" s="40">
        <f t="shared" si="27"/>
        <v>1.8820577164366374E-3</v>
      </c>
      <c r="J869" s="40">
        <f t="shared" si="27"/>
        <v>0</v>
      </c>
      <c r="K869" s="40">
        <f t="shared" si="27"/>
        <v>0</v>
      </c>
      <c r="L869" s="40">
        <f>1000*M869/VLOOKUP(D869,'Normalised Rates'!$A$7:$B$12,2,FALSE)</f>
        <v>1.8820577164366374E-3</v>
      </c>
      <c r="M869" s="34">
        <v>3</v>
      </c>
    </row>
    <row r="870" spans="1:13" ht="15" customHeight="1" x14ac:dyDescent="0.25">
      <c r="A870" s="30" t="s">
        <v>142</v>
      </c>
      <c r="B870" s="30" t="s">
        <v>77</v>
      </c>
      <c r="C870" s="9" t="s">
        <v>64</v>
      </c>
      <c r="D870" s="32">
        <v>2023</v>
      </c>
      <c r="E870" s="33" t="s">
        <v>34</v>
      </c>
      <c r="F870" s="33">
        <f t="shared" si="28"/>
        <v>0</v>
      </c>
      <c r="G870" s="33">
        <f t="shared" si="28"/>
        <v>0</v>
      </c>
      <c r="H870" s="33">
        <f t="shared" si="28"/>
        <v>1</v>
      </c>
      <c r="I870" s="40">
        <f t="shared" si="27"/>
        <v>0</v>
      </c>
      <c r="J870" s="40">
        <f t="shared" si="27"/>
        <v>0</v>
      </c>
      <c r="K870" s="40">
        <f t="shared" si="27"/>
        <v>4.3744531933508313E-4</v>
      </c>
      <c r="L870" s="40">
        <f>1000*M870/VLOOKUP(D870,'Normalised Rates'!$A$7:$B$12,2,FALSE)</f>
        <v>4.3744531933508313E-4</v>
      </c>
      <c r="M870" s="34">
        <v>1</v>
      </c>
    </row>
    <row r="871" spans="1:13" ht="15" customHeight="1" x14ac:dyDescent="0.25">
      <c r="A871" s="30" t="s">
        <v>142</v>
      </c>
      <c r="B871" s="30" t="s">
        <v>77</v>
      </c>
      <c r="C871" s="9" t="s">
        <v>64</v>
      </c>
      <c r="D871" s="32">
        <v>2024</v>
      </c>
      <c r="E871" s="35" t="s">
        <v>163</v>
      </c>
      <c r="F871" s="33">
        <f t="shared" si="28"/>
        <v>1</v>
      </c>
      <c r="G871" s="33">
        <f t="shared" si="28"/>
        <v>0</v>
      </c>
      <c r="H871" s="33">
        <f t="shared" si="28"/>
        <v>0</v>
      </c>
      <c r="I871" s="40">
        <f t="shared" si="27"/>
        <v>3.7271710771524412E-4</v>
      </c>
      <c r="J871" s="40">
        <f t="shared" si="27"/>
        <v>0</v>
      </c>
      <c r="K871" s="40">
        <f t="shared" si="27"/>
        <v>0</v>
      </c>
      <c r="L871" s="40">
        <f>1000*M871/VLOOKUP(D871,'Normalised Rates'!$A$7:$B$12,2,FALSE)</f>
        <v>3.7271710771524412E-4</v>
      </c>
      <c r="M871" s="34">
        <v>1</v>
      </c>
    </row>
    <row r="872" spans="1:13" ht="15" customHeight="1" x14ac:dyDescent="0.25">
      <c r="A872" s="30" t="s">
        <v>142</v>
      </c>
      <c r="B872" s="30" t="s">
        <v>77</v>
      </c>
      <c r="C872" s="9" t="s">
        <v>64</v>
      </c>
      <c r="D872" s="32">
        <v>2025</v>
      </c>
      <c r="E872" s="35" t="s">
        <v>163</v>
      </c>
      <c r="F872" s="33">
        <f t="shared" si="28"/>
        <v>2</v>
      </c>
      <c r="G872" s="33">
        <f t="shared" si="28"/>
        <v>0</v>
      </c>
      <c r="H872" s="33">
        <f t="shared" si="28"/>
        <v>0</v>
      </c>
      <c r="I872" s="40">
        <f t="shared" si="27"/>
        <v>6.3431652394544877E-4</v>
      </c>
      <c r="J872" s="40">
        <f t="shared" si="27"/>
        <v>0</v>
      </c>
      <c r="K872" s="40">
        <f t="shared" si="27"/>
        <v>0</v>
      </c>
      <c r="L872" s="40">
        <f>1000*M872/VLOOKUP(D872,'Normalised Rates'!$A$7:$B$12,2,FALSE)</f>
        <v>6.3431652394544877E-4</v>
      </c>
      <c r="M872" s="34">
        <v>2</v>
      </c>
    </row>
    <row r="873" spans="1:13" ht="15" customHeight="1" x14ac:dyDescent="0.25">
      <c r="A873" s="30" t="s">
        <v>142</v>
      </c>
      <c r="B873" s="30" t="s">
        <v>77</v>
      </c>
      <c r="C873" s="9" t="s">
        <v>64</v>
      </c>
      <c r="D873" s="32">
        <v>2026</v>
      </c>
      <c r="E873" s="33" t="s">
        <v>34</v>
      </c>
      <c r="F873" s="33">
        <f t="shared" si="28"/>
        <v>0</v>
      </c>
      <c r="G873" s="33">
        <f t="shared" si="28"/>
        <v>0</v>
      </c>
      <c r="H873" s="33">
        <f t="shared" si="28"/>
        <v>2</v>
      </c>
      <c r="I873" s="40">
        <f t="shared" si="27"/>
        <v>0</v>
      </c>
      <c r="J873" s="40">
        <f t="shared" si="27"/>
        <v>0</v>
      </c>
      <c r="K873" s="40">
        <f t="shared" si="27"/>
        <v>1.522359657469077E-3</v>
      </c>
      <c r="L873" s="40">
        <f>1000*M873/VLOOKUP(D873,'Normalised Rates'!$A$7:$B$12,2,FALSE)</f>
        <v>1.522359657469077E-3</v>
      </c>
      <c r="M873" s="34">
        <v>2</v>
      </c>
    </row>
    <row r="874" spans="1:13" ht="15" customHeight="1" x14ac:dyDescent="0.25">
      <c r="A874" s="30" t="s">
        <v>142</v>
      </c>
      <c r="B874" s="30" t="s">
        <v>77</v>
      </c>
      <c r="C874" s="9" t="s">
        <v>64</v>
      </c>
      <c r="D874" s="32">
        <v>2026</v>
      </c>
      <c r="E874" s="35" t="s">
        <v>163</v>
      </c>
      <c r="F874" s="33">
        <f t="shared" si="28"/>
        <v>1</v>
      </c>
      <c r="G874" s="33">
        <f t="shared" si="28"/>
        <v>0</v>
      </c>
      <c r="H874" s="33">
        <f t="shared" si="28"/>
        <v>0</v>
      </c>
      <c r="I874" s="40">
        <f t="shared" si="27"/>
        <v>7.6117982873453852E-4</v>
      </c>
      <c r="J874" s="40">
        <f t="shared" si="27"/>
        <v>0</v>
      </c>
      <c r="K874" s="40">
        <f t="shared" si="27"/>
        <v>0</v>
      </c>
      <c r="L874" s="40">
        <f>1000*M874/VLOOKUP(D874,'Normalised Rates'!$A$7:$B$12,2,FALSE)</f>
        <v>7.6117982873453852E-4</v>
      </c>
      <c r="M874" s="34">
        <v>1</v>
      </c>
    </row>
    <row r="875" spans="1:13" ht="15" customHeight="1" x14ac:dyDescent="0.25">
      <c r="A875" s="30" t="s">
        <v>142</v>
      </c>
      <c r="B875" s="30" t="s">
        <v>63</v>
      </c>
      <c r="C875" s="9" t="s">
        <v>64</v>
      </c>
      <c r="D875" s="32">
        <v>2022</v>
      </c>
      <c r="E875" s="35" t="s">
        <v>163</v>
      </c>
      <c r="F875" s="33">
        <f t="shared" si="28"/>
        <v>4</v>
      </c>
      <c r="G875" s="33">
        <f t="shared" si="28"/>
        <v>0</v>
      </c>
      <c r="H875" s="33">
        <f t="shared" si="28"/>
        <v>0</v>
      </c>
      <c r="I875" s="40">
        <f t="shared" si="27"/>
        <v>2.1333333333333334E-3</v>
      </c>
      <c r="J875" s="40">
        <f t="shared" si="27"/>
        <v>0</v>
      </c>
      <c r="K875" s="40">
        <f t="shared" si="27"/>
        <v>0</v>
      </c>
      <c r="L875" s="40">
        <f>1000*M875/VLOOKUP(D875,'Normalised Rates'!$A$7:$B$12,2,FALSE)</f>
        <v>2.1333333333333334E-3</v>
      </c>
      <c r="M875" s="34">
        <v>4</v>
      </c>
    </row>
    <row r="876" spans="1:13" ht="15" customHeight="1" x14ac:dyDescent="0.25">
      <c r="A876" s="30" t="s">
        <v>142</v>
      </c>
      <c r="B876" s="30" t="s">
        <v>63</v>
      </c>
      <c r="C876" s="9" t="s">
        <v>64</v>
      </c>
      <c r="D876" s="32">
        <v>2023</v>
      </c>
      <c r="E876" s="35" t="s">
        <v>163</v>
      </c>
      <c r="F876" s="33">
        <f t="shared" si="28"/>
        <v>2</v>
      </c>
      <c r="G876" s="33">
        <f t="shared" si="28"/>
        <v>0</v>
      </c>
      <c r="H876" s="33">
        <f t="shared" si="28"/>
        <v>0</v>
      </c>
      <c r="I876" s="40">
        <f t="shared" si="27"/>
        <v>8.7489063867016625E-4</v>
      </c>
      <c r="J876" s="40">
        <f t="shared" si="27"/>
        <v>0</v>
      </c>
      <c r="K876" s="40">
        <f t="shared" si="27"/>
        <v>0</v>
      </c>
      <c r="L876" s="40">
        <f>1000*M876/VLOOKUP(D876,'Normalised Rates'!$A$7:$B$12,2,FALSE)</f>
        <v>8.7489063867016625E-4</v>
      </c>
      <c r="M876" s="34">
        <v>2</v>
      </c>
    </row>
    <row r="877" spans="1:13" ht="15" customHeight="1" x14ac:dyDescent="0.25">
      <c r="A877" s="30" t="s">
        <v>142</v>
      </c>
      <c r="B877" s="30" t="s">
        <v>63</v>
      </c>
      <c r="C877" s="9" t="s">
        <v>64</v>
      </c>
      <c r="D877" s="32">
        <v>2024</v>
      </c>
      <c r="E877" s="35" t="s">
        <v>163</v>
      </c>
      <c r="F877" s="33">
        <f t="shared" si="28"/>
        <v>1</v>
      </c>
      <c r="G877" s="33">
        <f t="shared" si="28"/>
        <v>0</v>
      </c>
      <c r="H877" s="33">
        <f t="shared" si="28"/>
        <v>0</v>
      </c>
      <c r="I877" s="40">
        <f t="shared" si="27"/>
        <v>3.7271710771524412E-4</v>
      </c>
      <c r="J877" s="40">
        <f t="shared" si="27"/>
        <v>0</v>
      </c>
      <c r="K877" s="40">
        <f t="shared" si="27"/>
        <v>0</v>
      </c>
      <c r="L877" s="40">
        <f>1000*M877/VLOOKUP(D877,'Normalised Rates'!$A$7:$B$12,2,FALSE)</f>
        <v>3.7271710771524412E-4</v>
      </c>
      <c r="M877" s="34">
        <v>1</v>
      </c>
    </row>
    <row r="878" spans="1:13" ht="15" customHeight="1" x14ac:dyDescent="0.25">
      <c r="A878" s="30" t="s">
        <v>142</v>
      </c>
      <c r="B878" s="30" t="s">
        <v>63</v>
      </c>
      <c r="C878" s="9" t="s">
        <v>64</v>
      </c>
      <c r="D878" s="32">
        <v>2025</v>
      </c>
      <c r="E878" s="33" t="s">
        <v>34</v>
      </c>
      <c r="F878" s="33">
        <f t="shared" si="28"/>
        <v>0</v>
      </c>
      <c r="G878" s="33">
        <f t="shared" si="28"/>
        <v>0</v>
      </c>
      <c r="H878" s="33">
        <f t="shared" si="28"/>
        <v>2</v>
      </c>
      <c r="I878" s="40">
        <f t="shared" si="27"/>
        <v>0</v>
      </c>
      <c r="J878" s="40">
        <f t="shared" si="27"/>
        <v>0</v>
      </c>
      <c r="K878" s="40">
        <f t="shared" si="27"/>
        <v>6.3431652394544877E-4</v>
      </c>
      <c r="L878" s="40">
        <f>1000*M878/VLOOKUP(D878,'Normalised Rates'!$A$7:$B$12,2,FALSE)</f>
        <v>6.3431652394544877E-4</v>
      </c>
      <c r="M878" s="34">
        <v>2</v>
      </c>
    </row>
    <row r="879" spans="1:13" ht="15" customHeight="1" x14ac:dyDescent="0.25">
      <c r="A879" s="30" t="s">
        <v>142</v>
      </c>
      <c r="B879" s="30" t="s">
        <v>63</v>
      </c>
      <c r="C879" s="9" t="s">
        <v>64</v>
      </c>
      <c r="D879" s="32">
        <v>2025</v>
      </c>
      <c r="E879" s="35" t="s">
        <v>163</v>
      </c>
      <c r="F879" s="33">
        <f t="shared" si="28"/>
        <v>1</v>
      </c>
      <c r="G879" s="33">
        <f t="shared" si="28"/>
        <v>0</v>
      </c>
      <c r="H879" s="33">
        <f t="shared" si="28"/>
        <v>0</v>
      </c>
      <c r="I879" s="40">
        <f t="shared" si="27"/>
        <v>3.1715826197272439E-4</v>
      </c>
      <c r="J879" s="40">
        <f t="shared" si="27"/>
        <v>0</v>
      </c>
      <c r="K879" s="40">
        <f t="shared" si="27"/>
        <v>0</v>
      </c>
      <c r="L879" s="40">
        <f>1000*M879/VLOOKUP(D879,'Normalised Rates'!$A$7:$B$12,2,FALSE)</f>
        <v>3.1715826197272439E-4</v>
      </c>
      <c r="M879" s="34">
        <v>1</v>
      </c>
    </row>
    <row r="880" spans="1:13" ht="15" customHeight="1" x14ac:dyDescent="0.25">
      <c r="A880" s="30" t="s">
        <v>142</v>
      </c>
      <c r="B880" s="30" t="s">
        <v>63</v>
      </c>
      <c r="C880" s="9" t="s">
        <v>64</v>
      </c>
      <c r="D880" s="32">
        <v>2026</v>
      </c>
      <c r="E880" s="35" t="s">
        <v>163</v>
      </c>
      <c r="F880" s="33">
        <f t="shared" si="28"/>
        <v>1</v>
      </c>
      <c r="G880" s="33">
        <f t="shared" si="28"/>
        <v>0</v>
      </c>
      <c r="H880" s="33">
        <f t="shared" si="28"/>
        <v>0</v>
      </c>
      <c r="I880" s="40">
        <f t="shared" si="27"/>
        <v>7.6117982873453852E-4</v>
      </c>
      <c r="J880" s="40">
        <f t="shared" si="27"/>
        <v>0</v>
      </c>
      <c r="K880" s="40">
        <f t="shared" si="27"/>
        <v>0</v>
      </c>
      <c r="L880" s="40">
        <f>1000*M880/VLOOKUP(D880,'Normalised Rates'!$A$7:$B$12,2,FALSE)</f>
        <v>7.6117982873453852E-4</v>
      </c>
      <c r="M880" s="34">
        <v>1</v>
      </c>
    </row>
    <row r="881" spans="1:13" ht="15" customHeight="1" x14ac:dyDescent="0.25">
      <c r="A881" s="30" t="s">
        <v>142</v>
      </c>
      <c r="B881" s="30" t="s">
        <v>98</v>
      </c>
      <c r="C881" s="9" t="s">
        <v>84</v>
      </c>
      <c r="D881" s="32">
        <v>2022</v>
      </c>
      <c r="E881" s="33" t="s">
        <v>34</v>
      </c>
      <c r="F881" s="33">
        <f t="shared" si="28"/>
        <v>0</v>
      </c>
      <c r="G881" s="33">
        <f t="shared" si="28"/>
        <v>0</v>
      </c>
      <c r="H881" s="33">
        <f t="shared" si="28"/>
        <v>1</v>
      </c>
      <c r="I881" s="40">
        <f t="shared" si="27"/>
        <v>0</v>
      </c>
      <c r="J881" s="40">
        <f t="shared" si="27"/>
        <v>0</v>
      </c>
      <c r="K881" s="40">
        <f t="shared" si="27"/>
        <v>5.3333333333333336E-4</v>
      </c>
      <c r="L881" s="40">
        <f>1000*M881/VLOOKUP(D881,'Normalised Rates'!$A$7:$B$12,2,FALSE)</f>
        <v>5.3333333333333336E-4</v>
      </c>
      <c r="M881" s="34">
        <v>1</v>
      </c>
    </row>
    <row r="882" spans="1:13" ht="15" customHeight="1" x14ac:dyDescent="0.25">
      <c r="A882" s="30" t="s">
        <v>142</v>
      </c>
      <c r="B882" s="30" t="s">
        <v>98</v>
      </c>
      <c r="C882" s="9" t="s">
        <v>84</v>
      </c>
      <c r="D882" s="32">
        <v>2023</v>
      </c>
      <c r="E882" s="33" t="s">
        <v>34</v>
      </c>
      <c r="F882" s="33">
        <f t="shared" si="28"/>
        <v>0</v>
      </c>
      <c r="G882" s="33">
        <f t="shared" si="28"/>
        <v>0</v>
      </c>
      <c r="H882" s="33">
        <f t="shared" si="28"/>
        <v>1</v>
      </c>
      <c r="I882" s="40">
        <f t="shared" si="27"/>
        <v>0</v>
      </c>
      <c r="J882" s="40">
        <f t="shared" si="27"/>
        <v>0</v>
      </c>
      <c r="K882" s="40">
        <f t="shared" si="27"/>
        <v>4.3744531933508313E-4</v>
      </c>
      <c r="L882" s="40">
        <f>1000*M882/VLOOKUP(D882,'Normalised Rates'!$A$7:$B$12,2,FALSE)</f>
        <v>4.3744531933508313E-4</v>
      </c>
      <c r="M882" s="34">
        <v>1</v>
      </c>
    </row>
    <row r="883" spans="1:13" ht="15" customHeight="1" x14ac:dyDescent="0.25">
      <c r="A883" s="30" t="s">
        <v>142</v>
      </c>
      <c r="B883" s="30" t="s">
        <v>98</v>
      </c>
      <c r="C883" s="9" t="s">
        <v>84</v>
      </c>
      <c r="D883" s="32">
        <v>2023</v>
      </c>
      <c r="E883" s="35" t="s">
        <v>163</v>
      </c>
      <c r="F883" s="33">
        <f t="shared" si="28"/>
        <v>4</v>
      </c>
      <c r="G883" s="33">
        <f t="shared" si="28"/>
        <v>0</v>
      </c>
      <c r="H883" s="33">
        <f t="shared" si="28"/>
        <v>0</v>
      </c>
      <c r="I883" s="40">
        <f t="shared" si="27"/>
        <v>1.7497812773403325E-3</v>
      </c>
      <c r="J883" s="40">
        <f t="shared" si="27"/>
        <v>0</v>
      </c>
      <c r="K883" s="40">
        <f t="shared" si="27"/>
        <v>0</v>
      </c>
      <c r="L883" s="40">
        <f>1000*M883/VLOOKUP(D883,'Normalised Rates'!$A$7:$B$12,2,FALSE)</f>
        <v>1.7497812773403325E-3</v>
      </c>
      <c r="M883" s="34">
        <v>4</v>
      </c>
    </row>
    <row r="884" spans="1:13" ht="15" customHeight="1" x14ac:dyDescent="0.25">
      <c r="A884" s="30" t="s">
        <v>142</v>
      </c>
      <c r="B884" s="30" t="s">
        <v>98</v>
      </c>
      <c r="C884" s="9" t="s">
        <v>84</v>
      </c>
      <c r="D884" s="32">
        <v>2024</v>
      </c>
      <c r="E884" s="35" t="s">
        <v>163</v>
      </c>
      <c r="F884" s="33">
        <f t="shared" si="28"/>
        <v>1</v>
      </c>
      <c r="G884" s="33">
        <f t="shared" si="28"/>
        <v>0</v>
      </c>
      <c r="H884" s="33">
        <f t="shared" si="28"/>
        <v>0</v>
      </c>
      <c r="I884" s="40">
        <f t="shared" si="27"/>
        <v>3.7271710771524412E-4</v>
      </c>
      <c r="J884" s="40">
        <f t="shared" si="27"/>
        <v>0</v>
      </c>
      <c r="K884" s="40">
        <f t="shared" si="27"/>
        <v>0</v>
      </c>
      <c r="L884" s="40">
        <f>1000*M884/VLOOKUP(D884,'Normalised Rates'!$A$7:$B$12,2,FALSE)</f>
        <v>3.7271710771524412E-4</v>
      </c>
      <c r="M884" s="34">
        <v>1</v>
      </c>
    </row>
    <row r="885" spans="1:13" ht="15" customHeight="1" x14ac:dyDescent="0.25">
      <c r="A885" s="30" t="s">
        <v>142</v>
      </c>
      <c r="B885" s="30" t="s">
        <v>98</v>
      </c>
      <c r="C885" s="9" t="s">
        <v>84</v>
      </c>
      <c r="D885" s="32">
        <v>2025</v>
      </c>
      <c r="E885" s="33" t="s">
        <v>34</v>
      </c>
      <c r="F885" s="33">
        <f t="shared" si="28"/>
        <v>0</v>
      </c>
      <c r="G885" s="33">
        <f t="shared" si="28"/>
        <v>0</v>
      </c>
      <c r="H885" s="33">
        <f t="shared" si="28"/>
        <v>1</v>
      </c>
      <c r="I885" s="40">
        <f t="shared" si="27"/>
        <v>0</v>
      </c>
      <c r="J885" s="40">
        <f t="shared" si="27"/>
        <v>0</v>
      </c>
      <c r="K885" s="40">
        <f t="shared" si="27"/>
        <v>3.1715826197272439E-4</v>
      </c>
      <c r="L885" s="40">
        <f>1000*M885/VLOOKUP(D885,'Normalised Rates'!$A$7:$B$12,2,FALSE)</f>
        <v>3.1715826197272439E-4</v>
      </c>
      <c r="M885" s="34">
        <v>1</v>
      </c>
    </row>
    <row r="886" spans="1:13" ht="15" customHeight="1" x14ac:dyDescent="0.25">
      <c r="A886" s="30" t="s">
        <v>142</v>
      </c>
      <c r="B886" s="30" t="s">
        <v>98</v>
      </c>
      <c r="C886" s="9" t="s">
        <v>84</v>
      </c>
      <c r="D886" s="32">
        <v>2026</v>
      </c>
      <c r="E886" s="33" t="s">
        <v>34</v>
      </c>
      <c r="F886" s="33">
        <f t="shared" si="28"/>
        <v>0</v>
      </c>
      <c r="G886" s="33">
        <f t="shared" si="28"/>
        <v>0</v>
      </c>
      <c r="H886" s="33">
        <f t="shared" si="28"/>
        <v>1</v>
      </c>
      <c r="I886" s="40">
        <f t="shared" si="27"/>
        <v>0</v>
      </c>
      <c r="J886" s="40">
        <f t="shared" si="27"/>
        <v>0</v>
      </c>
      <c r="K886" s="40">
        <f t="shared" si="27"/>
        <v>7.6117982873453852E-4</v>
      </c>
      <c r="L886" s="40">
        <f>1000*M886/VLOOKUP(D886,'Normalised Rates'!$A$7:$B$12,2,FALSE)</f>
        <v>7.6117982873453852E-4</v>
      </c>
      <c r="M886" s="34">
        <v>1</v>
      </c>
    </row>
    <row r="887" spans="1:13" ht="15" customHeight="1" x14ac:dyDescent="0.25">
      <c r="A887" s="30" t="s">
        <v>142</v>
      </c>
      <c r="B887" s="30" t="s">
        <v>100</v>
      </c>
      <c r="C887" s="9" t="s">
        <v>67</v>
      </c>
      <c r="D887" s="32">
        <v>2022</v>
      </c>
      <c r="E887" s="35" t="s">
        <v>163</v>
      </c>
      <c r="F887" s="33">
        <f t="shared" si="28"/>
        <v>2</v>
      </c>
      <c r="G887" s="33">
        <f t="shared" si="28"/>
        <v>0</v>
      </c>
      <c r="H887" s="33">
        <f t="shared" si="28"/>
        <v>0</v>
      </c>
      <c r="I887" s="40">
        <f t="shared" si="27"/>
        <v>1.0666666666666667E-3</v>
      </c>
      <c r="J887" s="40">
        <f t="shared" si="27"/>
        <v>0</v>
      </c>
      <c r="K887" s="40">
        <f t="shared" si="27"/>
        <v>0</v>
      </c>
      <c r="L887" s="40">
        <f>1000*M887/VLOOKUP(D887,'Normalised Rates'!$A$7:$B$12,2,FALSE)</f>
        <v>1.0666666666666667E-3</v>
      </c>
      <c r="M887" s="34">
        <v>2</v>
      </c>
    </row>
    <row r="888" spans="1:13" ht="15" customHeight="1" x14ac:dyDescent="0.25">
      <c r="A888" s="30" t="s">
        <v>142</v>
      </c>
      <c r="B888" s="30" t="s">
        <v>100</v>
      </c>
      <c r="C888" s="9" t="s">
        <v>67</v>
      </c>
      <c r="D888" s="32">
        <v>2023</v>
      </c>
      <c r="E888" s="35" t="s">
        <v>163</v>
      </c>
      <c r="F888" s="33">
        <f t="shared" si="28"/>
        <v>4</v>
      </c>
      <c r="G888" s="33">
        <f t="shared" si="28"/>
        <v>0</v>
      </c>
      <c r="H888" s="33">
        <f t="shared" si="28"/>
        <v>0</v>
      </c>
      <c r="I888" s="40">
        <f t="shared" si="27"/>
        <v>1.7497812773403325E-3</v>
      </c>
      <c r="J888" s="40">
        <f t="shared" si="27"/>
        <v>0</v>
      </c>
      <c r="K888" s="40">
        <f t="shared" si="27"/>
        <v>0</v>
      </c>
      <c r="L888" s="40">
        <f>1000*M888/VLOOKUP(D888,'Normalised Rates'!$A$7:$B$12,2,FALSE)</f>
        <v>1.7497812773403325E-3</v>
      </c>
      <c r="M888" s="34">
        <v>4</v>
      </c>
    </row>
    <row r="889" spans="1:13" ht="15" customHeight="1" x14ac:dyDescent="0.25">
      <c r="A889" s="30" t="s">
        <v>142</v>
      </c>
      <c r="B889" s="30" t="s">
        <v>100</v>
      </c>
      <c r="C889" s="9" t="s">
        <v>67</v>
      </c>
      <c r="D889" s="32">
        <v>2024</v>
      </c>
      <c r="E889" s="35" t="s">
        <v>163</v>
      </c>
      <c r="F889" s="33">
        <f t="shared" si="28"/>
        <v>2</v>
      </c>
      <c r="G889" s="33">
        <f t="shared" si="28"/>
        <v>0</v>
      </c>
      <c r="H889" s="33">
        <f t="shared" si="28"/>
        <v>0</v>
      </c>
      <c r="I889" s="40">
        <f t="shared" si="27"/>
        <v>7.4543421543048823E-4</v>
      </c>
      <c r="J889" s="40">
        <f t="shared" si="27"/>
        <v>0</v>
      </c>
      <c r="K889" s="40">
        <f t="shared" si="27"/>
        <v>0</v>
      </c>
      <c r="L889" s="40">
        <f>1000*M889/VLOOKUP(D889,'Normalised Rates'!$A$7:$B$12,2,FALSE)</f>
        <v>7.4543421543048823E-4</v>
      </c>
      <c r="M889" s="34">
        <v>2</v>
      </c>
    </row>
    <row r="890" spans="1:13" ht="15" customHeight="1" x14ac:dyDescent="0.25">
      <c r="A890" s="30" t="s">
        <v>142</v>
      </c>
      <c r="B890" s="30" t="s">
        <v>92</v>
      </c>
      <c r="C890" s="9" t="s">
        <v>84</v>
      </c>
      <c r="D890" s="32">
        <v>2021</v>
      </c>
      <c r="E890" s="33" t="s">
        <v>34</v>
      </c>
      <c r="F890" s="33">
        <f t="shared" si="28"/>
        <v>0</v>
      </c>
      <c r="G890" s="33">
        <f t="shared" si="28"/>
        <v>0</v>
      </c>
      <c r="H890" s="33">
        <f t="shared" si="28"/>
        <v>1</v>
      </c>
      <c r="I890" s="40">
        <f t="shared" si="27"/>
        <v>0</v>
      </c>
      <c r="J890" s="40">
        <f t="shared" si="27"/>
        <v>0</v>
      </c>
      <c r="K890" s="40">
        <f t="shared" si="27"/>
        <v>6.2735257214554575E-4</v>
      </c>
      <c r="L890" s="40">
        <f>1000*M890/VLOOKUP(D890,'Normalised Rates'!$A$7:$B$12,2,FALSE)</f>
        <v>6.2735257214554575E-4</v>
      </c>
      <c r="M890" s="34">
        <v>1</v>
      </c>
    </row>
    <row r="891" spans="1:13" ht="15" customHeight="1" x14ac:dyDescent="0.25">
      <c r="A891" s="30" t="s">
        <v>142</v>
      </c>
      <c r="B891" s="30" t="s">
        <v>92</v>
      </c>
      <c r="C891" s="9" t="s">
        <v>84</v>
      </c>
      <c r="D891" s="32">
        <v>2022</v>
      </c>
      <c r="E891" s="33" t="s">
        <v>34</v>
      </c>
      <c r="F891" s="33">
        <f t="shared" si="28"/>
        <v>0</v>
      </c>
      <c r="G891" s="33">
        <f t="shared" si="28"/>
        <v>0</v>
      </c>
      <c r="H891" s="33">
        <f t="shared" si="28"/>
        <v>1</v>
      </c>
      <c r="I891" s="40">
        <f t="shared" si="27"/>
        <v>0</v>
      </c>
      <c r="J891" s="40">
        <f t="shared" si="27"/>
        <v>0</v>
      </c>
      <c r="K891" s="40">
        <f t="shared" si="27"/>
        <v>5.3333333333333336E-4</v>
      </c>
      <c r="L891" s="40">
        <f>1000*M891/VLOOKUP(D891,'Normalised Rates'!$A$7:$B$12,2,FALSE)</f>
        <v>5.3333333333333336E-4</v>
      </c>
      <c r="M891" s="34">
        <v>1</v>
      </c>
    </row>
    <row r="892" spans="1:13" ht="15" customHeight="1" x14ac:dyDescent="0.25">
      <c r="A892" s="30" t="s">
        <v>142</v>
      </c>
      <c r="B892" s="30" t="s">
        <v>92</v>
      </c>
      <c r="C892" s="9" t="s">
        <v>84</v>
      </c>
      <c r="D892" s="32">
        <v>2022</v>
      </c>
      <c r="E892" s="35" t="s">
        <v>163</v>
      </c>
      <c r="F892" s="33">
        <f t="shared" si="28"/>
        <v>1</v>
      </c>
      <c r="G892" s="33">
        <f t="shared" si="28"/>
        <v>0</v>
      </c>
      <c r="H892" s="33">
        <f t="shared" si="28"/>
        <v>0</v>
      </c>
      <c r="I892" s="40">
        <f t="shared" si="27"/>
        <v>5.3333333333333336E-4</v>
      </c>
      <c r="J892" s="40">
        <f t="shared" si="27"/>
        <v>0</v>
      </c>
      <c r="K892" s="40">
        <f t="shared" si="27"/>
        <v>0</v>
      </c>
      <c r="L892" s="40">
        <f>1000*M892/VLOOKUP(D892,'Normalised Rates'!$A$7:$B$12,2,FALSE)</f>
        <v>5.3333333333333336E-4</v>
      </c>
      <c r="M892" s="34">
        <v>1</v>
      </c>
    </row>
    <row r="893" spans="1:13" ht="15" customHeight="1" x14ac:dyDescent="0.25">
      <c r="A893" s="30" t="s">
        <v>142</v>
      </c>
      <c r="B893" s="30" t="s">
        <v>92</v>
      </c>
      <c r="C893" s="9" t="s">
        <v>84</v>
      </c>
      <c r="D893" s="32">
        <v>2023</v>
      </c>
      <c r="E893" s="33" t="s">
        <v>34</v>
      </c>
      <c r="F893" s="33">
        <f t="shared" si="28"/>
        <v>0</v>
      </c>
      <c r="G893" s="33">
        <f t="shared" si="28"/>
        <v>0</v>
      </c>
      <c r="H893" s="33">
        <f t="shared" si="28"/>
        <v>2</v>
      </c>
      <c r="I893" s="40">
        <f t="shared" si="27"/>
        <v>0</v>
      </c>
      <c r="J893" s="40">
        <f t="shared" si="27"/>
        <v>0</v>
      </c>
      <c r="K893" s="40">
        <f t="shared" si="27"/>
        <v>8.7489063867016625E-4</v>
      </c>
      <c r="L893" s="40">
        <f>1000*M893/VLOOKUP(D893,'Normalised Rates'!$A$7:$B$12,2,FALSE)</f>
        <v>8.7489063867016625E-4</v>
      </c>
      <c r="M893" s="34">
        <v>2</v>
      </c>
    </row>
    <row r="894" spans="1:13" ht="15" customHeight="1" x14ac:dyDescent="0.25">
      <c r="A894" s="30" t="s">
        <v>142</v>
      </c>
      <c r="B894" s="30" t="s">
        <v>92</v>
      </c>
      <c r="C894" s="9" t="s">
        <v>84</v>
      </c>
      <c r="D894" s="32">
        <v>2025</v>
      </c>
      <c r="E894" s="33" t="s">
        <v>34</v>
      </c>
      <c r="F894" s="33">
        <f t="shared" si="28"/>
        <v>0</v>
      </c>
      <c r="G894" s="33">
        <f t="shared" si="28"/>
        <v>0</v>
      </c>
      <c r="H894" s="33">
        <f t="shared" si="28"/>
        <v>1</v>
      </c>
      <c r="I894" s="40">
        <f t="shared" si="27"/>
        <v>0</v>
      </c>
      <c r="J894" s="40">
        <f t="shared" si="27"/>
        <v>0</v>
      </c>
      <c r="K894" s="40">
        <f t="shared" si="27"/>
        <v>3.1715826197272439E-4</v>
      </c>
      <c r="L894" s="40">
        <f>1000*M894/VLOOKUP(D894,'Normalised Rates'!$A$7:$B$12,2,FALSE)</f>
        <v>3.1715826197272439E-4</v>
      </c>
      <c r="M894" s="34">
        <v>1</v>
      </c>
    </row>
    <row r="895" spans="1:13" ht="15" customHeight="1" x14ac:dyDescent="0.25">
      <c r="A895" s="30" t="s">
        <v>142</v>
      </c>
      <c r="B895" s="30" t="s">
        <v>92</v>
      </c>
      <c r="C895" s="9" t="s">
        <v>84</v>
      </c>
      <c r="D895" s="32">
        <v>2026</v>
      </c>
      <c r="E895" s="33" t="s">
        <v>34</v>
      </c>
      <c r="F895" s="33">
        <f t="shared" si="28"/>
        <v>0</v>
      </c>
      <c r="G895" s="33">
        <f t="shared" si="28"/>
        <v>0</v>
      </c>
      <c r="H895" s="33">
        <f t="shared" si="28"/>
        <v>2</v>
      </c>
      <c r="I895" s="40">
        <f t="shared" si="27"/>
        <v>0</v>
      </c>
      <c r="J895" s="40">
        <f t="shared" si="27"/>
        <v>0</v>
      </c>
      <c r="K895" s="40">
        <f t="shared" si="27"/>
        <v>1.522359657469077E-3</v>
      </c>
      <c r="L895" s="40">
        <f>1000*M895/VLOOKUP(D895,'Normalised Rates'!$A$7:$B$12,2,FALSE)</f>
        <v>1.522359657469077E-3</v>
      </c>
      <c r="M895" s="34">
        <v>2</v>
      </c>
    </row>
    <row r="896" spans="1:13" ht="15" customHeight="1" x14ac:dyDescent="0.25">
      <c r="A896" s="30" t="s">
        <v>142</v>
      </c>
      <c r="B896" s="30" t="s">
        <v>107</v>
      </c>
      <c r="C896" s="9" t="s">
        <v>67</v>
      </c>
      <c r="D896" s="32">
        <v>2023</v>
      </c>
      <c r="E896" s="33" t="s">
        <v>34</v>
      </c>
      <c r="F896" s="33">
        <f t="shared" si="28"/>
        <v>0</v>
      </c>
      <c r="G896" s="33">
        <f t="shared" si="28"/>
        <v>0</v>
      </c>
      <c r="H896" s="33">
        <f t="shared" si="28"/>
        <v>1</v>
      </c>
      <c r="I896" s="40">
        <f t="shared" si="27"/>
        <v>0</v>
      </c>
      <c r="J896" s="40">
        <f t="shared" si="27"/>
        <v>0</v>
      </c>
      <c r="K896" s="40">
        <f t="shared" si="27"/>
        <v>4.3744531933508313E-4</v>
      </c>
      <c r="L896" s="40">
        <f>1000*M896/VLOOKUP(D896,'Normalised Rates'!$A$7:$B$12,2,FALSE)</f>
        <v>4.3744531933508313E-4</v>
      </c>
      <c r="M896" s="34">
        <v>1</v>
      </c>
    </row>
    <row r="897" spans="1:13" ht="15" customHeight="1" x14ac:dyDescent="0.25">
      <c r="A897" s="30" t="s">
        <v>142</v>
      </c>
      <c r="B897" s="30" t="s">
        <v>107</v>
      </c>
      <c r="C897" s="9" t="s">
        <v>67</v>
      </c>
      <c r="D897" s="32">
        <v>2023</v>
      </c>
      <c r="E897" s="35" t="s">
        <v>163</v>
      </c>
      <c r="F897" s="33">
        <f t="shared" si="28"/>
        <v>3</v>
      </c>
      <c r="G897" s="33">
        <f t="shared" si="28"/>
        <v>0</v>
      </c>
      <c r="H897" s="33">
        <f t="shared" si="28"/>
        <v>0</v>
      </c>
      <c r="I897" s="40">
        <f t="shared" si="27"/>
        <v>1.3123359580052493E-3</v>
      </c>
      <c r="J897" s="40">
        <f t="shared" si="27"/>
        <v>0</v>
      </c>
      <c r="K897" s="40">
        <f t="shared" si="27"/>
        <v>0</v>
      </c>
      <c r="L897" s="40">
        <f>1000*M897/VLOOKUP(D897,'Normalised Rates'!$A$7:$B$12,2,FALSE)</f>
        <v>1.3123359580052493E-3</v>
      </c>
      <c r="M897" s="34">
        <v>3</v>
      </c>
    </row>
    <row r="898" spans="1:13" ht="15" customHeight="1" x14ac:dyDescent="0.25">
      <c r="A898" s="30" t="s">
        <v>142</v>
      </c>
      <c r="B898" s="30" t="s">
        <v>107</v>
      </c>
      <c r="C898" s="9" t="s">
        <v>67</v>
      </c>
      <c r="D898" s="32">
        <v>2024</v>
      </c>
      <c r="E898" s="33" t="s">
        <v>34</v>
      </c>
      <c r="F898" s="33">
        <f t="shared" si="28"/>
        <v>0</v>
      </c>
      <c r="G898" s="33">
        <f t="shared" si="28"/>
        <v>0</v>
      </c>
      <c r="H898" s="33">
        <f t="shared" si="28"/>
        <v>1</v>
      </c>
      <c r="I898" s="40">
        <f t="shared" si="27"/>
        <v>0</v>
      </c>
      <c r="J898" s="40">
        <f t="shared" si="27"/>
        <v>0</v>
      </c>
      <c r="K898" s="40">
        <f t="shared" si="27"/>
        <v>3.7271710771524412E-4</v>
      </c>
      <c r="L898" s="40">
        <f>1000*M898/VLOOKUP(D898,'Normalised Rates'!$A$7:$B$12,2,FALSE)</f>
        <v>3.7271710771524412E-4</v>
      </c>
      <c r="M898" s="34">
        <v>1</v>
      </c>
    </row>
    <row r="899" spans="1:13" ht="15" customHeight="1" x14ac:dyDescent="0.25">
      <c r="A899" s="30" t="s">
        <v>142</v>
      </c>
      <c r="B899" s="30" t="s">
        <v>107</v>
      </c>
      <c r="C899" s="9" t="s">
        <v>67</v>
      </c>
      <c r="D899" s="32">
        <v>2025</v>
      </c>
      <c r="E899" s="33" t="s">
        <v>34</v>
      </c>
      <c r="F899" s="33">
        <f t="shared" si="28"/>
        <v>0</v>
      </c>
      <c r="G899" s="33">
        <f t="shared" si="28"/>
        <v>0</v>
      </c>
      <c r="H899" s="33">
        <f t="shared" si="28"/>
        <v>1</v>
      </c>
      <c r="I899" s="40">
        <f t="shared" si="27"/>
        <v>0</v>
      </c>
      <c r="J899" s="40">
        <f t="shared" si="27"/>
        <v>0</v>
      </c>
      <c r="K899" s="40">
        <f t="shared" si="27"/>
        <v>3.1715826197272439E-4</v>
      </c>
      <c r="L899" s="40">
        <f>1000*M899/VLOOKUP(D899,'Normalised Rates'!$A$7:$B$12,2,FALSE)</f>
        <v>3.1715826197272439E-4</v>
      </c>
      <c r="M899" s="34">
        <v>1</v>
      </c>
    </row>
    <row r="900" spans="1:13" ht="15" customHeight="1" x14ac:dyDescent="0.25">
      <c r="A900" s="30" t="s">
        <v>142</v>
      </c>
      <c r="B900" s="30" t="s">
        <v>107</v>
      </c>
      <c r="C900" s="9" t="s">
        <v>67</v>
      </c>
      <c r="D900" s="32">
        <v>2025</v>
      </c>
      <c r="E900" s="35" t="s">
        <v>163</v>
      </c>
      <c r="F900" s="33">
        <f t="shared" si="28"/>
        <v>1</v>
      </c>
      <c r="G900" s="33">
        <f t="shared" si="28"/>
        <v>0</v>
      </c>
      <c r="H900" s="33">
        <f t="shared" si="28"/>
        <v>0</v>
      </c>
      <c r="I900" s="40">
        <f t="shared" si="27"/>
        <v>3.1715826197272439E-4</v>
      </c>
      <c r="J900" s="40">
        <f t="shared" si="27"/>
        <v>0</v>
      </c>
      <c r="K900" s="40">
        <f t="shared" si="27"/>
        <v>0</v>
      </c>
      <c r="L900" s="40">
        <f>1000*M900/VLOOKUP(D900,'Normalised Rates'!$A$7:$B$12,2,FALSE)</f>
        <v>3.1715826197272439E-4</v>
      </c>
      <c r="M900" s="34">
        <v>1</v>
      </c>
    </row>
    <row r="901" spans="1:13" ht="15" customHeight="1" x14ac:dyDescent="0.25">
      <c r="A901" s="30" t="s">
        <v>142</v>
      </c>
      <c r="B901" s="30" t="s">
        <v>109</v>
      </c>
      <c r="C901" s="9" t="s">
        <v>67</v>
      </c>
      <c r="D901" s="32">
        <v>2021</v>
      </c>
      <c r="E901" s="35" t="s">
        <v>163</v>
      </c>
      <c r="F901" s="33">
        <f t="shared" si="28"/>
        <v>1</v>
      </c>
      <c r="G901" s="33">
        <f t="shared" si="28"/>
        <v>0</v>
      </c>
      <c r="H901" s="33">
        <f t="shared" si="28"/>
        <v>0</v>
      </c>
      <c r="I901" s="40">
        <f t="shared" si="27"/>
        <v>6.2735257214554575E-4</v>
      </c>
      <c r="J901" s="40">
        <f t="shared" si="27"/>
        <v>0</v>
      </c>
      <c r="K901" s="40">
        <f t="shared" si="27"/>
        <v>0</v>
      </c>
      <c r="L901" s="40">
        <f>1000*M901/VLOOKUP(D901,'Normalised Rates'!$A$7:$B$12,2,FALSE)</f>
        <v>6.2735257214554575E-4</v>
      </c>
      <c r="M901" s="34">
        <v>1</v>
      </c>
    </row>
    <row r="902" spans="1:13" ht="15" customHeight="1" x14ac:dyDescent="0.25">
      <c r="A902" s="30" t="s">
        <v>142</v>
      </c>
      <c r="B902" s="30" t="s">
        <v>109</v>
      </c>
      <c r="C902" s="9" t="s">
        <v>67</v>
      </c>
      <c r="D902" s="32">
        <v>2023</v>
      </c>
      <c r="E902" s="35" t="s">
        <v>163</v>
      </c>
      <c r="F902" s="33">
        <f t="shared" si="28"/>
        <v>3</v>
      </c>
      <c r="G902" s="33">
        <f t="shared" si="28"/>
        <v>0</v>
      </c>
      <c r="H902" s="33">
        <f t="shared" si="28"/>
        <v>0</v>
      </c>
      <c r="I902" s="40">
        <f t="shared" si="27"/>
        <v>1.3123359580052493E-3</v>
      </c>
      <c r="J902" s="40">
        <f t="shared" si="27"/>
        <v>0</v>
      </c>
      <c r="K902" s="40">
        <f t="shared" si="27"/>
        <v>0</v>
      </c>
      <c r="L902" s="40">
        <f>1000*M902/VLOOKUP(D902,'Normalised Rates'!$A$7:$B$12,2,FALSE)</f>
        <v>1.3123359580052493E-3</v>
      </c>
      <c r="M902" s="34">
        <v>3</v>
      </c>
    </row>
    <row r="903" spans="1:13" ht="15" customHeight="1" x14ac:dyDescent="0.25">
      <c r="A903" s="30" t="s">
        <v>142</v>
      </c>
      <c r="B903" s="30" t="s">
        <v>109</v>
      </c>
      <c r="C903" s="9" t="s">
        <v>67</v>
      </c>
      <c r="D903" s="32">
        <v>2026</v>
      </c>
      <c r="E903" s="33" t="s">
        <v>34</v>
      </c>
      <c r="F903" s="33">
        <f t="shared" si="28"/>
        <v>0</v>
      </c>
      <c r="G903" s="33">
        <f t="shared" si="28"/>
        <v>0</v>
      </c>
      <c r="H903" s="33">
        <f t="shared" si="28"/>
        <v>2</v>
      </c>
      <c r="I903" s="40">
        <f t="shared" ref="I903:K966" si="29">IF(_xlfn.CONCAT($E903,"%")=I$5,$L903,0)</f>
        <v>0</v>
      </c>
      <c r="J903" s="40">
        <f t="shared" si="29"/>
        <v>0</v>
      </c>
      <c r="K903" s="40">
        <f t="shared" si="29"/>
        <v>1.522359657469077E-3</v>
      </c>
      <c r="L903" s="40">
        <f>1000*M903/VLOOKUP(D903,'Normalised Rates'!$A$7:$B$12,2,FALSE)</f>
        <v>1.522359657469077E-3</v>
      </c>
      <c r="M903" s="34">
        <v>2</v>
      </c>
    </row>
    <row r="904" spans="1:13" ht="15" customHeight="1" x14ac:dyDescent="0.25">
      <c r="A904" s="30" t="s">
        <v>142</v>
      </c>
      <c r="B904" s="30" t="s">
        <v>69</v>
      </c>
      <c r="C904" s="9" t="s">
        <v>67</v>
      </c>
      <c r="D904" s="32">
        <v>2021</v>
      </c>
      <c r="E904" s="33" t="s">
        <v>34</v>
      </c>
      <c r="F904" s="33">
        <f t="shared" si="28"/>
        <v>0</v>
      </c>
      <c r="G904" s="33">
        <f t="shared" si="28"/>
        <v>0</v>
      </c>
      <c r="H904" s="33">
        <f t="shared" si="28"/>
        <v>1</v>
      </c>
      <c r="I904" s="40">
        <f t="shared" si="29"/>
        <v>0</v>
      </c>
      <c r="J904" s="40">
        <f t="shared" si="29"/>
        <v>0</v>
      </c>
      <c r="K904" s="40">
        <f t="shared" si="29"/>
        <v>6.2735257214554575E-4</v>
      </c>
      <c r="L904" s="40">
        <f>1000*M904/VLOOKUP(D904,'Normalised Rates'!$A$7:$B$12,2,FALSE)</f>
        <v>6.2735257214554575E-4</v>
      </c>
      <c r="M904" s="34">
        <v>1</v>
      </c>
    </row>
    <row r="905" spans="1:13" ht="15" customHeight="1" x14ac:dyDescent="0.25">
      <c r="A905" s="30" t="s">
        <v>142</v>
      </c>
      <c r="B905" s="30" t="s">
        <v>69</v>
      </c>
      <c r="C905" s="9" t="s">
        <v>67</v>
      </c>
      <c r="D905" s="32">
        <v>2023</v>
      </c>
      <c r="E905" s="35" t="s">
        <v>163</v>
      </c>
      <c r="F905" s="33">
        <f t="shared" ref="F905:H968" si="30">IF($E905=F$5,$M905,0)</f>
        <v>2</v>
      </c>
      <c r="G905" s="33">
        <f t="shared" si="30"/>
        <v>0</v>
      </c>
      <c r="H905" s="33">
        <f t="shared" si="30"/>
        <v>0</v>
      </c>
      <c r="I905" s="40">
        <f t="shared" si="29"/>
        <v>8.7489063867016625E-4</v>
      </c>
      <c r="J905" s="40">
        <f t="shared" si="29"/>
        <v>0</v>
      </c>
      <c r="K905" s="40">
        <f t="shared" si="29"/>
        <v>0</v>
      </c>
      <c r="L905" s="40">
        <f>1000*M905/VLOOKUP(D905,'Normalised Rates'!$A$7:$B$12,2,FALSE)</f>
        <v>8.7489063867016625E-4</v>
      </c>
      <c r="M905" s="34">
        <v>2</v>
      </c>
    </row>
    <row r="906" spans="1:13" ht="15" customHeight="1" x14ac:dyDescent="0.25">
      <c r="A906" s="30" t="s">
        <v>142</v>
      </c>
      <c r="B906" s="30" t="s">
        <v>69</v>
      </c>
      <c r="C906" s="9" t="s">
        <v>67</v>
      </c>
      <c r="D906" s="32">
        <v>2025</v>
      </c>
      <c r="E906" s="33" t="s">
        <v>34</v>
      </c>
      <c r="F906" s="33">
        <f t="shared" si="30"/>
        <v>0</v>
      </c>
      <c r="G906" s="33">
        <f t="shared" si="30"/>
        <v>0</v>
      </c>
      <c r="H906" s="33">
        <f t="shared" si="30"/>
        <v>1</v>
      </c>
      <c r="I906" s="40">
        <f t="shared" si="29"/>
        <v>0</v>
      </c>
      <c r="J906" s="40">
        <f t="shared" si="29"/>
        <v>0</v>
      </c>
      <c r="K906" s="40">
        <f t="shared" si="29"/>
        <v>3.1715826197272439E-4</v>
      </c>
      <c r="L906" s="40">
        <f>1000*M906/VLOOKUP(D906,'Normalised Rates'!$A$7:$B$12,2,FALSE)</f>
        <v>3.1715826197272439E-4</v>
      </c>
      <c r="M906" s="34">
        <v>1</v>
      </c>
    </row>
    <row r="907" spans="1:13" ht="15" customHeight="1" x14ac:dyDescent="0.25">
      <c r="A907" s="30" t="s">
        <v>142</v>
      </c>
      <c r="B907" s="30" t="s">
        <v>69</v>
      </c>
      <c r="C907" s="9" t="s">
        <v>67</v>
      </c>
      <c r="D907" s="32">
        <v>2026</v>
      </c>
      <c r="E907" s="33" t="s">
        <v>34</v>
      </c>
      <c r="F907" s="33">
        <f t="shared" si="30"/>
        <v>0</v>
      </c>
      <c r="G907" s="33">
        <f t="shared" si="30"/>
        <v>0</v>
      </c>
      <c r="H907" s="33">
        <f t="shared" si="30"/>
        <v>2</v>
      </c>
      <c r="I907" s="40">
        <f t="shared" si="29"/>
        <v>0</v>
      </c>
      <c r="J907" s="40">
        <f t="shared" si="29"/>
        <v>0</v>
      </c>
      <c r="K907" s="40">
        <f t="shared" si="29"/>
        <v>1.522359657469077E-3</v>
      </c>
      <c r="L907" s="40">
        <f>1000*M907/VLOOKUP(D907,'Normalised Rates'!$A$7:$B$12,2,FALSE)</f>
        <v>1.522359657469077E-3</v>
      </c>
      <c r="M907" s="34">
        <v>2</v>
      </c>
    </row>
    <row r="908" spans="1:13" ht="15" customHeight="1" x14ac:dyDescent="0.25">
      <c r="A908" s="30" t="s">
        <v>142</v>
      </c>
      <c r="B908" s="30" t="s">
        <v>94</v>
      </c>
      <c r="C908" s="9" t="s">
        <v>64</v>
      </c>
      <c r="D908" s="32">
        <v>2021</v>
      </c>
      <c r="E908" s="35" t="s">
        <v>163</v>
      </c>
      <c r="F908" s="33">
        <f t="shared" si="30"/>
        <v>1</v>
      </c>
      <c r="G908" s="33">
        <f t="shared" si="30"/>
        <v>0</v>
      </c>
      <c r="H908" s="33">
        <f t="shared" si="30"/>
        <v>0</v>
      </c>
      <c r="I908" s="40">
        <f t="shared" si="29"/>
        <v>6.2735257214554575E-4</v>
      </c>
      <c r="J908" s="40">
        <f t="shared" si="29"/>
        <v>0</v>
      </c>
      <c r="K908" s="40">
        <f t="shared" si="29"/>
        <v>0</v>
      </c>
      <c r="L908" s="40">
        <f>1000*M908/VLOOKUP(D908,'Normalised Rates'!$A$7:$B$12,2,FALSE)</f>
        <v>6.2735257214554575E-4</v>
      </c>
      <c r="M908" s="34">
        <v>1</v>
      </c>
    </row>
    <row r="909" spans="1:13" ht="15" customHeight="1" x14ac:dyDescent="0.25">
      <c r="A909" s="30" t="s">
        <v>142</v>
      </c>
      <c r="B909" s="30" t="s">
        <v>94</v>
      </c>
      <c r="C909" s="9" t="s">
        <v>64</v>
      </c>
      <c r="D909" s="32">
        <v>2022</v>
      </c>
      <c r="E909" s="35" t="s">
        <v>163</v>
      </c>
      <c r="F909" s="33">
        <f t="shared" si="30"/>
        <v>2</v>
      </c>
      <c r="G909" s="33">
        <f t="shared" si="30"/>
        <v>0</v>
      </c>
      <c r="H909" s="33">
        <f t="shared" si="30"/>
        <v>0</v>
      </c>
      <c r="I909" s="40">
        <f t="shared" si="29"/>
        <v>1.0666666666666667E-3</v>
      </c>
      <c r="J909" s="40">
        <f t="shared" si="29"/>
        <v>0</v>
      </c>
      <c r="K909" s="40">
        <f t="shared" si="29"/>
        <v>0</v>
      </c>
      <c r="L909" s="40">
        <f>1000*M909/VLOOKUP(D909,'Normalised Rates'!$A$7:$B$12,2,FALSE)</f>
        <v>1.0666666666666667E-3</v>
      </c>
      <c r="M909" s="34">
        <v>2</v>
      </c>
    </row>
    <row r="910" spans="1:13" ht="15" customHeight="1" x14ac:dyDescent="0.25">
      <c r="A910" s="30" t="s">
        <v>142</v>
      </c>
      <c r="B910" s="30" t="s">
        <v>94</v>
      </c>
      <c r="C910" s="9" t="s">
        <v>64</v>
      </c>
      <c r="D910" s="32">
        <v>2023</v>
      </c>
      <c r="E910" s="35" t="s">
        <v>163</v>
      </c>
      <c r="F910" s="33">
        <f t="shared" si="30"/>
        <v>2</v>
      </c>
      <c r="G910" s="33">
        <f t="shared" si="30"/>
        <v>0</v>
      </c>
      <c r="H910" s="33">
        <f t="shared" si="30"/>
        <v>0</v>
      </c>
      <c r="I910" s="40">
        <f t="shared" si="29"/>
        <v>8.7489063867016625E-4</v>
      </c>
      <c r="J910" s="40">
        <f t="shared" si="29"/>
        <v>0</v>
      </c>
      <c r="K910" s="40">
        <f t="shared" si="29"/>
        <v>0</v>
      </c>
      <c r="L910" s="40">
        <f>1000*M910/VLOOKUP(D910,'Normalised Rates'!$A$7:$B$12,2,FALSE)</f>
        <v>8.7489063867016625E-4</v>
      </c>
      <c r="M910" s="34">
        <v>2</v>
      </c>
    </row>
    <row r="911" spans="1:13" ht="15" customHeight="1" x14ac:dyDescent="0.25">
      <c r="A911" s="30" t="s">
        <v>142</v>
      </c>
      <c r="B911" s="30" t="s">
        <v>102</v>
      </c>
      <c r="C911" s="9" t="s">
        <v>84</v>
      </c>
      <c r="D911" s="32">
        <v>2022</v>
      </c>
      <c r="E911" s="35" t="s">
        <v>163</v>
      </c>
      <c r="F911" s="33">
        <f t="shared" si="30"/>
        <v>1</v>
      </c>
      <c r="G911" s="33">
        <f t="shared" si="30"/>
        <v>0</v>
      </c>
      <c r="H911" s="33">
        <f t="shared" si="30"/>
        <v>0</v>
      </c>
      <c r="I911" s="40">
        <f t="shared" si="29"/>
        <v>5.3333333333333336E-4</v>
      </c>
      <c r="J911" s="40">
        <f t="shared" si="29"/>
        <v>0</v>
      </c>
      <c r="K911" s="40">
        <f t="shared" si="29"/>
        <v>0</v>
      </c>
      <c r="L911" s="40">
        <f>1000*M911/VLOOKUP(D911,'Normalised Rates'!$A$7:$B$12,2,FALSE)</f>
        <v>5.3333333333333336E-4</v>
      </c>
      <c r="M911" s="34">
        <v>1</v>
      </c>
    </row>
    <row r="912" spans="1:13" ht="15" customHeight="1" x14ac:dyDescent="0.25">
      <c r="A912" s="30" t="s">
        <v>142</v>
      </c>
      <c r="B912" s="30" t="s">
        <v>102</v>
      </c>
      <c r="C912" s="9" t="s">
        <v>84</v>
      </c>
      <c r="D912" s="32">
        <v>2023</v>
      </c>
      <c r="E912" s="35" t="s">
        <v>163</v>
      </c>
      <c r="F912" s="33">
        <f t="shared" si="30"/>
        <v>1</v>
      </c>
      <c r="G912" s="33">
        <f t="shared" si="30"/>
        <v>0</v>
      </c>
      <c r="H912" s="33">
        <f t="shared" si="30"/>
        <v>0</v>
      </c>
      <c r="I912" s="40">
        <f t="shared" si="29"/>
        <v>4.3744531933508313E-4</v>
      </c>
      <c r="J912" s="40">
        <f t="shared" si="29"/>
        <v>0</v>
      </c>
      <c r="K912" s="40">
        <f t="shared" si="29"/>
        <v>0</v>
      </c>
      <c r="L912" s="40">
        <f>1000*M912/VLOOKUP(D912,'Normalised Rates'!$A$7:$B$12,2,FALSE)</f>
        <v>4.3744531933508313E-4</v>
      </c>
      <c r="M912" s="34">
        <v>1</v>
      </c>
    </row>
    <row r="913" spans="1:13" ht="15" customHeight="1" x14ac:dyDescent="0.25">
      <c r="A913" s="30" t="s">
        <v>142</v>
      </c>
      <c r="B913" s="30" t="s">
        <v>102</v>
      </c>
      <c r="C913" s="9" t="s">
        <v>84</v>
      </c>
      <c r="D913" s="32">
        <v>2024</v>
      </c>
      <c r="E913" s="35" t="s">
        <v>163</v>
      </c>
      <c r="F913" s="33">
        <f t="shared" si="30"/>
        <v>1</v>
      </c>
      <c r="G913" s="33">
        <f t="shared" si="30"/>
        <v>0</v>
      </c>
      <c r="H913" s="33">
        <f t="shared" si="30"/>
        <v>0</v>
      </c>
      <c r="I913" s="40">
        <f t="shared" si="29"/>
        <v>3.7271710771524412E-4</v>
      </c>
      <c r="J913" s="40">
        <f t="shared" si="29"/>
        <v>0</v>
      </c>
      <c r="K913" s="40">
        <f t="shared" si="29"/>
        <v>0</v>
      </c>
      <c r="L913" s="40">
        <f>1000*M913/VLOOKUP(D913,'Normalised Rates'!$A$7:$B$12,2,FALSE)</f>
        <v>3.7271710771524412E-4</v>
      </c>
      <c r="M913" s="34">
        <v>1</v>
      </c>
    </row>
    <row r="914" spans="1:13" ht="15" customHeight="1" x14ac:dyDescent="0.25">
      <c r="A914" s="30" t="s">
        <v>142</v>
      </c>
      <c r="B914" s="30" t="s">
        <v>102</v>
      </c>
      <c r="C914" s="9" t="s">
        <v>84</v>
      </c>
      <c r="D914" s="32">
        <v>2026</v>
      </c>
      <c r="E914" s="33" t="s">
        <v>34</v>
      </c>
      <c r="F914" s="33">
        <f t="shared" si="30"/>
        <v>0</v>
      </c>
      <c r="G914" s="33">
        <f t="shared" si="30"/>
        <v>0</v>
      </c>
      <c r="H914" s="33">
        <f t="shared" si="30"/>
        <v>1</v>
      </c>
      <c r="I914" s="40">
        <f t="shared" si="29"/>
        <v>0</v>
      </c>
      <c r="J914" s="40">
        <f t="shared" si="29"/>
        <v>0</v>
      </c>
      <c r="K914" s="40">
        <f t="shared" si="29"/>
        <v>7.6117982873453852E-4</v>
      </c>
      <c r="L914" s="40">
        <f>1000*M914/VLOOKUP(D914,'Normalised Rates'!$A$7:$B$12,2,FALSE)</f>
        <v>7.6117982873453852E-4</v>
      </c>
      <c r="M914" s="34">
        <v>1</v>
      </c>
    </row>
    <row r="915" spans="1:13" ht="15" customHeight="1" x14ac:dyDescent="0.25">
      <c r="A915" s="30" t="s">
        <v>142</v>
      </c>
      <c r="B915" s="30" t="s">
        <v>102</v>
      </c>
      <c r="C915" s="9" t="s">
        <v>84</v>
      </c>
      <c r="D915" s="32">
        <v>2026</v>
      </c>
      <c r="E915" s="35" t="s">
        <v>163</v>
      </c>
      <c r="F915" s="33">
        <f t="shared" si="30"/>
        <v>1</v>
      </c>
      <c r="G915" s="33">
        <f t="shared" si="30"/>
        <v>0</v>
      </c>
      <c r="H915" s="33">
        <f t="shared" si="30"/>
        <v>0</v>
      </c>
      <c r="I915" s="40">
        <f t="shared" si="29"/>
        <v>7.6117982873453852E-4</v>
      </c>
      <c r="J915" s="40">
        <f t="shared" si="29"/>
        <v>0</v>
      </c>
      <c r="K915" s="40">
        <f t="shared" si="29"/>
        <v>0</v>
      </c>
      <c r="L915" s="40">
        <f>1000*M915/VLOOKUP(D915,'Normalised Rates'!$A$7:$B$12,2,FALSE)</f>
        <v>7.6117982873453852E-4</v>
      </c>
      <c r="M915" s="34">
        <v>1</v>
      </c>
    </row>
    <row r="916" spans="1:13" ht="15" customHeight="1" x14ac:dyDescent="0.25">
      <c r="A916" s="30" t="s">
        <v>142</v>
      </c>
      <c r="B916" s="30" t="s">
        <v>117</v>
      </c>
      <c r="C916" s="9" t="s">
        <v>64</v>
      </c>
      <c r="D916" s="32">
        <v>2022</v>
      </c>
      <c r="E916" s="35" t="s">
        <v>163</v>
      </c>
      <c r="F916" s="33">
        <f t="shared" si="30"/>
        <v>3</v>
      </c>
      <c r="G916" s="33">
        <f t="shared" si="30"/>
        <v>0</v>
      </c>
      <c r="H916" s="33">
        <f t="shared" si="30"/>
        <v>0</v>
      </c>
      <c r="I916" s="40">
        <f t="shared" si="29"/>
        <v>1.6000000000000001E-3</v>
      </c>
      <c r="J916" s="40">
        <f t="shared" si="29"/>
        <v>0</v>
      </c>
      <c r="K916" s="40">
        <f t="shared" si="29"/>
        <v>0</v>
      </c>
      <c r="L916" s="40">
        <f>1000*M916/VLOOKUP(D916,'Normalised Rates'!$A$7:$B$12,2,FALSE)</f>
        <v>1.6000000000000001E-3</v>
      </c>
      <c r="M916" s="34">
        <v>3</v>
      </c>
    </row>
    <row r="917" spans="1:13" ht="15" customHeight="1" x14ac:dyDescent="0.25">
      <c r="A917" s="30" t="s">
        <v>142</v>
      </c>
      <c r="B917" s="30" t="s">
        <v>117</v>
      </c>
      <c r="C917" s="9" t="s">
        <v>64</v>
      </c>
      <c r="D917" s="32">
        <v>2023</v>
      </c>
      <c r="E917" s="35" t="s">
        <v>163</v>
      </c>
      <c r="F917" s="33">
        <f t="shared" si="30"/>
        <v>2</v>
      </c>
      <c r="G917" s="33">
        <f t="shared" si="30"/>
        <v>0</v>
      </c>
      <c r="H917" s="33">
        <f t="shared" si="30"/>
        <v>0</v>
      </c>
      <c r="I917" s="40">
        <f t="shared" si="29"/>
        <v>8.7489063867016625E-4</v>
      </c>
      <c r="J917" s="40">
        <f t="shared" si="29"/>
        <v>0</v>
      </c>
      <c r="K917" s="40">
        <f t="shared" si="29"/>
        <v>0</v>
      </c>
      <c r="L917" s="40">
        <f>1000*M917/VLOOKUP(D917,'Normalised Rates'!$A$7:$B$12,2,FALSE)</f>
        <v>8.7489063867016625E-4</v>
      </c>
      <c r="M917" s="34">
        <v>2</v>
      </c>
    </row>
    <row r="918" spans="1:13" ht="15" customHeight="1" x14ac:dyDescent="0.25">
      <c r="A918" s="30" t="s">
        <v>142</v>
      </c>
      <c r="B918" s="30" t="s">
        <v>111</v>
      </c>
      <c r="C918" s="9" t="s">
        <v>105</v>
      </c>
      <c r="D918" s="32">
        <v>2024</v>
      </c>
      <c r="E918" s="35" t="s">
        <v>163</v>
      </c>
      <c r="F918" s="33">
        <f t="shared" si="30"/>
        <v>3</v>
      </c>
      <c r="G918" s="33">
        <f t="shared" si="30"/>
        <v>0</v>
      </c>
      <c r="H918" s="33">
        <f t="shared" si="30"/>
        <v>0</v>
      </c>
      <c r="I918" s="40">
        <f t="shared" si="29"/>
        <v>1.1181513231457323E-3</v>
      </c>
      <c r="J918" s="40">
        <f t="shared" si="29"/>
        <v>0</v>
      </c>
      <c r="K918" s="40">
        <f t="shared" si="29"/>
        <v>0</v>
      </c>
      <c r="L918" s="40">
        <f>1000*M918/VLOOKUP(D918,'Normalised Rates'!$A$7:$B$12,2,FALSE)</f>
        <v>1.1181513231457323E-3</v>
      </c>
      <c r="M918" s="34">
        <v>3</v>
      </c>
    </row>
    <row r="919" spans="1:13" ht="15" customHeight="1" x14ac:dyDescent="0.25">
      <c r="A919" s="30" t="s">
        <v>142</v>
      </c>
      <c r="B919" s="30" t="s">
        <v>111</v>
      </c>
      <c r="C919" s="9" t="s">
        <v>105</v>
      </c>
      <c r="D919" s="32">
        <v>2025</v>
      </c>
      <c r="E919" s="33" t="s">
        <v>34</v>
      </c>
      <c r="F919" s="33">
        <f t="shared" si="30"/>
        <v>0</v>
      </c>
      <c r="G919" s="33">
        <f t="shared" si="30"/>
        <v>0</v>
      </c>
      <c r="H919" s="33">
        <f t="shared" si="30"/>
        <v>1</v>
      </c>
      <c r="I919" s="40">
        <f t="shared" si="29"/>
        <v>0</v>
      </c>
      <c r="J919" s="40">
        <f t="shared" si="29"/>
        <v>0</v>
      </c>
      <c r="K919" s="40">
        <f t="shared" si="29"/>
        <v>3.1715826197272439E-4</v>
      </c>
      <c r="L919" s="40">
        <f>1000*M919/VLOOKUP(D919,'Normalised Rates'!$A$7:$B$12,2,FALSE)</f>
        <v>3.1715826197272439E-4</v>
      </c>
      <c r="M919" s="34">
        <v>1</v>
      </c>
    </row>
    <row r="920" spans="1:13" ht="15" customHeight="1" x14ac:dyDescent="0.25">
      <c r="A920" s="30" t="s">
        <v>142</v>
      </c>
      <c r="B920" s="30" t="s">
        <v>111</v>
      </c>
      <c r="C920" s="9" t="s">
        <v>105</v>
      </c>
      <c r="D920" s="32">
        <v>2026</v>
      </c>
      <c r="E920" s="33" t="s">
        <v>34</v>
      </c>
      <c r="F920" s="33">
        <f t="shared" si="30"/>
        <v>0</v>
      </c>
      <c r="G920" s="33">
        <f t="shared" si="30"/>
        <v>0</v>
      </c>
      <c r="H920" s="33">
        <f t="shared" si="30"/>
        <v>1</v>
      </c>
      <c r="I920" s="40">
        <f t="shared" si="29"/>
        <v>0</v>
      </c>
      <c r="J920" s="40">
        <f t="shared" si="29"/>
        <v>0</v>
      </c>
      <c r="K920" s="40">
        <f t="shared" si="29"/>
        <v>7.6117982873453852E-4</v>
      </c>
      <c r="L920" s="40">
        <f>1000*M920/VLOOKUP(D920,'Normalised Rates'!$A$7:$B$12,2,FALSE)</f>
        <v>7.6117982873453852E-4</v>
      </c>
      <c r="M920" s="34">
        <v>1</v>
      </c>
    </row>
    <row r="921" spans="1:13" ht="15" customHeight="1" x14ac:dyDescent="0.25">
      <c r="A921" s="30" t="s">
        <v>142</v>
      </c>
      <c r="B921" s="30" t="s">
        <v>125</v>
      </c>
      <c r="C921" s="9" t="s">
        <v>67</v>
      </c>
      <c r="D921" s="32">
        <v>2023</v>
      </c>
      <c r="E921" s="35" t="s">
        <v>163</v>
      </c>
      <c r="F921" s="33">
        <f t="shared" si="30"/>
        <v>3</v>
      </c>
      <c r="G921" s="33">
        <f t="shared" si="30"/>
        <v>0</v>
      </c>
      <c r="H921" s="33">
        <f t="shared" si="30"/>
        <v>0</v>
      </c>
      <c r="I921" s="40">
        <f t="shared" si="29"/>
        <v>1.3123359580052493E-3</v>
      </c>
      <c r="J921" s="40">
        <f t="shared" si="29"/>
        <v>0</v>
      </c>
      <c r="K921" s="40">
        <f t="shared" si="29"/>
        <v>0</v>
      </c>
      <c r="L921" s="40">
        <f>1000*M921/VLOOKUP(D921,'Normalised Rates'!$A$7:$B$12,2,FALSE)</f>
        <v>1.3123359580052493E-3</v>
      </c>
      <c r="M921" s="34">
        <v>3</v>
      </c>
    </row>
    <row r="922" spans="1:13" ht="15" customHeight="1" x14ac:dyDescent="0.25">
      <c r="A922" s="30" t="s">
        <v>142</v>
      </c>
      <c r="B922" s="30" t="s">
        <v>125</v>
      </c>
      <c r="C922" s="9" t="s">
        <v>67</v>
      </c>
      <c r="D922" s="32">
        <v>2025</v>
      </c>
      <c r="E922" s="35" t="s">
        <v>163</v>
      </c>
      <c r="F922" s="33">
        <f t="shared" si="30"/>
        <v>1</v>
      </c>
      <c r="G922" s="33">
        <f t="shared" si="30"/>
        <v>0</v>
      </c>
      <c r="H922" s="33">
        <f t="shared" si="30"/>
        <v>0</v>
      </c>
      <c r="I922" s="40">
        <f t="shared" si="29"/>
        <v>3.1715826197272439E-4</v>
      </c>
      <c r="J922" s="40">
        <f t="shared" si="29"/>
        <v>0</v>
      </c>
      <c r="K922" s="40">
        <f t="shared" si="29"/>
        <v>0</v>
      </c>
      <c r="L922" s="40">
        <f>1000*M922/VLOOKUP(D922,'Normalised Rates'!$A$7:$B$12,2,FALSE)</f>
        <v>3.1715826197272439E-4</v>
      </c>
      <c r="M922" s="34">
        <v>1</v>
      </c>
    </row>
    <row r="923" spans="1:13" ht="15" customHeight="1" x14ac:dyDescent="0.25">
      <c r="A923" s="30" t="s">
        <v>142</v>
      </c>
      <c r="B923" s="30" t="s">
        <v>104</v>
      </c>
      <c r="C923" s="9" t="s">
        <v>105</v>
      </c>
      <c r="D923" s="32">
        <v>2023</v>
      </c>
      <c r="E923" s="35" t="s">
        <v>163</v>
      </c>
      <c r="F923" s="33">
        <f t="shared" si="30"/>
        <v>2</v>
      </c>
      <c r="G923" s="33">
        <f t="shared" si="30"/>
        <v>0</v>
      </c>
      <c r="H923" s="33">
        <f t="shared" si="30"/>
        <v>0</v>
      </c>
      <c r="I923" s="40">
        <f t="shared" si="29"/>
        <v>8.7489063867016625E-4</v>
      </c>
      <c r="J923" s="40">
        <f t="shared" si="29"/>
        <v>0</v>
      </c>
      <c r="K923" s="40">
        <f t="shared" si="29"/>
        <v>0</v>
      </c>
      <c r="L923" s="40">
        <f>1000*M923/VLOOKUP(D923,'Normalised Rates'!$A$7:$B$12,2,FALSE)</f>
        <v>8.7489063867016625E-4</v>
      </c>
      <c r="M923" s="34">
        <v>2</v>
      </c>
    </row>
    <row r="924" spans="1:13" ht="15" customHeight="1" x14ac:dyDescent="0.25">
      <c r="A924" s="30" t="s">
        <v>142</v>
      </c>
      <c r="B924" s="30" t="s">
        <v>104</v>
      </c>
      <c r="C924" s="9" t="s">
        <v>105</v>
      </c>
      <c r="D924" s="32">
        <v>2025</v>
      </c>
      <c r="E924" s="33" t="s">
        <v>34</v>
      </c>
      <c r="F924" s="33">
        <f t="shared" si="30"/>
        <v>0</v>
      </c>
      <c r="G924" s="33">
        <f t="shared" si="30"/>
        <v>0</v>
      </c>
      <c r="H924" s="33">
        <f t="shared" si="30"/>
        <v>1</v>
      </c>
      <c r="I924" s="40">
        <f t="shared" si="29"/>
        <v>0</v>
      </c>
      <c r="J924" s="40">
        <f t="shared" si="29"/>
        <v>0</v>
      </c>
      <c r="K924" s="40">
        <f t="shared" si="29"/>
        <v>3.1715826197272439E-4</v>
      </c>
      <c r="L924" s="40">
        <f>1000*M924/VLOOKUP(D924,'Normalised Rates'!$A$7:$B$12,2,FALSE)</f>
        <v>3.1715826197272439E-4</v>
      </c>
      <c r="M924" s="34">
        <v>1</v>
      </c>
    </row>
    <row r="925" spans="1:13" ht="15" customHeight="1" x14ac:dyDescent="0.25">
      <c r="A925" s="30" t="s">
        <v>142</v>
      </c>
      <c r="B925" s="30" t="s">
        <v>71</v>
      </c>
      <c r="C925" s="9" t="s">
        <v>64</v>
      </c>
      <c r="D925" s="32">
        <v>2022</v>
      </c>
      <c r="E925" s="33" t="s">
        <v>34</v>
      </c>
      <c r="F925" s="33">
        <f t="shared" si="30"/>
        <v>0</v>
      </c>
      <c r="G925" s="33">
        <f t="shared" si="30"/>
        <v>0</v>
      </c>
      <c r="H925" s="33">
        <f t="shared" si="30"/>
        <v>1</v>
      </c>
      <c r="I925" s="40">
        <f t="shared" si="29"/>
        <v>0</v>
      </c>
      <c r="J925" s="40">
        <f t="shared" si="29"/>
        <v>0</v>
      </c>
      <c r="K925" s="40">
        <f t="shared" si="29"/>
        <v>5.3333333333333336E-4</v>
      </c>
      <c r="L925" s="40">
        <f>1000*M925/VLOOKUP(D925,'Normalised Rates'!$A$7:$B$12,2,FALSE)</f>
        <v>5.3333333333333336E-4</v>
      </c>
      <c r="M925" s="34">
        <v>1</v>
      </c>
    </row>
    <row r="926" spans="1:13" ht="15" customHeight="1" x14ac:dyDescent="0.25">
      <c r="A926" s="30" t="s">
        <v>142</v>
      </c>
      <c r="B926" s="30" t="s">
        <v>71</v>
      </c>
      <c r="C926" s="9" t="s">
        <v>64</v>
      </c>
      <c r="D926" s="32">
        <v>2026</v>
      </c>
      <c r="E926" s="35" t="s">
        <v>163</v>
      </c>
      <c r="F926" s="33">
        <f t="shared" si="30"/>
        <v>1</v>
      </c>
      <c r="G926" s="33">
        <f t="shared" si="30"/>
        <v>0</v>
      </c>
      <c r="H926" s="33">
        <f t="shared" si="30"/>
        <v>0</v>
      </c>
      <c r="I926" s="40">
        <f t="shared" si="29"/>
        <v>7.6117982873453852E-4</v>
      </c>
      <c r="J926" s="40">
        <f t="shared" si="29"/>
        <v>0</v>
      </c>
      <c r="K926" s="40">
        <f t="shared" si="29"/>
        <v>0</v>
      </c>
      <c r="L926" s="40">
        <f>1000*M926/VLOOKUP(D926,'Normalised Rates'!$A$7:$B$12,2,FALSE)</f>
        <v>7.6117982873453852E-4</v>
      </c>
      <c r="M926" s="34">
        <v>1</v>
      </c>
    </row>
    <row r="927" spans="1:13" ht="15" customHeight="1" x14ac:dyDescent="0.25">
      <c r="A927" s="30" t="s">
        <v>142</v>
      </c>
      <c r="B927" s="30" t="s">
        <v>113</v>
      </c>
      <c r="C927" s="9" t="s">
        <v>84</v>
      </c>
      <c r="D927" s="32">
        <v>2024</v>
      </c>
      <c r="E927" s="35" t="s">
        <v>163</v>
      </c>
      <c r="F927" s="33">
        <f t="shared" si="30"/>
        <v>1</v>
      </c>
      <c r="G927" s="33">
        <f t="shared" si="30"/>
        <v>0</v>
      </c>
      <c r="H927" s="33">
        <f t="shared" si="30"/>
        <v>0</v>
      </c>
      <c r="I927" s="40">
        <f t="shared" si="29"/>
        <v>3.7271710771524412E-4</v>
      </c>
      <c r="J927" s="40">
        <f t="shared" si="29"/>
        <v>0</v>
      </c>
      <c r="K927" s="40">
        <f t="shared" si="29"/>
        <v>0</v>
      </c>
      <c r="L927" s="40">
        <f>1000*M927/VLOOKUP(D927,'Normalised Rates'!$A$7:$B$12,2,FALSE)</f>
        <v>3.7271710771524412E-4</v>
      </c>
      <c r="M927" s="34">
        <v>1</v>
      </c>
    </row>
    <row r="928" spans="1:13" ht="15" customHeight="1" x14ac:dyDescent="0.25">
      <c r="A928" s="30" t="s">
        <v>142</v>
      </c>
      <c r="B928" s="30" t="s">
        <v>115</v>
      </c>
      <c r="C928" s="9" t="s">
        <v>84</v>
      </c>
      <c r="D928" s="32">
        <v>2024</v>
      </c>
      <c r="E928" s="35" t="s">
        <v>163</v>
      </c>
      <c r="F928" s="33">
        <f t="shared" si="30"/>
        <v>1</v>
      </c>
      <c r="G928" s="33">
        <f t="shared" si="30"/>
        <v>0</v>
      </c>
      <c r="H928" s="33">
        <f t="shared" si="30"/>
        <v>0</v>
      </c>
      <c r="I928" s="40">
        <f t="shared" si="29"/>
        <v>3.7271710771524412E-4</v>
      </c>
      <c r="J928" s="40">
        <f t="shared" si="29"/>
        <v>0</v>
      </c>
      <c r="K928" s="40">
        <f t="shared" si="29"/>
        <v>0</v>
      </c>
      <c r="L928" s="40">
        <f>1000*M928/VLOOKUP(D928,'Normalised Rates'!$A$7:$B$12,2,FALSE)</f>
        <v>3.7271710771524412E-4</v>
      </c>
      <c r="M928" s="34">
        <v>1</v>
      </c>
    </row>
    <row r="929" spans="1:13" ht="15" customHeight="1" x14ac:dyDescent="0.25">
      <c r="A929" s="30" t="s">
        <v>150</v>
      </c>
      <c r="B929" s="30" t="s">
        <v>63</v>
      </c>
      <c r="C929" s="9" t="s">
        <v>64</v>
      </c>
      <c r="D929" s="32">
        <v>2021</v>
      </c>
      <c r="E929" s="33" t="s">
        <v>34</v>
      </c>
      <c r="F929" s="33">
        <f t="shared" si="30"/>
        <v>0</v>
      </c>
      <c r="G929" s="33">
        <f t="shared" si="30"/>
        <v>0</v>
      </c>
      <c r="H929" s="33">
        <f t="shared" si="30"/>
        <v>3</v>
      </c>
      <c r="I929" s="40">
        <f t="shared" si="29"/>
        <v>0</v>
      </c>
      <c r="J929" s="40">
        <f t="shared" si="29"/>
        <v>0</v>
      </c>
      <c r="K929" s="40">
        <f t="shared" si="29"/>
        <v>1.8820577164366374E-3</v>
      </c>
      <c r="L929" s="40">
        <f>1000*M929/VLOOKUP(D929,'Normalised Rates'!$A$7:$B$12,2,FALSE)</f>
        <v>1.8820577164366374E-3</v>
      </c>
      <c r="M929" s="34">
        <v>3</v>
      </c>
    </row>
    <row r="930" spans="1:13" ht="15" customHeight="1" x14ac:dyDescent="0.25">
      <c r="A930" s="30" t="s">
        <v>150</v>
      </c>
      <c r="B930" s="30" t="s">
        <v>63</v>
      </c>
      <c r="C930" s="9" t="s">
        <v>64</v>
      </c>
      <c r="D930" s="32">
        <v>2022</v>
      </c>
      <c r="E930" s="33" t="s">
        <v>34</v>
      </c>
      <c r="F930" s="33">
        <f t="shared" si="30"/>
        <v>0</v>
      </c>
      <c r="G930" s="33">
        <f t="shared" si="30"/>
        <v>0</v>
      </c>
      <c r="H930" s="33">
        <f t="shared" si="30"/>
        <v>7</v>
      </c>
      <c r="I930" s="40">
        <f t="shared" si="29"/>
        <v>0</v>
      </c>
      <c r="J930" s="40">
        <f t="shared" si="29"/>
        <v>0</v>
      </c>
      <c r="K930" s="40">
        <f t="shared" si="29"/>
        <v>3.7333333333333333E-3</v>
      </c>
      <c r="L930" s="40">
        <f>1000*M930/VLOOKUP(D930,'Normalised Rates'!$A$7:$B$12,2,FALSE)</f>
        <v>3.7333333333333333E-3</v>
      </c>
      <c r="M930" s="34">
        <v>7</v>
      </c>
    </row>
    <row r="931" spans="1:13" ht="15" customHeight="1" x14ac:dyDescent="0.25">
      <c r="A931" s="30" t="s">
        <v>150</v>
      </c>
      <c r="B931" s="30" t="s">
        <v>63</v>
      </c>
      <c r="C931" s="9" t="s">
        <v>64</v>
      </c>
      <c r="D931" s="32">
        <v>2022</v>
      </c>
      <c r="E931" s="35" t="s">
        <v>163</v>
      </c>
      <c r="F931" s="33">
        <f t="shared" si="30"/>
        <v>82</v>
      </c>
      <c r="G931" s="33">
        <f t="shared" si="30"/>
        <v>0</v>
      </c>
      <c r="H931" s="33">
        <f t="shared" si="30"/>
        <v>0</v>
      </c>
      <c r="I931" s="40">
        <f t="shared" si="29"/>
        <v>4.3733333333333332E-2</v>
      </c>
      <c r="J931" s="40">
        <f t="shared" si="29"/>
        <v>0</v>
      </c>
      <c r="K931" s="40">
        <f t="shared" si="29"/>
        <v>0</v>
      </c>
      <c r="L931" s="40">
        <f>1000*M931/VLOOKUP(D931,'Normalised Rates'!$A$7:$B$12,2,FALSE)</f>
        <v>4.3733333333333332E-2</v>
      </c>
      <c r="M931" s="34">
        <v>82</v>
      </c>
    </row>
    <row r="932" spans="1:13" ht="15" customHeight="1" x14ac:dyDescent="0.25">
      <c r="A932" s="30" t="s">
        <v>150</v>
      </c>
      <c r="B932" s="30" t="s">
        <v>63</v>
      </c>
      <c r="C932" s="9" t="s">
        <v>64</v>
      </c>
      <c r="D932" s="32">
        <v>2023</v>
      </c>
      <c r="E932" s="36" t="s">
        <v>35</v>
      </c>
      <c r="F932" s="33">
        <f t="shared" si="30"/>
        <v>0</v>
      </c>
      <c r="G932" s="33">
        <f t="shared" si="30"/>
        <v>1</v>
      </c>
      <c r="H932" s="33">
        <f t="shared" si="30"/>
        <v>0</v>
      </c>
      <c r="I932" s="40">
        <f t="shared" si="29"/>
        <v>0</v>
      </c>
      <c r="J932" s="40">
        <f t="shared" si="29"/>
        <v>4.3744531933508313E-4</v>
      </c>
      <c r="K932" s="40">
        <f t="shared" si="29"/>
        <v>0</v>
      </c>
      <c r="L932" s="40">
        <f>1000*M932/VLOOKUP(D932,'Normalised Rates'!$A$7:$B$12,2,FALSE)</f>
        <v>4.3744531933508313E-4</v>
      </c>
      <c r="M932" s="34">
        <v>1</v>
      </c>
    </row>
    <row r="933" spans="1:13" ht="15" customHeight="1" x14ac:dyDescent="0.25">
      <c r="A933" s="30" t="s">
        <v>150</v>
      </c>
      <c r="B933" s="30" t="s">
        <v>63</v>
      </c>
      <c r="C933" s="9" t="s">
        <v>64</v>
      </c>
      <c r="D933" s="32">
        <v>2023</v>
      </c>
      <c r="E933" s="33" t="s">
        <v>34</v>
      </c>
      <c r="F933" s="33">
        <f t="shared" si="30"/>
        <v>0</v>
      </c>
      <c r="G933" s="33">
        <f t="shared" si="30"/>
        <v>0</v>
      </c>
      <c r="H933" s="33">
        <f t="shared" si="30"/>
        <v>10</v>
      </c>
      <c r="I933" s="40">
        <f t="shared" si="29"/>
        <v>0</v>
      </c>
      <c r="J933" s="40">
        <f t="shared" si="29"/>
        <v>0</v>
      </c>
      <c r="K933" s="40">
        <f t="shared" si="29"/>
        <v>4.3744531933508314E-3</v>
      </c>
      <c r="L933" s="40">
        <f>1000*M933/VLOOKUP(D933,'Normalised Rates'!$A$7:$B$12,2,FALSE)</f>
        <v>4.3744531933508314E-3</v>
      </c>
      <c r="M933" s="34">
        <v>10</v>
      </c>
    </row>
    <row r="934" spans="1:13" ht="15" customHeight="1" x14ac:dyDescent="0.25">
      <c r="A934" s="30" t="s">
        <v>150</v>
      </c>
      <c r="B934" s="30" t="s">
        <v>63</v>
      </c>
      <c r="C934" s="9" t="s">
        <v>64</v>
      </c>
      <c r="D934" s="32">
        <v>2023</v>
      </c>
      <c r="E934" s="35" t="s">
        <v>163</v>
      </c>
      <c r="F934" s="33">
        <f t="shared" si="30"/>
        <v>131</v>
      </c>
      <c r="G934" s="33">
        <f t="shared" si="30"/>
        <v>0</v>
      </c>
      <c r="H934" s="33">
        <f t="shared" si="30"/>
        <v>0</v>
      </c>
      <c r="I934" s="40">
        <f t="shared" si="29"/>
        <v>5.730533683289589E-2</v>
      </c>
      <c r="J934" s="40">
        <f t="shared" si="29"/>
        <v>0</v>
      </c>
      <c r="K934" s="40">
        <f t="shared" si="29"/>
        <v>0</v>
      </c>
      <c r="L934" s="40">
        <f>1000*M934/VLOOKUP(D934,'Normalised Rates'!$A$7:$B$12,2,FALSE)</f>
        <v>5.730533683289589E-2</v>
      </c>
      <c r="M934" s="34">
        <v>131</v>
      </c>
    </row>
    <row r="935" spans="1:13" ht="15" customHeight="1" x14ac:dyDescent="0.25">
      <c r="A935" s="30" t="s">
        <v>150</v>
      </c>
      <c r="B935" s="30" t="s">
        <v>63</v>
      </c>
      <c r="C935" s="9" t="s">
        <v>64</v>
      </c>
      <c r="D935" s="32">
        <v>2024</v>
      </c>
      <c r="E935" s="33" t="s">
        <v>34</v>
      </c>
      <c r="F935" s="33">
        <f t="shared" si="30"/>
        <v>0</v>
      </c>
      <c r="G935" s="33">
        <f t="shared" si="30"/>
        <v>0</v>
      </c>
      <c r="H935" s="33">
        <f t="shared" si="30"/>
        <v>10</v>
      </c>
      <c r="I935" s="40">
        <f t="shared" si="29"/>
        <v>0</v>
      </c>
      <c r="J935" s="40">
        <f t="shared" si="29"/>
        <v>0</v>
      </c>
      <c r="K935" s="40">
        <f t="shared" si="29"/>
        <v>3.7271710771524412E-3</v>
      </c>
      <c r="L935" s="40">
        <f>1000*M935/VLOOKUP(D935,'Normalised Rates'!$A$7:$B$12,2,FALSE)</f>
        <v>3.7271710771524412E-3</v>
      </c>
      <c r="M935" s="34">
        <v>10</v>
      </c>
    </row>
    <row r="936" spans="1:13" ht="15" customHeight="1" x14ac:dyDescent="0.25">
      <c r="A936" s="30" t="s">
        <v>150</v>
      </c>
      <c r="B936" s="30" t="s">
        <v>63</v>
      </c>
      <c r="C936" s="9" t="s">
        <v>64</v>
      </c>
      <c r="D936" s="32">
        <v>2024</v>
      </c>
      <c r="E936" s="35" t="s">
        <v>163</v>
      </c>
      <c r="F936" s="33">
        <f t="shared" si="30"/>
        <v>130</v>
      </c>
      <c r="G936" s="33">
        <f t="shared" si="30"/>
        <v>0</v>
      </c>
      <c r="H936" s="33">
        <f t="shared" si="30"/>
        <v>0</v>
      </c>
      <c r="I936" s="40">
        <f t="shared" si="29"/>
        <v>4.8453224002981736E-2</v>
      </c>
      <c r="J936" s="40">
        <f t="shared" si="29"/>
        <v>0</v>
      </c>
      <c r="K936" s="40">
        <f t="shared" si="29"/>
        <v>0</v>
      </c>
      <c r="L936" s="40">
        <f>1000*M936/VLOOKUP(D936,'Normalised Rates'!$A$7:$B$12,2,FALSE)</f>
        <v>4.8453224002981736E-2</v>
      </c>
      <c r="M936" s="34">
        <v>130</v>
      </c>
    </row>
    <row r="937" spans="1:13" ht="15" customHeight="1" x14ac:dyDescent="0.25">
      <c r="A937" s="30" t="s">
        <v>150</v>
      </c>
      <c r="B937" s="30" t="s">
        <v>63</v>
      </c>
      <c r="C937" s="9" t="s">
        <v>64</v>
      </c>
      <c r="D937" s="32">
        <v>2025</v>
      </c>
      <c r="E937" s="33" t="s">
        <v>34</v>
      </c>
      <c r="F937" s="33">
        <f t="shared" si="30"/>
        <v>0</v>
      </c>
      <c r="G937" s="33">
        <f t="shared" si="30"/>
        <v>0</v>
      </c>
      <c r="H937" s="33">
        <f t="shared" si="30"/>
        <v>11</v>
      </c>
      <c r="I937" s="40">
        <f t="shared" si="29"/>
        <v>0</v>
      </c>
      <c r="J937" s="40">
        <f t="shared" si="29"/>
        <v>0</v>
      </c>
      <c r="K937" s="40">
        <f t="shared" si="29"/>
        <v>3.4887408816999684E-3</v>
      </c>
      <c r="L937" s="40">
        <f>1000*M937/VLOOKUP(D937,'Normalised Rates'!$A$7:$B$12,2,FALSE)</f>
        <v>3.4887408816999684E-3</v>
      </c>
      <c r="M937" s="34">
        <v>11</v>
      </c>
    </row>
    <row r="938" spans="1:13" ht="15" customHeight="1" x14ac:dyDescent="0.25">
      <c r="A938" s="30" t="s">
        <v>150</v>
      </c>
      <c r="B938" s="30" t="s">
        <v>63</v>
      </c>
      <c r="C938" s="9" t="s">
        <v>64</v>
      </c>
      <c r="D938" s="32">
        <v>2025</v>
      </c>
      <c r="E938" s="35" t="s">
        <v>163</v>
      </c>
      <c r="F938" s="33">
        <f t="shared" si="30"/>
        <v>179</v>
      </c>
      <c r="G938" s="33">
        <f t="shared" si="30"/>
        <v>0</v>
      </c>
      <c r="H938" s="33">
        <f t="shared" si="30"/>
        <v>0</v>
      </c>
      <c r="I938" s="40">
        <f t="shared" si="29"/>
        <v>5.6771328893117666E-2</v>
      </c>
      <c r="J938" s="40">
        <f t="shared" si="29"/>
        <v>0</v>
      </c>
      <c r="K938" s="40">
        <f t="shared" si="29"/>
        <v>0</v>
      </c>
      <c r="L938" s="40">
        <f>1000*M938/VLOOKUP(D938,'Normalised Rates'!$A$7:$B$12,2,FALSE)</f>
        <v>5.6771328893117666E-2</v>
      </c>
      <c r="M938" s="34">
        <v>179</v>
      </c>
    </row>
    <row r="939" spans="1:13" ht="15" customHeight="1" x14ac:dyDescent="0.25">
      <c r="A939" s="30" t="s">
        <v>150</v>
      </c>
      <c r="B939" s="30" t="s">
        <v>63</v>
      </c>
      <c r="C939" s="9" t="s">
        <v>64</v>
      </c>
      <c r="D939" s="32">
        <v>2026</v>
      </c>
      <c r="E939" s="33" t="s">
        <v>34</v>
      </c>
      <c r="F939" s="33">
        <f t="shared" si="30"/>
        <v>0</v>
      </c>
      <c r="G939" s="33">
        <f t="shared" si="30"/>
        <v>0</v>
      </c>
      <c r="H939" s="33">
        <f t="shared" si="30"/>
        <v>5</v>
      </c>
      <c r="I939" s="40">
        <f t="shared" si="29"/>
        <v>0</v>
      </c>
      <c r="J939" s="40">
        <f t="shared" si="29"/>
        <v>0</v>
      </c>
      <c r="K939" s="40">
        <f t="shared" si="29"/>
        <v>3.8058991436726928E-3</v>
      </c>
      <c r="L939" s="40">
        <f>1000*M939/VLOOKUP(D939,'Normalised Rates'!$A$7:$B$12,2,FALSE)</f>
        <v>3.8058991436726928E-3</v>
      </c>
      <c r="M939" s="34">
        <v>5</v>
      </c>
    </row>
    <row r="940" spans="1:13" ht="15" customHeight="1" x14ac:dyDescent="0.25">
      <c r="A940" s="30" t="s">
        <v>150</v>
      </c>
      <c r="B940" s="30" t="s">
        <v>63</v>
      </c>
      <c r="C940" s="9" t="s">
        <v>64</v>
      </c>
      <c r="D940" s="32">
        <v>2026</v>
      </c>
      <c r="E940" s="35" t="s">
        <v>163</v>
      </c>
      <c r="F940" s="33">
        <f t="shared" si="30"/>
        <v>124</v>
      </c>
      <c r="G940" s="33">
        <f t="shared" si="30"/>
        <v>0</v>
      </c>
      <c r="H940" s="33">
        <f t="shared" si="30"/>
        <v>0</v>
      </c>
      <c r="I940" s="40">
        <f t="shared" si="29"/>
        <v>9.4386298763082785E-2</v>
      </c>
      <c r="J940" s="40">
        <f t="shared" si="29"/>
        <v>0</v>
      </c>
      <c r="K940" s="40">
        <f t="shared" si="29"/>
        <v>0</v>
      </c>
      <c r="L940" s="40">
        <f>1000*M940/VLOOKUP(D940,'Normalised Rates'!$A$7:$B$12,2,FALSE)</f>
        <v>9.4386298763082785E-2</v>
      </c>
      <c r="M940" s="34">
        <v>124</v>
      </c>
    </row>
    <row r="941" spans="1:13" ht="15" customHeight="1" x14ac:dyDescent="0.25">
      <c r="A941" s="30" t="s">
        <v>150</v>
      </c>
      <c r="B941" s="30" t="s">
        <v>94</v>
      </c>
      <c r="C941" s="9" t="s">
        <v>64</v>
      </c>
      <c r="D941" s="32">
        <v>2022</v>
      </c>
      <c r="E941" s="33" t="s">
        <v>34</v>
      </c>
      <c r="F941" s="33">
        <f t="shared" si="30"/>
        <v>0</v>
      </c>
      <c r="G941" s="33">
        <f t="shared" si="30"/>
        <v>0</v>
      </c>
      <c r="H941" s="33">
        <f t="shared" si="30"/>
        <v>1</v>
      </c>
      <c r="I941" s="40">
        <f t="shared" si="29"/>
        <v>0</v>
      </c>
      <c r="J941" s="40">
        <f t="shared" si="29"/>
        <v>0</v>
      </c>
      <c r="K941" s="40">
        <f t="shared" si="29"/>
        <v>5.3333333333333336E-4</v>
      </c>
      <c r="L941" s="40">
        <f>1000*M941/VLOOKUP(D941,'Normalised Rates'!$A$7:$B$12,2,FALSE)</f>
        <v>5.3333333333333336E-4</v>
      </c>
      <c r="M941" s="34">
        <v>1</v>
      </c>
    </row>
    <row r="942" spans="1:13" ht="15" customHeight="1" x14ac:dyDescent="0.25">
      <c r="A942" s="30" t="s">
        <v>150</v>
      </c>
      <c r="B942" s="30" t="s">
        <v>94</v>
      </c>
      <c r="C942" s="9" t="s">
        <v>64</v>
      </c>
      <c r="D942" s="32">
        <v>2022</v>
      </c>
      <c r="E942" s="35" t="s">
        <v>163</v>
      </c>
      <c r="F942" s="33">
        <f t="shared" si="30"/>
        <v>19</v>
      </c>
      <c r="G942" s="33">
        <f t="shared" si="30"/>
        <v>0</v>
      </c>
      <c r="H942" s="33">
        <f t="shared" si="30"/>
        <v>0</v>
      </c>
      <c r="I942" s="40">
        <f t="shared" si="29"/>
        <v>1.0133333333333333E-2</v>
      </c>
      <c r="J942" s="40">
        <f t="shared" si="29"/>
        <v>0</v>
      </c>
      <c r="K942" s="40">
        <f t="shared" si="29"/>
        <v>0</v>
      </c>
      <c r="L942" s="40">
        <f>1000*M942/VLOOKUP(D942,'Normalised Rates'!$A$7:$B$12,2,FALSE)</f>
        <v>1.0133333333333333E-2</v>
      </c>
      <c r="M942" s="34">
        <v>19</v>
      </c>
    </row>
    <row r="943" spans="1:13" ht="15" customHeight="1" x14ac:dyDescent="0.25">
      <c r="A943" s="30" t="s">
        <v>150</v>
      </c>
      <c r="B943" s="30" t="s">
        <v>94</v>
      </c>
      <c r="C943" s="9" t="s">
        <v>64</v>
      </c>
      <c r="D943" s="32">
        <v>2023</v>
      </c>
      <c r="E943" s="33" t="s">
        <v>34</v>
      </c>
      <c r="F943" s="33">
        <f t="shared" si="30"/>
        <v>0</v>
      </c>
      <c r="G943" s="33">
        <f t="shared" si="30"/>
        <v>0</v>
      </c>
      <c r="H943" s="33">
        <f t="shared" si="30"/>
        <v>2</v>
      </c>
      <c r="I943" s="40">
        <f t="shared" si="29"/>
        <v>0</v>
      </c>
      <c r="J943" s="40">
        <f t="shared" si="29"/>
        <v>0</v>
      </c>
      <c r="K943" s="40">
        <f t="shared" si="29"/>
        <v>8.7489063867016625E-4</v>
      </c>
      <c r="L943" s="40">
        <f>1000*M943/VLOOKUP(D943,'Normalised Rates'!$A$7:$B$12,2,FALSE)</f>
        <v>8.7489063867016625E-4</v>
      </c>
      <c r="M943" s="34">
        <v>2</v>
      </c>
    </row>
    <row r="944" spans="1:13" ht="15" customHeight="1" x14ac:dyDescent="0.25">
      <c r="A944" s="30" t="s">
        <v>150</v>
      </c>
      <c r="B944" s="30" t="s">
        <v>94</v>
      </c>
      <c r="C944" s="9" t="s">
        <v>64</v>
      </c>
      <c r="D944" s="32">
        <v>2023</v>
      </c>
      <c r="E944" s="35" t="s">
        <v>163</v>
      </c>
      <c r="F944" s="33">
        <f t="shared" si="30"/>
        <v>42</v>
      </c>
      <c r="G944" s="33">
        <f t="shared" si="30"/>
        <v>0</v>
      </c>
      <c r="H944" s="33">
        <f t="shared" si="30"/>
        <v>0</v>
      </c>
      <c r="I944" s="40">
        <f t="shared" si="29"/>
        <v>1.8372703412073491E-2</v>
      </c>
      <c r="J944" s="40">
        <f t="shared" si="29"/>
        <v>0</v>
      </c>
      <c r="K944" s="40">
        <f t="shared" si="29"/>
        <v>0</v>
      </c>
      <c r="L944" s="40">
        <f>1000*M944/VLOOKUP(D944,'Normalised Rates'!$A$7:$B$12,2,FALSE)</f>
        <v>1.8372703412073491E-2</v>
      </c>
      <c r="M944" s="34">
        <v>42</v>
      </c>
    </row>
    <row r="945" spans="1:13" ht="15" customHeight="1" x14ac:dyDescent="0.25">
      <c r="A945" s="30" t="s">
        <v>150</v>
      </c>
      <c r="B945" s="30" t="s">
        <v>94</v>
      </c>
      <c r="C945" s="9" t="s">
        <v>64</v>
      </c>
      <c r="D945" s="32">
        <v>2024</v>
      </c>
      <c r="E945" s="33" t="s">
        <v>34</v>
      </c>
      <c r="F945" s="33">
        <f t="shared" si="30"/>
        <v>0</v>
      </c>
      <c r="G945" s="33">
        <f t="shared" si="30"/>
        <v>0</v>
      </c>
      <c r="H945" s="33">
        <f t="shared" si="30"/>
        <v>3</v>
      </c>
      <c r="I945" s="40">
        <f t="shared" si="29"/>
        <v>0</v>
      </c>
      <c r="J945" s="40">
        <f t="shared" si="29"/>
        <v>0</v>
      </c>
      <c r="K945" s="40">
        <f t="shared" si="29"/>
        <v>1.1181513231457323E-3</v>
      </c>
      <c r="L945" s="40">
        <f>1000*M945/VLOOKUP(D945,'Normalised Rates'!$A$7:$B$12,2,FALSE)</f>
        <v>1.1181513231457323E-3</v>
      </c>
      <c r="M945" s="34">
        <v>3</v>
      </c>
    </row>
    <row r="946" spans="1:13" ht="15" customHeight="1" x14ac:dyDescent="0.25">
      <c r="A946" s="30" t="s">
        <v>150</v>
      </c>
      <c r="B946" s="30" t="s">
        <v>94</v>
      </c>
      <c r="C946" s="9" t="s">
        <v>64</v>
      </c>
      <c r="D946" s="32">
        <v>2024</v>
      </c>
      <c r="E946" s="35" t="s">
        <v>163</v>
      </c>
      <c r="F946" s="33">
        <f t="shared" si="30"/>
        <v>39</v>
      </c>
      <c r="G946" s="33">
        <f t="shared" si="30"/>
        <v>0</v>
      </c>
      <c r="H946" s="33">
        <f t="shared" si="30"/>
        <v>0</v>
      </c>
      <c r="I946" s="40">
        <f t="shared" si="29"/>
        <v>1.4535967200894522E-2</v>
      </c>
      <c r="J946" s="40">
        <f t="shared" si="29"/>
        <v>0</v>
      </c>
      <c r="K946" s="40">
        <f t="shared" si="29"/>
        <v>0</v>
      </c>
      <c r="L946" s="40">
        <f>1000*M946/VLOOKUP(D946,'Normalised Rates'!$A$7:$B$12,2,FALSE)</f>
        <v>1.4535967200894522E-2</v>
      </c>
      <c r="M946" s="34">
        <v>39</v>
      </c>
    </row>
    <row r="947" spans="1:13" ht="15" customHeight="1" x14ac:dyDescent="0.25">
      <c r="A947" s="30" t="s">
        <v>150</v>
      </c>
      <c r="B947" s="30" t="s">
        <v>94</v>
      </c>
      <c r="C947" s="9" t="s">
        <v>64</v>
      </c>
      <c r="D947" s="32">
        <v>2025</v>
      </c>
      <c r="E947" s="33" t="s">
        <v>34</v>
      </c>
      <c r="F947" s="33">
        <f t="shared" si="30"/>
        <v>0</v>
      </c>
      <c r="G947" s="33">
        <f t="shared" si="30"/>
        <v>0</v>
      </c>
      <c r="H947" s="33">
        <f t="shared" si="30"/>
        <v>1</v>
      </c>
      <c r="I947" s="40">
        <f t="shared" si="29"/>
        <v>0</v>
      </c>
      <c r="J947" s="40">
        <f t="shared" si="29"/>
        <v>0</v>
      </c>
      <c r="K947" s="40">
        <f t="shared" si="29"/>
        <v>3.1715826197272439E-4</v>
      </c>
      <c r="L947" s="40">
        <f>1000*M947/VLOOKUP(D947,'Normalised Rates'!$A$7:$B$12,2,FALSE)</f>
        <v>3.1715826197272439E-4</v>
      </c>
      <c r="M947" s="34">
        <v>1</v>
      </c>
    </row>
    <row r="948" spans="1:13" ht="15" customHeight="1" x14ac:dyDescent="0.25">
      <c r="A948" s="30" t="s">
        <v>150</v>
      </c>
      <c r="B948" s="30" t="s">
        <v>94</v>
      </c>
      <c r="C948" s="9" t="s">
        <v>64</v>
      </c>
      <c r="D948" s="32">
        <v>2025</v>
      </c>
      <c r="E948" s="35" t="s">
        <v>163</v>
      </c>
      <c r="F948" s="33">
        <f t="shared" si="30"/>
        <v>53</v>
      </c>
      <c r="G948" s="33">
        <f t="shared" si="30"/>
        <v>0</v>
      </c>
      <c r="H948" s="33">
        <f t="shared" si="30"/>
        <v>0</v>
      </c>
      <c r="I948" s="40">
        <f t="shared" si="29"/>
        <v>1.6809387884554394E-2</v>
      </c>
      <c r="J948" s="40">
        <f t="shared" si="29"/>
        <v>0</v>
      </c>
      <c r="K948" s="40">
        <f t="shared" si="29"/>
        <v>0</v>
      </c>
      <c r="L948" s="40">
        <f>1000*M948/VLOOKUP(D948,'Normalised Rates'!$A$7:$B$12,2,FALSE)</f>
        <v>1.6809387884554394E-2</v>
      </c>
      <c r="M948" s="34">
        <v>53</v>
      </c>
    </row>
    <row r="949" spans="1:13" ht="15" customHeight="1" x14ac:dyDescent="0.25">
      <c r="A949" s="30" t="s">
        <v>150</v>
      </c>
      <c r="B949" s="30" t="s">
        <v>94</v>
      </c>
      <c r="C949" s="9" t="s">
        <v>64</v>
      </c>
      <c r="D949" s="32">
        <v>2026</v>
      </c>
      <c r="E949" s="33" t="s">
        <v>34</v>
      </c>
      <c r="F949" s="33">
        <f t="shared" si="30"/>
        <v>0</v>
      </c>
      <c r="G949" s="33">
        <f t="shared" si="30"/>
        <v>0</v>
      </c>
      <c r="H949" s="33">
        <f t="shared" si="30"/>
        <v>1</v>
      </c>
      <c r="I949" s="40">
        <f t="shared" si="29"/>
        <v>0</v>
      </c>
      <c r="J949" s="40">
        <f t="shared" si="29"/>
        <v>0</v>
      </c>
      <c r="K949" s="40">
        <f t="shared" si="29"/>
        <v>7.6117982873453852E-4</v>
      </c>
      <c r="L949" s="40">
        <f>1000*M949/VLOOKUP(D949,'Normalised Rates'!$A$7:$B$12,2,FALSE)</f>
        <v>7.6117982873453852E-4</v>
      </c>
      <c r="M949" s="34">
        <v>1</v>
      </c>
    </row>
    <row r="950" spans="1:13" ht="15" customHeight="1" x14ac:dyDescent="0.25">
      <c r="A950" s="30" t="s">
        <v>150</v>
      </c>
      <c r="B950" s="30" t="s">
        <v>94</v>
      </c>
      <c r="C950" s="9" t="s">
        <v>64</v>
      </c>
      <c r="D950" s="32">
        <v>2026</v>
      </c>
      <c r="E950" s="35" t="s">
        <v>163</v>
      </c>
      <c r="F950" s="33">
        <f t="shared" si="30"/>
        <v>48</v>
      </c>
      <c r="G950" s="33">
        <f t="shared" si="30"/>
        <v>0</v>
      </c>
      <c r="H950" s="33">
        <f t="shared" si="30"/>
        <v>0</v>
      </c>
      <c r="I950" s="40">
        <f t="shared" si="29"/>
        <v>3.6536631779257853E-2</v>
      </c>
      <c r="J950" s="40">
        <f t="shared" si="29"/>
        <v>0</v>
      </c>
      <c r="K950" s="40">
        <f t="shared" si="29"/>
        <v>0</v>
      </c>
      <c r="L950" s="40">
        <f>1000*M950/VLOOKUP(D950,'Normalised Rates'!$A$7:$B$12,2,FALSE)</f>
        <v>3.6536631779257853E-2</v>
      </c>
      <c r="M950" s="34">
        <v>48</v>
      </c>
    </row>
    <row r="951" spans="1:13" ht="15" customHeight="1" x14ac:dyDescent="0.25">
      <c r="A951" s="30" t="s">
        <v>150</v>
      </c>
      <c r="B951" s="30" t="s">
        <v>73</v>
      </c>
      <c r="C951" s="9" t="s">
        <v>67</v>
      </c>
      <c r="D951" s="32">
        <v>2022</v>
      </c>
      <c r="E951" s="33" t="s">
        <v>34</v>
      </c>
      <c r="F951" s="33">
        <f t="shared" si="30"/>
        <v>0</v>
      </c>
      <c r="G951" s="33">
        <f t="shared" si="30"/>
        <v>0</v>
      </c>
      <c r="H951" s="33">
        <f t="shared" si="30"/>
        <v>1</v>
      </c>
      <c r="I951" s="40">
        <f t="shared" si="29"/>
        <v>0</v>
      </c>
      <c r="J951" s="40">
        <f t="shared" si="29"/>
        <v>0</v>
      </c>
      <c r="K951" s="40">
        <f t="shared" si="29"/>
        <v>5.3333333333333336E-4</v>
      </c>
      <c r="L951" s="40">
        <f>1000*M951/VLOOKUP(D951,'Normalised Rates'!$A$7:$B$12,2,FALSE)</f>
        <v>5.3333333333333336E-4</v>
      </c>
      <c r="M951" s="34">
        <v>1</v>
      </c>
    </row>
    <row r="952" spans="1:13" ht="15" customHeight="1" x14ac:dyDescent="0.25">
      <c r="A952" s="30" t="s">
        <v>150</v>
      </c>
      <c r="B952" s="30" t="s">
        <v>73</v>
      </c>
      <c r="C952" s="9" t="s">
        <v>67</v>
      </c>
      <c r="D952" s="32">
        <v>2022</v>
      </c>
      <c r="E952" s="35" t="s">
        <v>163</v>
      </c>
      <c r="F952" s="33">
        <f t="shared" si="30"/>
        <v>13</v>
      </c>
      <c r="G952" s="33">
        <f t="shared" si="30"/>
        <v>0</v>
      </c>
      <c r="H952" s="33">
        <f t="shared" si="30"/>
        <v>0</v>
      </c>
      <c r="I952" s="40">
        <f t="shared" si="29"/>
        <v>6.933333333333333E-3</v>
      </c>
      <c r="J952" s="40">
        <f t="shared" si="29"/>
        <v>0</v>
      </c>
      <c r="K952" s="40">
        <f t="shared" si="29"/>
        <v>0</v>
      </c>
      <c r="L952" s="40">
        <f>1000*M952/VLOOKUP(D952,'Normalised Rates'!$A$7:$B$12,2,FALSE)</f>
        <v>6.933333333333333E-3</v>
      </c>
      <c r="M952" s="34">
        <v>13</v>
      </c>
    </row>
    <row r="953" spans="1:13" ht="15" customHeight="1" x14ac:dyDescent="0.25">
      <c r="A953" s="30" t="s">
        <v>150</v>
      </c>
      <c r="B953" s="30" t="s">
        <v>73</v>
      </c>
      <c r="C953" s="9" t="s">
        <v>67</v>
      </c>
      <c r="D953" s="32">
        <v>2023</v>
      </c>
      <c r="E953" s="35" t="s">
        <v>163</v>
      </c>
      <c r="F953" s="33">
        <f t="shared" si="30"/>
        <v>39</v>
      </c>
      <c r="G953" s="33">
        <f t="shared" si="30"/>
        <v>0</v>
      </c>
      <c r="H953" s="33">
        <f t="shared" si="30"/>
        <v>0</v>
      </c>
      <c r="I953" s="40">
        <f t="shared" si="29"/>
        <v>1.7060367454068241E-2</v>
      </c>
      <c r="J953" s="40">
        <f t="shared" si="29"/>
        <v>0</v>
      </c>
      <c r="K953" s="40">
        <f t="shared" si="29"/>
        <v>0</v>
      </c>
      <c r="L953" s="40">
        <f>1000*M953/VLOOKUP(D953,'Normalised Rates'!$A$7:$B$12,2,FALSE)</f>
        <v>1.7060367454068241E-2</v>
      </c>
      <c r="M953" s="34">
        <v>39</v>
      </c>
    </row>
    <row r="954" spans="1:13" ht="15" customHeight="1" x14ac:dyDescent="0.25">
      <c r="A954" s="30" t="s">
        <v>150</v>
      </c>
      <c r="B954" s="30" t="s">
        <v>73</v>
      </c>
      <c r="C954" s="9" t="s">
        <v>67</v>
      </c>
      <c r="D954" s="32">
        <v>2024</v>
      </c>
      <c r="E954" s="35" t="s">
        <v>163</v>
      </c>
      <c r="F954" s="33">
        <f t="shared" si="30"/>
        <v>36</v>
      </c>
      <c r="G954" s="33">
        <f t="shared" si="30"/>
        <v>0</v>
      </c>
      <c r="H954" s="33">
        <f t="shared" si="30"/>
        <v>0</v>
      </c>
      <c r="I954" s="40">
        <f t="shared" si="29"/>
        <v>1.3417815877748788E-2</v>
      </c>
      <c r="J954" s="40">
        <f t="shared" si="29"/>
        <v>0</v>
      </c>
      <c r="K954" s="40">
        <f t="shared" si="29"/>
        <v>0</v>
      </c>
      <c r="L954" s="40">
        <f>1000*M954/VLOOKUP(D954,'Normalised Rates'!$A$7:$B$12,2,FALSE)</f>
        <v>1.3417815877748788E-2</v>
      </c>
      <c r="M954" s="34">
        <v>36</v>
      </c>
    </row>
    <row r="955" spans="1:13" ht="15" customHeight="1" x14ac:dyDescent="0.25">
      <c r="A955" s="30" t="s">
        <v>150</v>
      </c>
      <c r="B955" s="30" t="s">
        <v>73</v>
      </c>
      <c r="C955" s="9" t="s">
        <v>67</v>
      </c>
      <c r="D955" s="32">
        <v>2025</v>
      </c>
      <c r="E955" s="33" t="s">
        <v>34</v>
      </c>
      <c r="F955" s="33">
        <f t="shared" si="30"/>
        <v>0</v>
      </c>
      <c r="G955" s="33">
        <f t="shared" si="30"/>
        <v>0</v>
      </c>
      <c r="H955" s="33">
        <f t="shared" si="30"/>
        <v>1</v>
      </c>
      <c r="I955" s="40">
        <f t="shared" si="29"/>
        <v>0</v>
      </c>
      <c r="J955" s="40">
        <f t="shared" si="29"/>
        <v>0</v>
      </c>
      <c r="K955" s="40">
        <f t="shared" si="29"/>
        <v>3.1715826197272439E-4</v>
      </c>
      <c r="L955" s="40">
        <f>1000*M955/VLOOKUP(D955,'Normalised Rates'!$A$7:$B$12,2,FALSE)</f>
        <v>3.1715826197272439E-4</v>
      </c>
      <c r="M955" s="34">
        <v>1</v>
      </c>
    </row>
    <row r="956" spans="1:13" ht="15" customHeight="1" x14ac:dyDescent="0.25">
      <c r="A956" s="30" t="s">
        <v>150</v>
      </c>
      <c r="B956" s="30" t="s">
        <v>73</v>
      </c>
      <c r="C956" s="9" t="s">
        <v>67</v>
      </c>
      <c r="D956" s="32">
        <v>2025</v>
      </c>
      <c r="E956" s="35" t="s">
        <v>163</v>
      </c>
      <c r="F956" s="33">
        <f t="shared" si="30"/>
        <v>70</v>
      </c>
      <c r="G956" s="33">
        <f t="shared" si="30"/>
        <v>0</v>
      </c>
      <c r="H956" s="33">
        <f t="shared" si="30"/>
        <v>0</v>
      </c>
      <c r="I956" s="40">
        <f t="shared" si="29"/>
        <v>2.2201078338090707E-2</v>
      </c>
      <c r="J956" s="40">
        <f t="shared" si="29"/>
        <v>0</v>
      </c>
      <c r="K956" s="40">
        <f t="shared" si="29"/>
        <v>0</v>
      </c>
      <c r="L956" s="40">
        <f>1000*M956/VLOOKUP(D956,'Normalised Rates'!$A$7:$B$12,2,FALSE)</f>
        <v>2.2201078338090707E-2</v>
      </c>
      <c r="M956" s="34">
        <v>70</v>
      </c>
    </row>
    <row r="957" spans="1:13" ht="15" customHeight="1" x14ac:dyDescent="0.25">
      <c r="A957" s="30" t="s">
        <v>150</v>
      </c>
      <c r="B957" s="30" t="s">
        <v>73</v>
      </c>
      <c r="C957" s="9" t="s">
        <v>67</v>
      </c>
      <c r="D957" s="32">
        <v>2026</v>
      </c>
      <c r="E957" s="33" t="s">
        <v>34</v>
      </c>
      <c r="F957" s="33">
        <f t="shared" si="30"/>
        <v>0</v>
      </c>
      <c r="G957" s="33">
        <f t="shared" si="30"/>
        <v>0</v>
      </c>
      <c r="H957" s="33">
        <f t="shared" si="30"/>
        <v>1</v>
      </c>
      <c r="I957" s="40">
        <f t="shared" si="29"/>
        <v>0</v>
      </c>
      <c r="J957" s="40">
        <f t="shared" si="29"/>
        <v>0</v>
      </c>
      <c r="K957" s="40">
        <f t="shared" si="29"/>
        <v>7.6117982873453852E-4</v>
      </c>
      <c r="L957" s="40">
        <f>1000*M957/VLOOKUP(D957,'Normalised Rates'!$A$7:$B$12,2,FALSE)</f>
        <v>7.6117982873453852E-4</v>
      </c>
      <c r="M957" s="34">
        <v>1</v>
      </c>
    </row>
    <row r="958" spans="1:13" ht="15" customHeight="1" x14ac:dyDescent="0.25">
      <c r="A958" s="30" t="s">
        <v>150</v>
      </c>
      <c r="B958" s="30" t="s">
        <v>73</v>
      </c>
      <c r="C958" s="9" t="s">
        <v>67</v>
      </c>
      <c r="D958" s="32">
        <v>2026</v>
      </c>
      <c r="E958" s="35" t="s">
        <v>163</v>
      </c>
      <c r="F958" s="33">
        <f t="shared" si="30"/>
        <v>31</v>
      </c>
      <c r="G958" s="33">
        <f t="shared" si="30"/>
        <v>0</v>
      </c>
      <c r="H958" s="33">
        <f t="shared" si="30"/>
        <v>0</v>
      </c>
      <c r="I958" s="40">
        <f t="shared" si="29"/>
        <v>2.3596574690770696E-2</v>
      </c>
      <c r="J958" s="40">
        <f t="shared" si="29"/>
        <v>0</v>
      </c>
      <c r="K958" s="40">
        <f t="shared" si="29"/>
        <v>0</v>
      </c>
      <c r="L958" s="40">
        <f>1000*M958/VLOOKUP(D958,'Normalised Rates'!$A$7:$B$12,2,FALSE)</f>
        <v>2.3596574690770696E-2</v>
      </c>
      <c r="M958" s="34">
        <v>31</v>
      </c>
    </row>
    <row r="959" spans="1:13" ht="15" customHeight="1" x14ac:dyDescent="0.25">
      <c r="A959" s="30" t="s">
        <v>150</v>
      </c>
      <c r="B959" s="30" t="s">
        <v>83</v>
      </c>
      <c r="C959" s="9" t="s">
        <v>84</v>
      </c>
      <c r="D959" s="32">
        <v>2021</v>
      </c>
      <c r="E959" s="35" t="s">
        <v>163</v>
      </c>
      <c r="F959" s="33">
        <f t="shared" si="30"/>
        <v>20</v>
      </c>
      <c r="G959" s="33">
        <f t="shared" si="30"/>
        <v>0</v>
      </c>
      <c r="H959" s="33">
        <f t="shared" si="30"/>
        <v>0</v>
      </c>
      <c r="I959" s="40">
        <f t="shared" si="29"/>
        <v>1.2547051442910916E-2</v>
      </c>
      <c r="J959" s="40">
        <f t="shared" si="29"/>
        <v>0</v>
      </c>
      <c r="K959" s="40">
        <f t="shared" si="29"/>
        <v>0</v>
      </c>
      <c r="L959" s="40">
        <f>1000*M959/VLOOKUP(D959,'Normalised Rates'!$A$7:$B$12,2,FALSE)</f>
        <v>1.2547051442910916E-2</v>
      </c>
      <c r="M959" s="34">
        <v>20</v>
      </c>
    </row>
    <row r="960" spans="1:13" ht="15" customHeight="1" x14ac:dyDescent="0.25">
      <c r="A960" s="30" t="s">
        <v>150</v>
      </c>
      <c r="B960" s="30" t="s">
        <v>83</v>
      </c>
      <c r="C960" s="9" t="s">
        <v>84</v>
      </c>
      <c r="D960" s="32">
        <v>2022</v>
      </c>
      <c r="E960" s="33" t="s">
        <v>34</v>
      </c>
      <c r="F960" s="33">
        <f t="shared" si="30"/>
        <v>0</v>
      </c>
      <c r="G960" s="33">
        <f t="shared" si="30"/>
        <v>0</v>
      </c>
      <c r="H960" s="33">
        <f t="shared" si="30"/>
        <v>3</v>
      </c>
      <c r="I960" s="40">
        <f t="shared" si="29"/>
        <v>0</v>
      </c>
      <c r="J960" s="40">
        <f t="shared" si="29"/>
        <v>0</v>
      </c>
      <c r="K960" s="40">
        <f t="shared" si="29"/>
        <v>1.6000000000000001E-3</v>
      </c>
      <c r="L960" s="40">
        <f>1000*M960/VLOOKUP(D960,'Normalised Rates'!$A$7:$B$12,2,FALSE)</f>
        <v>1.6000000000000001E-3</v>
      </c>
      <c r="M960" s="34">
        <v>3</v>
      </c>
    </row>
    <row r="961" spans="1:13" ht="15" customHeight="1" x14ac:dyDescent="0.25">
      <c r="A961" s="30" t="s">
        <v>150</v>
      </c>
      <c r="B961" s="30" t="s">
        <v>83</v>
      </c>
      <c r="C961" s="9" t="s">
        <v>84</v>
      </c>
      <c r="D961" s="32">
        <v>2022</v>
      </c>
      <c r="E961" s="35" t="s">
        <v>163</v>
      </c>
      <c r="F961" s="33">
        <f t="shared" si="30"/>
        <v>45</v>
      </c>
      <c r="G961" s="33">
        <f t="shared" si="30"/>
        <v>0</v>
      </c>
      <c r="H961" s="33">
        <f t="shared" si="30"/>
        <v>0</v>
      </c>
      <c r="I961" s="40">
        <f t="shared" si="29"/>
        <v>2.4E-2</v>
      </c>
      <c r="J961" s="40">
        <f t="shared" si="29"/>
        <v>0</v>
      </c>
      <c r="K961" s="40">
        <f t="shared" si="29"/>
        <v>0</v>
      </c>
      <c r="L961" s="40">
        <f>1000*M961/VLOOKUP(D961,'Normalised Rates'!$A$7:$B$12,2,FALSE)</f>
        <v>2.4E-2</v>
      </c>
      <c r="M961" s="34">
        <v>45</v>
      </c>
    </row>
    <row r="962" spans="1:13" ht="15" customHeight="1" x14ac:dyDescent="0.25">
      <c r="A962" s="30" t="s">
        <v>150</v>
      </c>
      <c r="B962" s="30" t="s">
        <v>83</v>
      </c>
      <c r="C962" s="9" t="s">
        <v>84</v>
      </c>
      <c r="D962" s="32">
        <v>2023</v>
      </c>
      <c r="E962" s="33" t="s">
        <v>34</v>
      </c>
      <c r="F962" s="33">
        <f t="shared" si="30"/>
        <v>0</v>
      </c>
      <c r="G962" s="33">
        <f t="shared" si="30"/>
        <v>0</v>
      </c>
      <c r="H962" s="33">
        <f t="shared" si="30"/>
        <v>3</v>
      </c>
      <c r="I962" s="40">
        <f t="shared" si="29"/>
        <v>0</v>
      </c>
      <c r="J962" s="40">
        <f t="shared" si="29"/>
        <v>0</v>
      </c>
      <c r="K962" s="40">
        <f t="shared" si="29"/>
        <v>1.3123359580052493E-3</v>
      </c>
      <c r="L962" s="40">
        <f>1000*M962/VLOOKUP(D962,'Normalised Rates'!$A$7:$B$12,2,FALSE)</f>
        <v>1.3123359580052493E-3</v>
      </c>
      <c r="M962" s="34">
        <v>3</v>
      </c>
    </row>
    <row r="963" spans="1:13" ht="15" customHeight="1" x14ac:dyDescent="0.25">
      <c r="A963" s="30" t="s">
        <v>150</v>
      </c>
      <c r="B963" s="30" t="s">
        <v>83</v>
      </c>
      <c r="C963" s="9" t="s">
        <v>84</v>
      </c>
      <c r="D963" s="32">
        <v>2023</v>
      </c>
      <c r="E963" s="35" t="s">
        <v>163</v>
      </c>
      <c r="F963" s="33">
        <f t="shared" si="30"/>
        <v>38</v>
      </c>
      <c r="G963" s="33">
        <f t="shared" si="30"/>
        <v>0</v>
      </c>
      <c r="H963" s="33">
        <f t="shared" si="30"/>
        <v>0</v>
      </c>
      <c r="I963" s="40">
        <f t="shared" si="29"/>
        <v>1.6622922134733157E-2</v>
      </c>
      <c r="J963" s="40">
        <f t="shared" si="29"/>
        <v>0</v>
      </c>
      <c r="K963" s="40">
        <f t="shared" si="29"/>
        <v>0</v>
      </c>
      <c r="L963" s="40">
        <f>1000*M963/VLOOKUP(D963,'Normalised Rates'!$A$7:$B$12,2,FALSE)</f>
        <v>1.6622922134733157E-2</v>
      </c>
      <c r="M963" s="34">
        <v>38</v>
      </c>
    </row>
    <row r="964" spans="1:13" ht="15" customHeight="1" x14ac:dyDescent="0.25">
      <c r="A964" s="30" t="s">
        <v>150</v>
      </c>
      <c r="B964" s="30" t="s">
        <v>83</v>
      </c>
      <c r="C964" s="9" t="s">
        <v>84</v>
      </c>
      <c r="D964" s="32">
        <v>2024</v>
      </c>
      <c r="E964" s="33" t="s">
        <v>34</v>
      </c>
      <c r="F964" s="33">
        <f t="shared" si="30"/>
        <v>0</v>
      </c>
      <c r="G964" s="33">
        <f t="shared" si="30"/>
        <v>0</v>
      </c>
      <c r="H964" s="33">
        <f t="shared" si="30"/>
        <v>4</v>
      </c>
      <c r="I964" s="40">
        <f t="shared" si="29"/>
        <v>0</v>
      </c>
      <c r="J964" s="40">
        <f t="shared" si="29"/>
        <v>0</v>
      </c>
      <c r="K964" s="40">
        <f t="shared" si="29"/>
        <v>1.4908684308609765E-3</v>
      </c>
      <c r="L964" s="40">
        <f>1000*M964/VLOOKUP(D964,'Normalised Rates'!$A$7:$B$12,2,FALSE)</f>
        <v>1.4908684308609765E-3</v>
      </c>
      <c r="M964" s="34">
        <v>4</v>
      </c>
    </row>
    <row r="965" spans="1:13" ht="15" customHeight="1" x14ac:dyDescent="0.25">
      <c r="A965" s="30" t="s">
        <v>150</v>
      </c>
      <c r="B965" s="30" t="s">
        <v>83</v>
      </c>
      <c r="C965" s="9" t="s">
        <v>84</v>
      </c>
      <c r="D965" s="32">
        <v>2024</v>
      </c>
      <c r="E965" s="35" t="s">
        <v>163</v>
      </c>
      <c r="F965" s="33">
        <f t="shared" si="30"/>
        <v>40</v>
      </c>
      <c r="G965" s="33">
        <f t="shared" si="30"/>
        <v>0</v>
      </c>
      <c r="H965" s="33">
        <f t="shared" si="30"/>
        <v>0</v>
      </c>
      <c r="I965" s="40">
        <f t="shared" si="29"/>
        <v>1.4908684308609765E-2</v>
      </c>
      <c r="J965" s="40">
        <f t="shared" si="29"/>
        <v>0</v>
      </c>
      <c r="K965" s="40">
        <f t="shared" si="29"/>
        <v>0</v>
      </c>
      <c r="L965" s="40">
        <f>1000*M965/VLOOKUP(D965,'Normalised Rates'!$A$7:$B$12,2,FALSE)</f>
        <v>1.4908684308609765E-2</v>
      </c>
      <c r="M965" s="34">
        <v>40</v>
      </c>
    </row>
    <row r="966" spans="1:13" ht="15" customHeight="1" x14ac:dyDescent="0.25">
      <c r="A966" s="30" t="s">
        <v>150</v>
      </c>
      <c r="B966" s="30" t="s">
        <v>83</v>
      </c>
      <c r="C966" s="9" t="s">
        <v>84</v>
      </c>
      <c r="D966" s="32">
        <v>2025</v>
      </c>
      <c r="E966" s="35" t="s">
        <v>163</v>
      </c>
      <c r="F966" s="33">
        <f t="shared" si="30"/>
        <v>25</v>
      </c>
      <c r="G966" s="33">
        <f t="shared" si="30"/>
        <v>0</v>
      </c>
      <c r="H966" s="33">
        <f t="shared" si="30"/>
        <v>0</v>
      </c>
      <c r="I966" s="40">
        <f t="shared" si="29"/>
        <v>7.9289565493181093E-3</v>
      </c>
      <c r="J966" s="40">
        <f t="shared" si="29"/>
        <v>0</v>
      </c>
      <c r="K966" s="40">
        <f t="shared" si="29"/>
        <v>0</v>
      </c>
      <c r="L966" s="40">
        <f>1000*M966/VLOOKUP(D966,'Normalised Rates'!$A$7:$B$12,2,FALSE)</f>
        <v>7.9289565493181093E-3</v>
      </c>
      <c r="M966" s="34">
        <v>25</v>
      </c>
    </row>
    <row r="967" spans="1:13" ht="15" customHeight="1" x14ac:dyDescent="0.25">
      <c r="A967" s="30" t="s">
        <v>150</v>
      </c>
      <c r="B967" s="30" t="s">
        <v>83</v>
      </c>
      <c r="C967" s="9" t="s">
        <v>84</v>
      </c>
      <c r="D967" s="32">
        <v>2026</v>
      </c>
      <c r="E967" s="35" t="s">
        <v>163</v>
      </c>
      <c r="F967" s="33">
        <f t="shared" si="30"/>
        <v>13</v>
      </c>
      <c r="G967" s="33">
        <f t="shared" si="30"/>
        <v>0</v>
      </c>
      <c r="H967" s="33">
        <f t="shared" si="30"/>
        <v>0</v>
      </c>
      <c r="I967" s="40">
        <f t="shared" ref="I967:K1030" si="31">IF(_xlfn.CONCAT($E967,"%")=I$5,$L967,0)</f>
        <v>9.8953377735490015E-3</v>
      </c>
      <c r="J967" s="40">
        <f t="shared" si="31"/>
        <v>0</v>
      </c>
      <c r="K967" s="40">
        <f t="shared" si="31"/>
        <v>0</v>
      </c>
      <c r="L967" s="40">
        <f>1000*M967/VLOOKUP(D967,'Normalised Rates'!$A$7:$B$12,2,FALSE)</f>
        <v>9.8953377735490015E-3</v>
      </c>
      <c r="M967" s="34">
        <v>13</v>
      </c>
    </row>
    <row r="968" spans="1:13" ht="15" customHeight="1" x14ac:dyDescent="0.25">
      <c r="A968" s="30" t="s">
        <v>150</v>
      </c>
      <c r="B968" s="30" t="s">
        <v>86</v>
      </c>
      <c r="C968" s="9" t="s">
        <v>84</v>
      </c>
      <c r="D968" s="32">
        <v>2022</v>
      </c>
      <c r="E968" s="35" t="s">
        <v>163</v>
      </c>
      <c r="F968" s="33">
        <f t="shared" si="30"/>
        <v>12</v>
      </c>
      <c r="G968" s="33">
        <f t="shared" si="30"/>
        <v>0</v>
      </c>
      <c r="H968" s="33">
        <f t="shared" si="30"/>
        <v>0</v>
      </c>
      <c r="I968" s="40">
        <f t="shared" si="31"/>
        <v>6.4000000000000003E-3</v>
      </c>
      <c r="J968" s="40">
        <f t="shared" si="31"/>
        <v>0</v>
      </c>
      <c r="K968" s="40">
        <f t="shared" si="31"/>
        <v>0</v>
      </c>
      <c r="L968" s="40">
        <f>1000*M968/VLOOKUP(D968,'Normalised Rates'!$A$7:$B$12,2,FALSE)</f>
        <v>6.4000000000000003E-3</v>
      </c>
      <c r="M968" s="34">
        <v>12</v>
      </c>
    </row>
    <row r="969" spans="1:13" ht="15" customHeight="1" x14ac:dyDescent="0.25">
      <c r="A969" s="30" t="s">
        <v>150</v>
      </c>
      <c r="B969" s="30" t="s">
        <v>86</v>
      </c>
      <c r="C969" s="9" t="s">
        <v>84</v>
      </c>
      <c r="D969" s="32">
        <v>2023</v>
      </c>
      <c r="E969" s="35" t="s">
        <v>163</v>
      </c>
      <c r="F969" s="33">
        <f t="shared" ref="F969:H1032" si="32">IF($E969=F$5,$M969,0)</f>
        <v>83</v>
      </c>
      <c r="G969" s="33">
        <f t="shared" si="32"/>
        <v>0</v>
      </c>
      <c r="H969" s="33">
        <f t="shared" si="32"/>
        <v>0</v>
      </c>
      <c r="I969" s="40">
        <f t="shared" si="31"/>
        <v>3.63079615048119E-2</v>
      </c>
      <c r="J969" s="40">
        <f t="shared" si="31"/>
        <v>0</v>
      </c>
      <c r="K969" s="40">
        <f t="shared" si="31"/>
        <v>0</v>
      </c>
      <c r="L969" s="40">
        <f>1000*M969/VLOOKUP(D969,'Normalised Rates'!$A$7:$B$12,2,FALSE)</f>
        <v>3.63079615048119E-2</v>
      </c>
      <c r="M969" s="34">
        <v>83</v>
      </c>
    </row>
    <row r="970" spans="1:13" ht="15" customHeight="1" x14ac:dyDescent="0.25">
      <c r="A970" s="30" t="s">
        <v>150</v>
      </c>
      <c r="B970" s="30" t="s">
        <v>86</v>
      </c>
      <c r="C970" s="9" t="s">
        <v>84</v>
      </c>
      <c r="D970" s="32">
        <v>2024</v>
      </c>
      <c r="E970" s="35" t="s">
        <v>163</v>
      </c>
      <c r="F970" s="33">
        <f t="shared" si="32"/>
        <v>38</v>
      </c>
      <c r="G970" s="33">
        <f t="shared" si="32"/>
        <v>0</v>
      </c>
      <c r="H970" s="33">
        <f t="shared" si="32"/>
        <v>0</v>
      </c>
      <c r="I970" s="40">
        <f t="shared" si="31"/>
        <v>1.4163250093179277E-2</v>
      </c>
      <c r="J970" s="40">
        <f t="shared" si="31"/>
        <v>0</v>
      </c>
      <c r="K970" s="40">
        <f t="shared" si="31"/>
        <v>0</v>
      </c>
      <c r="L970" s="40">
        <f>1000*M970/VLOOKUP(D970,'Normalised Rates'!$A$7:$B$12,2,FALSE)</f>
        <v>1.4163250093179277E-2</v>
      </c>
      <c r="M970" s="34">
        <v>38</v>
      </c>
    </row>
    <row r="971" spans="1:13" ht="15" customHeight="1" x14ac:dyDescent="0.25">
      <c r="A971" s="30" t="s">
        <v>150</v>
      </c>
      <c r="B971" s="30" t="s">
        <v>86</v>
      </c>
      <c r="C971" s="9" t="s">
        <v>84</v>
      </c>
      <c r="D971" s="32">
        <v>2025</v>
      </c>
      <c r="E971" s="33" t="s">
        <v>34</v>
      </c>
      <c r="F971" s="33">
        <f t="shared" si="32"/>
        <v>0</v>
      </c>
      <c r="G971" s="33">
        <f t="shared" si="32"/>
        <v>0</v>
      </c>
      <c r="H971" s="33">
        <f t="shared" si="32"/>
        <v>1</v>
      </c>
      <c r="I971" s="40">
        <f t="shared" si="31"/>
        <v>0</v>
      </c>
      <c r="J971" s="40">
        <f t="shared" si="31"/>
        <v>0</v>
      </c>
      <c r="K971" s="40">
        <f t="shared" si="31"/>
        <v>3.1715826197272439E-4</v>
      </c>
      <c r="L971" s="40">
        <f>1000*M971/VLOOKUP(D971,'Normalised Rates'!$A$7:$B$12,2,FALSE)</f>
        <v>3.1715826197272439E-4</v>
      </c>
      <c r="M971" s="34">
        <v>1</v>
      </c>
    </row>
    <row r="972" spans="1:13" ht="15" customHeight="1" x14ac:dyDescent="0.25">
      <c r="A972" s="30" t="s">
        <v>150</v>
      </c>
      <c r="B972" s="30" t="s">
        <v>86</v>
      </c>
      <c r="C972" s="9" t="s">
        <v>84</v>
      </c>
      <c r="D972" s="32">
        <v>2025</v>
      </c>
      <c r="E972" s="35" t="s">
        <v>163</v>
      </c>
      <c r="F972" s="33">
        <f t="shared" si="32"/>
        <v>32</v>
      </c>
      <c r="G972" s="33">
        <f t="shared" si="32"/>
        <v>0</v>
      </c>
      <c r="H972" s="33">
        <f t="shared" si="32"/>
        <v>0</v>
      </c>
      <c r="I972" s="40">
        <f t="shared" si="31"/>
        <v>1.014906438312718E-2</v>
      </c>
      <c r="J972" s="40">
        <f t="shared" si="31"/>
        <v>0</v>
      </c>
      <c r="K972" s="40">
        <f t="shared" si="31"/>
        <v>0</v>
      </c>
      <c r="L972" s="40">
        <f>1000*M972/VLOOKUP(D972,'Normalised Rates'!$A$7:$B$12,2,FALSE)</f>
        <v>1.014906438312718E-2</v>
      </c>
      <c r="M972" s="34">
        <v>32</v>
      </c>
    </row>
    <row r="973" spans="1:13" ht="15" customHeight="1" x14ac:dyDescent="0.25">
      <c r="A973" s="30" t="s">
        <v>150</v>
      </c>
      <c r="B973" s="30" t="s">
        <v>86</v>
      </c>
      <c r="C973" s="9" t="s">
        <v>84</v>
      </c>
      <c r="D973" s="32">
        <v>2026</v>
      </c>
      <c r="E973" s="35" t="s">
        <v>163</v>
      </c>
      <c r="F973" s="33">
        <f t="shared" si="32"/>
        <v>22</v>
      </c>
      <c r="G973" s="33">
        <f t="shared" si="32"/>
        <v>0</v>
      </c>
      <c r="H973" s="33">
        <f t="shared" si="32"/>
        <v>0</v>
      </c>
      <c r="I973" s="40">
        <f t="shared" si="31"/>
        <v>1.6745956232159846E-2</v>
      </c>
      <c r="J973" s="40">
        <f t="shared" si="31"/>
        <v>0</v>
      </c>
      <c r="K973" s="40">
        <f t="shared" si="31"/>
        <v>0</v>
      </c>
      <c r="L973" s="40">
        <f>1000*M973/VLOOKUP(D973,'Normalised Rates'!$A$7:$B$12,2,FALSE)</f>
        <v>1.6745956232159846E-2</v>
      </c>
      <c r="M973" s="34">
        <v>22</v>
      </c>
    </row>
    <row r="974" spans="1:13" ht="15" customHeight="1" x14ac:dyDescent="0.25">
      <c r="A974" s="30" t="s">
        <v>150</v>
      </c>
      <c r="B974" s="30" t="s">
        <v>69</v>
      </c>
      <c r="C974" s="9" t="s">
        <v>67</v>
      </c>
      <c r="D974" s="32">
        <v>2022</v>
      </c>
      <c r="E974" s="35" t="s">
        <v>163</v>
      </c>
      <c r="F974" s="33">
        <f t="shared" si="32"/>
        <v>12</v>
      </c>
      <c r="G974" s="33">
        <f t="shared" si="32"/>
        <v>0</v>
      </c>
      <c r="H974" s="33">
        <f t="shared" si="32"/>
        <v>0</v>
      </c>
      <c r="I974" s="40">
        <f t="shared" si="31"/>
        <v>6.4000000000000003E-3</v>
      </c>
      <c r="J974" s="40">
        <f t="shared" si="31"/>
        <v>0</v>
      </c>
      <c r="K974" s="40">
        <f t="shared" si="31"/>
        <v>0</v>
      </c>
      <c r="L974" s="40">
        <f>1000*M974/VLOOKUP(D974,'Normalised Rates'!$A$7:$B$12,2,FALSE)</f>
        <v>6.4000000000000003E-3</v>
      </c>
      <c r="M974" s="34">
        <v>12</v>
      </c>
    </row>
    <row r="975" spans="1:13" ht="15" customHeight="1" x14ac:dyDescent="0.25">
      <c r="A975" s="30" t="s">
        <v>150</v>
      </c>
      <c r="B975" s="30" t="s">
        <v>69</v>
      </c>
      <c r="C975" s="9" t="s">
        <v>67</v>
      </c>
      <c r="D975" s="32">
        <v>2023</v>
      </c>
      <c r="E975" s="33" t="s">
        <v>34</v>
      </c>
      <c r="F975" s="33">
        <f t="shared" si="32"/>
        <v>0</v>
      </c>
      <c r="G975" s="33">
        <f t="shared" si="32"/>
        <v>0</v>
      </c>
      <c r="H975" s="33">
        <f t="shared" si="32"/>
        <v>1</v>
      </c>
      <c r="I975" s="40">
        <f t="shared" si="31"/>
        <v>0</v>
      </c>
      <c r="J975" s="40">
        <f t="shared" si="31"/>
        <v>0</v>
      </c>
      <c r="K975" s="40">
        <f t="shared" si="31"/>
        <v>4.3744531933508313E-4</v>
      </c>
      <c r="L975" s="40">
        <f>1000*M975/VLOOKUP(D975,'Normalised Rates'!$A$7:$B$12,2,FALSE)</f>
        <v>4.3744531933508313E-4</v>
      </c>
      <c r="M975" s="34">
        <v>1</v>
      </c>
    </row>
    <row r="976" spans="1:13" ht="15" customHeight="1" x14ac:dyDescent="0.25">
      <c r="A976" s="30" t="s">
        <v>150</v>
      </c>
      <c r="B976" s="30" t="s">
        <v>69</v>
      </c>
      <c r="C976" s="9" t="s">
        <v>67</v>
      </c>
      <c r="D976" s="32">
        <v>2023</v>
      </c>
      <c r="E976" s="35" t="s">
        <v>163</v>
      </c>
      <c r="F976" s="33">
        <f t="shared" si="32"/>
        <v>30</v>
      </c>
      <c r="G976" s="33">
        <f t="shared" si="32"/>
        <v>0</v>
      </c>
      <c r="H976" s="33">
        <f t="shared" si="32"/>
        <v>0</v>
      </c>
      <c r="I976" s="40">
        <f t="shared" si="31"/>
        <v>1.3123359580052493E-2</v>
      </c>
      <c r="J976" s="40">
        <f t="shared" si="31"/>
        <v>0</v>
      </c>
      <c r="K976" s="40">
        <f t="shared" si="31"/>
        <v>0</v>
      </c>
      <c r="L976" s="40">
        <f>1000*M976/VLOOKUP(D976,'Normalised Rates'!$A$7:$B$12,2,FALSE)</f>
        <v>1.3123359580052493E-2</v>
      </c>
      <c r="M976" s="34">
        <v>30</v>
      </c>
    </row>
    <row r="977" spans="1:13" ht="15" customHeight="1" x14ac:dyDescent="0.25">
      <c r="A977" s="30" t="s">
        <v>150</v>
      </c>
      <c r="B977" s="30" t="s">
        <v>69</v>
      </c>
      <c r="C977" s="9" t="s">
        <v>67</v>
      </c>
      <c r="D977" s="32">
        <v>2024</v>
      </c>
      <c r="E977" s="33" t="s">
        <v>34</v>
      </c>
      <c r="F977" s="33">
        <f t="shared" si="32"/>
        <v>0</v>
      </c>
      <c r="G977" s="33">
        <f t="shared" si="32"/>
        <v>0</v>
      </c>
      <c r="H977" s="33">
        <f t="shared" si="32"/>
        <v>1</v>
      </c>
      <c r="I977" s="40">
        <f t="shared" si="31"/>
        <v>0</v>
      </c>
      <c r="J977" s="40">
        <f t="shared" si="31"/>
        <v>0</v>
      </c>
      <c r="K977" s="40">
        <f t="shared" si="31"/>
        <v>3.7271710771524412E-4</v>
      </c>
      <c r="L977" s="40">
        <f>1000*M977/VLOOKUP(D977,'Normalised Rates'!$A$7:$B$12,2,FALSE)</f>
        <v>3.7271710771524412E-4</v>
      </c>
      <c r="M977" s="34">
        <v>1</v>
      </c>
    </row>
    <row r="978" spans="1:13" ht="15" customHeight="1" x14ac:dyDescent="0.25">
      <c r="A978" s="30" t="s">
        <v>150</v>
      </c>
      <c r="B978" s="30" t="s">
        <v>69</v>
      </c>
      <c r="C978" s="9" t="s">
        <v>67</v>
      </c>
      <c r="D978" s="32">
        <v>2024</v>
      </c>
      <c r="E978" s="35" t="s">
        <v>163</v>
      </c>
      <c r="F978" s="33">
        <f t="shared" si="32"/>
        <v>30</v>
      </c>
      <c r="G978" s="33">
        <f t="shared" si="32"/>
        <v>0</v>
      </c>
      <c r="H978" s="33">
        <f t="shared" si="32"/>
        <v>0</v>
      </c>
      <c r="I978" s="40">
        <f t="shared" si="31"/>
        <v>1.1181513231457324E-2</v>
      </c>
      <c r="J978" s="40">
        <f t="shared" si="31"/>
        <v>0</v>
      </c>
      <c r="K978" s="40">
        <f t="shared" si="31"/>
        <v>0</v>
      </c>
      <c r="L978" s="40">
        <f>1000*M978/VLOOKUP(D978,'Normalised Rates'!$A$7:$B$12,2,FALSE)</f>
        <v>1.1181513231457324E-2</v>
      </c>
      <c r="M978" s="34">
        <v>30</v>
      </c>
    </row>
    <row r="979" spans="1:13" ht="15" customHeight="1" x14ac:dyDescent="0.25">
      <c r="A979" s="30" t="s">
        <v>150</v>
      </c>
      <c r="B979" s="30" t="s">
        <v>69</v>
      </c>
      <c r="C979" s="9" t="s">
        <v>67</v>
      </c>
      <c r="D979" s="32">
        <v>2025</v>
      </c>
      <c r="E979" s="33" t="s">
        <v>34</v>
      </c>
      <c r="F979" s="33">
        <f t="shared" si="32"/>
        <v>0</v>
      </c>
      <c r="G979" s="33">
        <f t="shared" si="32"/>
        <v>0</v>
      </c>
      <c r="H979" s="33">
        <f t="shared" si="32"/>
        <v>2</v>
      </c>
      <c r="I979" s="40">
        <f t="shared" si="31"/>
        <v>0</v>
      </c>
      <c r="J979" s="40">
        <f t="shared" si="31"/>
        <v>0</v>
      </c>
      <c r="K979" s="40">
        <f t="shared" si="31"/>
        <v>6.3431652394544877E-4</v>
      </c>
      <c r="L979" s="40">
        <f>1000*M979/VLOOKUP(D979,'Normalised Rates'!$A$7:$B$12,2,FALSE)</f>
        <v>6.3431652394544877E-4</v>
      </c>
      <c r="M979" s="34">
        <v>2</v>
      </c>
    </row>
    <row r="980" spans="1:13" ht="15" customHeight="1" x14ac:dyDescent="0.25">
      <c r="A980" s="30" t="s">
        <v>150</v>
      </c>
      <c r="B980" s="30" t="s">
        <v>69</v>
      </c>
      <c r="C980" s="9" t="s">
        <v>67</v>
      </c>
      <c r="D980" s="32">
        <v>2025</v>
      </c>
      <c r="E980" s="35" t="s">
        <v>163</v>
      </c>
      <c r="F980" s="33">
        <f t="shared" si="32"/>
        <v>69</v>
      </c>
      <c r="G980" s="33">
        <f t="shared" si="32"/>
        <v>0</v>
      </c>
      <c r="H980" s="33">
        <f t="shared" si="32"/>
        <v>0</v>
      </c>
      <c r="I980" s="40">
        <f t="shared" si="31"/>
        <v>2.1883920076117985E-2</v>
      </c>
      <c r="J980" s="40">
        <f t="shared" si="31"/>
        <v>0</v>
      </c>
      <c r="K980" s="40">
        <f t="shared" si="31"/>
        <v>0</v>
      </c>
      <c r="L980" s="40">
        <f>1000*M980/VLOOKUP(D980,'Normalised Rates'!$A$7:$B$12,2,FALSE)</f>
        <v>2.1883920076117985E-2</v>
      </c>
      <c r="M980" s="34">
        <v>69</v>
      </c>
    </row>
    <row r="981" spans="1:13" ht="15" customHeight="1" x14ac:dyDescent="0.25">
      <c r="A981" s="30" t="s">
        <v>150</v>
      </c>
      <c r="B981" s="30" t="s">
        <v>69</v>
      </c>
      <c r="C981" s="9" t="s">
        <v>67</v>
      </c>
      <c r="D981" s="32">
        <v>2026</v>
      </c>
      <c r="E981" s="35" t="s">
        <v>163</v>
      </c>
      <c r="F981" s="33">
        <f t="shared" si="32"/>
        <v>28</v>
      </c>
      <c r="G981" s="33">
        <f t="shared" si="32"/>
        <v>0</v>
      </c>
      <c r="H981" s="33">
        <f t="shared" si="32"/>
        <v>0</v>
      </c>
      <c r="I981" s="40">
        <f t="shared" si="31"/>
        <v>2.131303520456708E-2</v>
      </c>
      <c r="J981" s="40">
        <f t="shared" si="31"/>
        <v>0</v>
      </c>
      <c r="K981" s="40">
        <f t="shared" si="31"/>
        <v>0</v>
      </c>
      <c r="L981" s="40">
        <f>1000*M981/VLOOKUP(D981,'Normalised Rates'!$A$7:$B$12,2,FALSE)</f>
        <v>2.131303520456708E-2</v>
      </c>
      <c r="M981" s="34">
        <v>28</v>
      </c>
    </row>
    <row r="982" spans="1:13" ht="15" customHeight="1" x14ac:dyDescent="0.25">
      <c r="A982" s="30" t="s">
        <v>150</v>
      </c>
      <c r="B982" s="30" t="s">
        <v>81</v>
      </c>
      <c r="C982" s="9" t="s">
        <v>67</v>
      </c>
      <c r="D982" s="32">
        <v>2022</v>
      </c>
      <c r="E982" s="35" t="s">
        <v>163</v>
      </c>
      <c r="F982" s="33">
        <f t="shared" si="32"/>
        <v>14</v>
      </c>
      <c r="G982" s="33">
        <f t="shared" si="32"/>
        <v>0</v>
      </c>
      <c r="H982" s="33">
        <f t="shared" si="32"/>
        <v>0</v>
      </c>
      <c r="I982" s="40">
        <f t="shared" si="31"/>
        <v>7.4666666666666666E-3</v>
      </c>
      <c r="J982" s="40">
        <f t="shared" si="31"/>
        <v>0</v>
      </c>
      <c r="K982" s="40">
        <f t="shared" si="31"/>
        <v>0</v>
      </c>
      <c r="L982" s="40">
        <f>1000*M982/VLOOKUP(D982,'Normalised Rates'!$A$7:$B$12,2,FALSE)</f>
        <v>7.4666666666666666E-3</v>
      </c>
      <c r="M982" s="34">
        <v>14</v>
      </c>
    </row>
    <row r="983" spans="1:13" ht="15" customHeight="1" x14ac:dyDescent="0.25">
      <c r="A983" s="30" t="s">
        <v>150</v>
      </c>
      <c r="B983" s="30" t="s">
        <v>81</v>
      </c>
      <c r="C983" s="9" t="s">
        <v>67</v>
      </c>
      <c r="D983" s="32">
        <v>2023</v>
      </c>
      <c r="E983" s="33" t="s">
        <v>34</v>
      </c>
      <c r="F983" s="33">
        <f t="shared" si="32"/>
        <v>0</v>
      </c>
      <c r="G983" s="33">
        <f t="shared" si="32"/>
        <v>0</v>
      </c>
      <c r="H983" s="33">
        <f t="shared" si="32"/>
        <v>1</v>
      </c>
      <c r="I983" s="40">
        <f t="shared" si="31"/>
        <v>0</v>
      </c>
      <c r="J983" s="40">
        <f t="shared" si="31"/>
        <v>0</v>
      </c>
      <c r="K983" s="40">
        <f t="shared" si="31"/>
        <v>4.3744531933508313E-4</v>
      </c>
      <c r="L983" s="40">
        <f>1000*M983/VLOOKUP(D983,'Normalised Rates'!$A$7:$B$12,2,FALSE)</f>
        <v>4.3744531933508313E-4</v>
      </c>
      <c r="M983" s="34">
        <v>1</v>
      </c>
    </row>
    <row r="984" spans="1:13" ht="15" customHeight="1" x14ac:dyDescent="0.25">
      <c r="A984" s="30" t="s">
        <v>150</v>
      </c>
      <c r="B984" s="30" t="s">
        <v>81</v>
      </c>
      <c r="C984" s="9" t="s">
        <v>67</v>
      </c>
      <c r="D984" s="32">
        <v>2023</v>
      </c>
      <c r="E984" s="35" t="s">
        <v>163</v>
      </c>
      <c r="F984" s="33">
        <f t="shared" si="32"/>
        <v>38</v>
      </c>
      <c r="G984" s="33">
        <f t="shared" si="32"/>
        <v>0</v>
      </c>
      <c r="H984" s="33">
        <f t="shared" si="32"/>
        <v>0</v>
      </c>
      <c r="I984" s="40">
        <f t="shared" si="31"/>
        <v>1.6622922134733157E-2</v>
      </c>
      <c r="J984" s="40">
        <f t="shared" si="31"/>
        <v>0</v>
      </c>
      <c r="K984" s="40">
        <f t="shared" si="31"/>
        <v>0</v>
      </c>
      <c r="L984" s="40">
        <f>1000*M984/VLOOKUP(D984,'Normalised Rates'!$A$7:$B$12,2,FALSE)</f>
        <v>1.6622922134733157E-2</v>
      </c>
      <c r="M984" s="34">
        <v>38</v>
      </c>
    </row>
    <row r="985" spans="1:13" ht="15" customHeight="1" x14ac:dyDescent="0.25">
      <c r="A985" s="30" t="s">
        <v>150</v>
      </c>
      <c r="B985" s="30" t="s">
        <v>81</v>
      </c>
      <c r="C985" s="9" t="s">
        <v>67</v>
      </c>
      <c r="D985" s="32">
        <v>2024</v>
      </c>
      <c r="E985" s="35" t="s">
        <v>163</v>
      </c>
      <c r="F985" s="33">
        <f t="shared" si="32"/>
        <v>35</v>
      </c>
      <c r="G985" s="33">
        <f t="shared" si="32"/>
        <v>0</v>
      </c>
      <c r="H985" s="33">
        <f t="shared" si="32"/>
        <v>0</v>
      </c>
      <c r="I985" s="40">
        <f t="shared" si="31"/>
        <v>1.3045098770033545E-2</v>
      </c>
      <c r="J985" s="40">
        <f t="shared" si="31"/>
        <v>0</v>
      </c>
      <c r="K985" s="40">
        <f t="shared" si="31"/>
        <v>0</v>
      </c>
      <c r="L985" s="40">
        <f>1000*M985/VLOOKUP(D985,'Normalised Rates'!$A$7:$B$12,2,FALSE)</f>
        <v>1.3045098770033545E-2</v>
      </c>
      <c r="M985" s="34">
        <v>35</v>
      </c>
    </row>
    <row r="986" spans="1:13" ht="15" customHeight="1" x14ac:dyDescent="0.25">
      <c r="A986" s="30" t="s">
        <v>150</v>
      </c>
      <c r="B986" s="30" t="s">
        <v>81</v>
      </c>
      <c r="C986" s="9" t="s">
        <v>67</v>
      </c>
      <c r="D986" s="32">
        <v>2025</v>
      </c>
      <c r="E986" s="33" t="s">
        <v>34</v>
      </c>
      <c r="F986" s="33">
        <f t="shared" si="32"/>
        <v>0</v>
      </c>
      <c r="G986" s="33">
        <f t="shared" si="32"/>
        <v>0</v>
      </c>
      <c r="H986" s="33">
        <f t="shared" si="32"/>
        <v>1</v>
      </c>
      <c r="I986" s="40">
        <f t="shared" si="31"/>
        <v>0</v>
      </c>
      <c r="J986" s="40">
        <f t="shared" si="31"/>
        <v>0</v>
      </c>
      <c r="K986" s="40">
        <f t="shared" si="31"/>
        <v>3.1715826197272439E-4</v>
      </c>
      <c r="L986" s="40">
        <f>1000*M986/VLOOKUP(D986,'Normalised Rates'!$A$7:$B$12,2,FALSE)</f>
        <v>3.1715826197272439E-4</v>
      </c>
      <c r="M986" s="34">
        <v>1</v>
      </c>
    </row>
    <row r="987" spans="1:13" ht="15" customHeight="1" x14ac:dyDescent="0.25">
      <c r="A987" s="30" t="s">
        <v>150</v>
      </c>
      <c r="B987" s="30" t="s">
        <v>81</v>
      </c>
      <c r="C987" s="9" t="s">
        <v>67</v>
      </c>
      <c r="D987" s="32">
        <v>2025</v>
      </c>
      <c r="E987" s="35" t="s">
        <v>163</v>
      </c>
      <c r="F987" s="33">
        <f t="shared" si="32"/>
        <v>36</v>
      </c>
      <c r="G987" s="33">
        <f t="shared" si="32"/>
        <v>0</v>
      </c>
      <c r="H987" s="33">
        <f t="shared" si="32"/>
        <v>0</v>
      </c>
      <c r="I987" s="40">
        <f t="shared" si="31"/>
        <v>1.1417697431018078E-2</v>
      </c>
      <c r="J987" s="40">
        <f t="shared" si="31"/>
        <v>0</v>
      </c>
      <c r="K987" s="40">
        <f t="shared" si="31"/>
        <v>0</v>
      </c>
      <c r="L987" s="40">
        <f>1000*M987/VLOOKUP(D987,'Normalised Rates'!$A$7:$B$12,2,FALSE)</f>
        <v>1.1417697431018078E-2</v>
      </c>
      <c r="M987" s="34">
        <v>36</v>
      </c>
    </row>
    <row r="988" spans="1:13" ht="15" customHeight="1" x14ac:dyDescent="0.25">
      <c r="A988" s="30" t="s">
        <v>150</v>
      </c>
      <c r="B988" s="30" t="s">
        <v>81</v>
      </c>
      <c r="C988" s="9" t="s">
        <v>67</v>
      </c>
      <c r="D988" s="32">
        <v>2026</v>
      </c>
      <c r="E988" s="35" t="s">
        <v>163</v>
      </c>
      <c r="F988" s="33">
        <f t="shared" si="32"/>
        <v>19</v>
      </c>
      <c r="G988" s="33">
        <f t="shared" si="32"/>
        <v>0</v>
      </c>
      <c r="H988" s="33">
        <f t="shared" si="32"/>
        <v>0</v>
      </c>
      <c r="I988" s="40">
        <f t="shared" si="31"/>
        <v>1.4462416745956231E-2</v>
      </c>
      <c r="J988" s="40">
        <f t="shared" si="31"/>
        <v>0</v>
      </c>
      <c r="K988" s="40">
        <f t="shared" si="31"/>
        <v>0</v>
      </c>
      <c r="L988" s="40">
        <f>1000*M988/VLOOKUP(D988,'Normalised Rates'!$A$7:$B$12,2,FALSE)</f>
        <v>1.4462416745956231E-2</v>
      </c>
      <c r="M988" s="34">
        <v>19</v>
      </c>
    </row>
    <row r="989" spans="1:13" ht="15" customHeight="1" x14ac:dyDescent="0.25">
      <c r="A989" s="30" t="s">
        <v>150</v>
      </c>
      <c r="B989" s="30" t="s">
        <v>100</v>
      </c>
      <c r="C989" s="9" t="s">
        <v>67</v>
      </c>
      <c r="D989" s="32">
        <v>2022</v>
      </c>
      <c r="E989" s="35" t="s">
        <v>163</v>
      </c>
      <c r="F989" s="33">
        <f t="shared" si="32"/>
        <v>10</v>
      </c>
      <c r="G989" s="33">
        <f t="shared" si="32"/>
        <v>0</v>
      </c>
      <c r="H989" s="33">
        <f t="shared" si="32"/>
        <v>0</v>
      </c>
      <c r="I989" s="40">
        <f t="shared" si="31"/>
        <v>5.3333333333333332E-3</v>
      </c>
      <c r="J989" s="40">
        <f t="shared" si="31"/>
        <v>0</v>
      </c>
      <c r="K989" s="40">
        <f t="shared" si="31"/>
        <v>0</v>
      </c>
      <c r="L989" s="40">
        <f>1000*M989/VLOOKUP(D989,'Normalised Rates'!$A$7:$B$12,2,FALSE)</f>
        <v>5.3333333333333332E-3</v>
      </c>
      <c r="M989" s="34">
        <v>10</v>
      </c>
    </row>
    <row r="990" spans="1:13" ht="15" customHeight="1" x14ac:dyDescent="0.25">
      <c r="A990" s="30" t="s">
        <v>150</v>
      </c>
      <c r="B990" s="30" t="s">
        <v>100</v>
      </c>
      <c r="C990" s="9" t="s">
        <v>67</v>
      </c>
      <c r="D990" s="32">
        <v>2023</v>
      </c>
      <c r="E990" s="35" t="s">
        <v>163</v>
      </c>
      <c r="F990" s="33">
        <f t="shared" si="32"/>
        <v>36</v>
      </c>
      <c r="G990" s="33">
        <f t="shared" si="32"/>
        <v>0</v>
      </c>
      <c r="H990" s="33">
        <f t="shared" si="32"/>
        <v>0</v>
      </c>
      <c r="I990" s="40">
        <f t="shared" si="31"/>
        <v>1.5748031496062992E-2</v>
      </c>
      <c r="J990" s="40">
        <f t="shared" si="31"/>
        <v>0</v>
      </c>
      <c r="K990" s="40">
        <f t="shared" si="31"/>
        <v>0</v>
      </c>
      <c r="L990" s="40">
        <f>1000*M990/VLOOKUP(D990,'Normalised Rates'!$A$7:$B$12,2,FALSE)</f>
        <v>1.5748031496062992E-2</v>
      </c>
      <c r="M990" s="34">
        <v>36</v>
      </c>
    </row>
    <row r="991" spans="1:13" ht="15" customHeight="1" x14ac:dyDescent="0.25">
      <c r="A991" s="30" t="s">
        <v>150</v>
      </c>
      <c r="B991" s="30" t="s">
        <v>100</v>
      </c>
      <c r="C991" s="9" t="s">
        <v>67</v>
      </c>
      <c r="D991" s="32">
        <v>2024</v>
      </c>
      <c r="E991" s="35" t="s">
        <v>163</v>
      </c>
      <c r="F991" s="33">
        <f t="shared" si="32"/>
        <v>17</v>
      </c>
      <c r="G991" s="33">
        <f t="shared" si="32"/>
        <v>0</v>
      </c>
      <c r="H991" s="33">
        <f t="shared" si="32"/>
        <v>0</v>
      </c>
      <c r="I991" s="40">
        <f t="shared" si="31"/>
        <v>6.3361908311591504E-3</v>
      </c>
      <c r="J991" s="40">
        <f t="shared" si="31"/>
        <v>0</v>
      </c>
      <c r="K991" s="40">
        <f t="shared" si="31"/>
        <v>0</v>
      </c>
      <c r="L991" s="40">
        <f>1000*M991/VLOOKUP(D991,'Normalised Rates'!$A$7:$B$12,2,FALSE)</f>
        <v>6.3361908311591504E-3</v>
      </c>
      <c r="M991" s="34">
        <v>17</v>
      </c>
    </row>
    <row r="992" spans="1:13" ht="15" customHeight="1" x14ac:dyDescent="0.25">
      <c r="A992" s="30" t="s">
        <v>150</v>
      </c>
      <c r="B992" s="30" t="s">
        <v>100</v>
      </c>
      <c r="C992" s="9" t="s">
        <v>67</v>
      </c>
      <c r="D992" s="32">
        <v>2025</v>
      </c>
      <c r="E992" s="33" t="s">
        <v>34</v>
      </c>
      <c r="F992" s="33">
        <f t="shared" si="32"/>
        <v>0</v>
      </c>
      <c r="G992" s="33">
        <f t="shared" si="32"/>
        <v>0</v>
      </c>
      <c r="H992" s="33">
        <f t="shared" si="32"/>
        <v>1</v>
      </c>
      <c r="I992" s="40">
        <f t="shared" si="31"/>
        <v>0</v>
      </c>
      <c r="J992" s="40">
        <f t="shared" si="31"/>
        <v>0</v>
      </c>
      <c r="K992" s="40">
        <f t="shared" si="31"/>
        <v>3.1715826197272439E-4</v>
      </c>
      <c r="L992" s="40">
        <f>1000*M992/VLOOKUP(D992,'Normalised Rates'!$A$7:$B$12,2,FALSE)</f>
        <v>3.1715826197272439E-4</v>
      </c>
      <c r="M992" s="34">
        <v>1</v>
      </c>
    </row>
    <row r="993" spans="1:13" ht="15" customHeight="1" x14ac:dyDescent="0.25">
      <c r="A993" s="30" t="s">
        <v>150</v>
      </c>
      <c r="B993" s="30" t="s">
        <v>100</v>
      </c>
      <c r="C993" s="9" t="s">
        <v>67</v>
      </c>
      <c r="D993" s="32">
        <v>2025</v>
      </c>
      <c r="E993" s="35" t="s">
        <v>163</v>
      </c>
      <c r="F993" s="33">
        <f t="shared" si="32"/>
        <v>35</v>
      </c>
      <c r="G993" s="33">
        <f t="shared" si="32"/>
        <v>0</v>
      </c>
      <c r="H993" s="33">
        <f t="shared" si="32"/>
        <v>0</v>
      </c>
      <c r="I993" s="40">
        <f t="shared" si="31"/>
        <v>1.1100539169045354E-2</v>
      </c>
      <c r="J993" s="40">
        <f t="shared" si="31"/>
        <v>0</v>
      </c>
      <c r="K993" s="40">
        <f t="shared" si="31"/>
        <v>0</v>
      </c>
      <c r="L993" s="40">
        <f>1000*M993/VLOOKUP(D993,'Normalised Rates'!$A$7:$B$12,2,FALSE)</f>
        <v>1.1100539169045354E-2</v>
      </c>
      <c r="M993" s="34">
        <v>35</v>
      </c>
    </row>
    <row r="994" spans="1:13" ht="15" customHeight="1" x14ac:dyDescent="0.25">
      <c r="A994" s="30" t="s">
        <v>150</v>
      </c>
      <c r="B994" s="30" t="s">
        <v>100</v>
      </c>
      <c r="C994" s="9" t="s">
        <v>67</v>
      </c>
      <c r="D994" s="32">
        <v>2026</v>
      </c>
      <c r="E994" s="35" t="s">
        <v>163</v>
      </c>
      <c r="F994" s="33">
        <f t="shared" si="32"/>
        <v>22</v>
      </c>
      <c r="G994" s="33">
        <f t="shared" si="32"/>
        <v>0</v>
      </c>
      <c r="H994" s="33">
        <f t="shared" si="32"/>
        <v>0</v>
      </c>
      <c r="I994" s="40">
        <f t="shared" si="31"/>
        <v>1.6745956232159846E-2</v>
      </c>
      <c r="J994" s="40">
        <f t="shared" si="31"/>
        <v>0</v>
      </c>
      <c r="K994" s="40">
        <f t="shared" si="31"/>
        <v>0</v>
      </c>
      <c r="L994" s="40">
        <f>1000*M994/VLOOKUP(D994,'Normalised Rates'!$A$7:$B$12,2,FALSE)</f>
        <v>1.6745956232159846E-2</v>
      </c>
      <c r="M994" s="34">
        <v>22</v>
      </c>
    </row>
    <row r="995" spans="1:13" ht="15" customHeight="1" x14ac:dyDescent="0.25">
      <c r="A995" s="30" t="s">
        <v>150</v>
      </c>
      <c r="B995" s="30" t="s">
        <v>88</v>
      </c>
      <c r="C995" s="9" t="s">
        <v>84</v>
      </c>
      <c r="D995" s="32">
        <v>2022</v>
      </c>
      <c r="E995" s="35" t="s">
        <v>163</v>
      </c>
      <c r="F995" s="33">
        <f t="shared" si="32"/>
        <v>6</v>
      </c>
      <c r="G995" s="33">
        <f t="shared" si="32"/>
        <v>0</v>
      </c>
      <c r="H995" s="33">
        <f t="shared" si="32"/>
        <v>0</v>
      </c>
      <c r="I995" s="40">
        <f t="shared" si="31"/>
        <v>3.2000000000000002E-3</v>
      </c>
      <c r="J995" s="40">
        <f t="shared" si="31"/>
        <v>0</v>
      </c>
      <c r="K995" s="40">
        <f t="shared" si="31"/>
        <v>0</v>
      </c>
      <c r="L995" s="40">
        <f>1000*M995/VLOOKUP(D995,'Normalised Rates'!$A$7:$B$12,2,FALSE)</f>
        <v>3.2000000000000002E-3</v>
      </c>
      <c r="M995" s="34">
        <v>6</v>
      </c>
    </row>
    <row r="996" spans="1:13" ht="15" customHeight="1" x14ac:dyDescent="0.25">
      <c r="A996" s="30" t="s">
        <v>150</v>
      </c>
      <c r="B996" s="30" t="s">
        <v>88</v>
      </c>
      <c r="C996" s="9" t="s">
        <v>84</v>
      </c>
      <c r="D996" s="32">
        <v>2023</v>
      </c>
      <c r="E996" s="35" t="s">
        <v>163</v>
      </c>
      <c r="F996" s="33">
        <f t="shared" si="32"/>
        <v>31</v>
      </c>
      <c r="G996" s="33">
        <f t="shared" si="32"/>
        <v>0</v>
      </c>
      <c r="H996" s="33">
        <f t="shared" si="32"/>
        <v>0</v>
      </c>
      <c r="I996" s="40">
        <f t="shared" si="31"/>
        <v>1.3560804899387576E-2</v>
      </c>
      <c r="J996" s="40">
        <f t="shared" si="31"/>
        <v>0</v>
      </c>
      <c r="K996" s="40">
        <f t="shared" si="31"/>
        <v>0</v>
      </c>
      <c r="L996" s="40">
        <f>1000*M996/VLOOKUP(D996,'Normalised Rates'!$A$7:$B$12,2,FALSE)</f>
        <v>1.3560804899387576E-2</v>
      </c>
      <c r="M996" s="34">
        <v>31</v>
      </c>
    </row>
    <row r="997" spans="1:13" ht="15" customHeight="1" x14ac:dyDescent="0.25">
      <c r="A997" s="30" t="s">
        <v>150</v>
      </c>
      <c r="B997" s="30" t="s">
        <v>88</v>
      </c>
      <c r="C997" s="9" t="s">
        <v>84</v>
      </c>
      <c r="D997" s="32">
        <v>2024</v>
      </c>
      <c r="E997" s="35" t="s">
        <v>163</v>
      </c>
      <c r="F997" s="33">
        <f t="shared" si="32"/>
        <v>17</v>
      </c>
      <c r="G997" s="33">
        <f t="shared" si="32"/>
        <v>0</v>
      </c>
      <c r="H997" s="33">
        <f t="shared" si="32"/>
        <v>0</v>
      </c>
      <c r="I997" s="40">
        <f t="shared" si="31"/>
        <v>6.3361908311591504E-3</v>
      </c>
      <c r="J997" s="40">
        <f t="shared" si="31"/>
        <v>0</v>
      </c>
      <c r="K997" s="40">
        <f t="shared" si="31"/>
        <v>0</v>
      </c>
      <c r="L997" s="40">
        <f>1000*M997/VLOOKUP(D997,'Normalised Rates'!$A$7:$B$12,2,FALSE)</f>
        <v>6.3361908311591504E-3</v>
      </c>
      <c r="M997" s="34">
        <v>17</v>
      </c>
    </row>
    <row r="998" spans="1:13" ht="15" customHeight="1" x14ac:dyDescent="0.25">
      <c r="A998" s="30" t="s">
        <v>150</v>
      </c>
      <c r="B998" s="30" t="s">
        <v>88</v>
      </c>
      <c r="C998" s="9" t="s">
        <v>84</v>
      </c>
      <c r="D998" s="32">
        <v>2025</v>
      </c>
      <c r="E998" s="35" t="s">
        <v>163</v>
      </c>
      <c r="F998" s="33">
        <f t="shared" si="32"/>
        <v>44</v>
      </c>
      <c r="G998" s="33">
        <f t="shared" si="32"/>
        <v>0</v>
      </c>
      <c r="H998" s="33">
        <f t="shared" si="32"/>
        <v>0</v>
      </c>
      <c r="I998" s="40">
        <f t="shared" si="31"/>
        <v>1.3954963526799874E-2</v>
      </c>
      <c r="J998" s="40">
        <f t="shared" si="31"/>
        <v>0</v>
      </c>
      <c r="K998" s="40">
        <f t="shared" si="31"/>
        <v>0</v>
      </c>
      <c r="L998" s="40">
        <f>1000*M998/VLOOKUP(D998,'Normalised Rates'!$A$7:$B$12,2,FALSE)</f>
        <v>1.3954963526799874E-2</v>
      </c>
      <c r="M998" s="34">
        <v>44</v>
      </c>
    </row>
    <row r="999" spans="1:13" ht="15" customHeight="1" x14ac:dyDescent="0.25">
      <c r="A999" s="30" t="s">
        <v>150</v>
      </c>
      <c r="B999" s="30" t="s">
        <v>88</v>
      </c>
      <c r="C999" s="9" t="s">
        <v>84</v>
      </c>
      <c r="D999" s="32">
        <v>2026</v>
      </c>
      <c r="E999" s="35" t="s">
        <v>163</v>
      </c>
      <c r="F999" s="33">
        <f t="shared" si="32"/>
        <v>20</v>
      </c>
      <c r="G999" s="33">
        <f t="shared" si="32"/>
        <v>0</v>
      </c>
      <c r="H999" s="33">
        <f t="shared" si="32"/>
        <v>0</v>
      </c>
      <c r="I999" s="40">
        <f t="shared" si="31"/>
        <v>1.5223596574690771E-2</v>
      </c>
      <c r="J999" s="40">
        <f t="shared" si="31"/>
        <v>0</v>
      </c>
      <c r="K999" s="40">
        <f t="shared" si="31"/>
        <v>0</v>
      </c>
      <c r="L999" s="40">
        <f>1000*M999/VLOOKUP(D999,'Normalised Rates'!$A$7:$B$12,2,FALSE)</f>
        <v>1.5223596574690771E-2</v>
      </c>
      <c r="M999" s="34">
        <v>20</v>
      </c>
    </row>
    <row r="1000" spans="1:13" ht="15" customHeight="1" x14ac:dyDescent="0.25">
      <c r="A1000" s="30" t="s">
        <v>150</v>
      </c>
      <c r="B1000" s="30" t="s">
        <v>92</v>
      </c>
      <c r="C1000" s="9" t="s">
        <v>84</v>
      </c>
      <c r="D1000" s="32">
        <v>2022</v>
      </c>
      <c r="E1000" s="33" t="s">
        <v>34</v>
      </c>
      <c r="F1000" s="33">
        <f t="shared" si="32"/>
        <v>0</v>
      </c>
      <c r="G1000" s="33">
        <f t="shared" si="32"/>
        <v>0</v>
      </c>
      <c r="H1000" s="33">
        <f t="shared" si="32"/>
        <v>3</v>
      </c>
      <c r="I1000" s="40">
        <f t="shared" si="31"/>
        <v>0</v>
      </c>
      <c r="J1000" s="40">
        <f t="shared" si="31"/>
        <v>0</v>
      </c>
      <c r="K1000" s="40">
        <f t="shared" si="31"/>
        <v>1.6000000000000001E-3</v>
      </c>
      <c r="L1000" s="40">
        <f>1000*M1000/VLOOKUP(D1000,'Normalised Rates'!$A$7:$B$12,2,FALSE)</f>
        <v>1.6000000000000001E-3</v>
      </c>
      <c r="M1000" s="34">
        <v>3</v>
      </c>
    </row>
    <row r="1001" spans="1:13" ht="15" customHeight="1" x14ac:dyDescent="0.25">
      <c r="A1001" s="30" t="s">
        <v>150</v>
      </c>
      <c r="B1001" s="30" t="s">
        <v>92</v>
      </c>
      <c r="C1001" s="9" t="s">
        <v>84</v>
      </c>
      <c r="D1001" s="32">
        <v>2022</v>
      </c>
      <c r="E1001" s="35" t="s">
        <v>163</v>
      </c>
      <c r="F1001" s="33">
        <f t="shared" si="32"/>
        <v>35</v>
      </c>
      <c r="G1001" s="33">
        <f t="shared" si="32"/>
        <v>0</v>
      </c>
      <c r="H1001" s="33">
        <f t="shared" si="32"/>
        <v>0</v>
      </c>
      <c r="I1001" s="40">
        <f t="shared" si="31"/>
        <v>1.8666666666666668E-2</v>
      </c>
      <c r="J1001" s="40">
        <f t="shared" si="31"/>
        <v>0</v>
      </c>
      <c r="K1001" s="40">
        <f t="shared" si="31"/>
        <v>0</v>
      </c>
      <c r="L1001" s="40">
        <f>1000*M1001/VLOOKUP(D1001,'Normalised Rates'!$A$7:$B$12,2,FALSE)</f>
        <v>1.8666666666666668E-2</v>
      </c>
      <c r="M1001" s="34">
        <v>35</v>
      </c>
    </row>
    <row r="1002" spans="1:13" ht="15" customHeight="1" x14ac:dyDescent="0.25">
      <c r="A1002" s="30" t="s">
        <v>150</v>
      </c>
      <c r="B1002" s="30" t="s">
        <v>92</v>
      </c>
      <c r="C1002" s="9" t="s">
        <v>84</v>
      </c>
      <c r="D1002" s="32">
        <v>2023</v>
      </c>
      <c r="E1002" s="33" t="s">
        <v>34</v>
      </c>
      <c r="F1002" s="33">
        <f t="shared" si="32"/>
        <v>0</v>
      </c>
      <c r="G1002" s="33">
        <f t="shared" si="32"/>
        <v>0</v>
      </c>
      <c r="H1002" s="33">
        <f t="shared" si="32"/>
        <v>1</v>
      </c>
      <c r="I1002" s="40">
        <f t="shared" si="31"/>
        <v>0</v>
      </c>
      <c r="J1002" s="40">
        <f t="shared" si="31"/>
        <v>0</v>
      </c>
      <c r="K1002" s="40">
        <f t="shared" si="31"/>
        <v>4.3744531933508313E-4</v>
      </c>
      <c r="L1002" s="40">
        <f>1000*M1002/VLOOKUP(D1002,'Normalised Rates'!$A$7:$B$12,2,FALSE)</f>
        <v>4.3744531933508313E-4</v>
      </c>
      <c r="M1002" s="34">
        <v>1</v>
      </c>
    </row>
    <row r="1003" spans="1:13" ht="15" customHeight="1" x14ac:dyDescent="0.25">
      <c r="A1003" s="30" t="s">
        <v>150</v>
      </c>
      <c r="B1003" s="30" t="s">
        <v>92</v>
      </c>
      <c r="C1003" s="9" t="s">
        <v>84</v>
      </c>
      <c r="D1003" s="32">
        <v>2023</v>
      </c>
      <c r="E1003" s="35" t="s">
        <v>163</v>
      </c>
      <c r="F1003" s="33">
        <f t="shared" si="32"/>
        <v>33</v>
      </c>
      <c r="G1003" s="33">
        <f t="shared" si="32"/>
        <v>0</v>
      </c>
      <c r="H1003" s="33">
        <f t="shared" si="32"/>
        <v>0</v>
      </c>
      <c r="I1003" s="40">
        <f t="shared" si="31"/>
        <v>1.4435695538057743E-2</v>
      </c>
      <c r="J1003" s="40">
        <f t="shared" si="31"/>
        <v>0</v>
      </c>
      <c r="K1003" s="40">
        <f t="shared" si="31"/>
        <v>0</v>
      </c>
      <c r="L1003" s="40">
        <f>1000*M1003/VLOOKUP(D1003,'Normalised Rates'!$A$7:$B$12,2,FALSE)</f>
        <v>1.4435695538057743E-2</v>
      </c>
      <c r="M1003" s="34">
        <v>33</v>
      </c>
    </row>
    <row r="1004" spans="1:13" ht="15" customHeight="1" x14ac:dyDescent="0.25">
      <c r="A1004" s="30" t="s">
        <v>150</v>
      </c>
      <c r="B1004" s="30" t="s">
        <v>92</v>
      </c>
      <c r="C1004" s="9" t="s">
        <v>84</v>
      </c>
      <c r="D1004" s="32">
        <v>2024</v>
      </c>
      <c r="E1004" s="35" t="s">
        <v>163</v>
      </c>
      <c r="F1004" s="33">
        <f t="shared" si="32"/>
        <v>17</v>
      </c>
      <c r="G1004" s="33">
        <f t="shared" si="32"/>
        <v>0</v>
      </c>
      <c r="H1004" s="33">
        <f t="shared" si="32"/>
        <v>0</v>
      </c>
      <c r="I1004" s="40">
        <f t="shared" si="31"/>
        <v>6.3361908311591504E-3</v>
      </c>
      <c r="J1004" s="40">
        <f t="shared" si="31"/>
        <v>0</v>
      </c>
      <c r="K1004" s="40">
        <f t="shared" si="31"/>
        <v>0</v>
      </c>
      <c r="L1004" s="40">
        <f>1000*M1004/VLOOKUP(D1004,'Normalised Rates'!$A$7:$B$12,2,FALSE)</f>
        <v>6.3361908311591504E-3</v>
      </c>
      <c r="M1004" s="34">
        <v>17</v>
      </c>
    </row>
    <row r="1005" spans="1:13" ht="15" customHeight="1" x14ac:dyDescent="0.25">
      <c r="A1005" s="30" t="s">
        <v>150</v>
      </c>
      <c r="B1005" s="30" t="s">
        <v>92</v>
      </c>
      <c r="C1005" s="9" t="s">
        <v>84</v>
      </c>
      <c r="D1005" s="32">
        <v>2025</v>
      </c>
      <c r="E1005" s="35" t="s">
        <v>163</v>
      </c>
      <c r="F1005" s="33">
        <f t="shared" si="32"/>
        <v>12</v>
      </c>
      <c r="G1005" s="33">
        <f t="shared" si="32"/>
        <v>0</v>
      </c>
      <c r="H1005" s="33">
        <f t="shared" si="32"/>
        <v>0</v>
      </c>
      <c r="I1005" s="40">
        <f t="shared" si="31"/>
        <v>3.8058991436726928E-3</v>
      </c>
      <c r="J1005" s="40">
        <f t="shared" si="31"/>
        <v>0</v>
      </c>
      <c r="K1005" s="40">
        <f t="shared" si="31"/>
        <v>0</v>
      </c>
      <c r="L1005" s="40">
        <f>1000*M1005/VLOOKUP(D1005,'Normalised Rates'!$A$7:$B$12,2,FALSE)</f>
        <v>3.8058991436726928E-3</v>
      </c>
      <c r="M1005" s="34">
        <v>12</v>
      </c>
    </row>
    <row r="1006" spans="1:13" ht="15" customHeight="1" x14ac:dyDescent="0.25">
      <c r="A1006" s="30" t="s">
        <v>150</v>
      </c>
      <c r="B1006" s="30" t="s">
        <v>92</v>
      </c>
      <c r="C1006" s="9" t="s">
        <v>84</v>
      </c>
      <c r="D1006" s="32">
        <v>2026</v>
      </c>
      <c r="E1006" s="35" t="s">
        <v>163</v>
      </c>
      <c r="F1006" s="33">
        <f t="shared" si="32"/>
        <v>10</v>
      </c>
      <c r="G1006" s="33">
        <f t="shared" si="32"/>
        <v>0</v>
      </c>
      <c r="H1006" s="33">
        <f t="shared" si="32"/>
        <v>0</v>
      </c>
      <c r="I1006" s="40">
        <f t="shared" si="31"/>
        <v>7.6117982873453857E-3</v>
      </c>
      <c r="J1006" s="40">
        <f t="shared" si="31"/>
        <v>0</v>
      </c>
      <c r="K1006" s="40">
        <f t="shared" si="31"/>
        <v>0</v>
      </c>
      <c r="L1006" s="40">
        <f>1000*M1006/VLOOKUP(D1006,'Normalised Rates'!$A$7:$B$12,2,FALSE)</f>
        <v>7.6117982873453857E-3</v>
      </c>
      <c r="M1006" s="34">
        <v>10</v>
      </c>
    </row>
    <row r="1007" spans="1:13" ht="15" customHeight="1" x14ac:dyDescent="0.25">
      <c r="A1007" s="30" t="s">
        <v>150</v>
      </c>
      <c r="B1007" s="30" t="s">
        <v>117</v>
      </c>
      <c r="C1007" s="9" t="s">
        <v>64</v>
      </c>
      <c r="D1007" s="32">
        <v>2021</v>
      </c>
      <c r="E1007" s="35" t="s">
        <v>163</v>
      </c>
      <c r="F1007" s="33">
        <f t="shared" si="32"/>
        <v>2</v>
      </c>
      <c r="G1007" s="33">
        <f t="shared" si="32"/>
        <v>0</v>
      </c>
      <c r="H1007" s="33">
        <f t="shared" si="32"/>
        <v>0</v>
      </c>
      <c r="I1007" s="40">
        <f t="shared" si="31"/>
        <v>1.2547051442910915E-3</v>
      </c>
      <c r="J1007" s="40">
        <f t="shared" si="31"/>
        <v>0</v>
      </c>
      <c r="K1007" s="40">
        <f t="shared" si="31"/>
        <v>0</v>
      </c>
      <c r="L1007" s="40">
        <f>1000*M1007/VLOOKUP(D1007,'Normalised Rates'!$A$7:$B$12,2,FALSE)</f>
        <v>1.2547051442910915E-3</v>
      </c>
      <c r="M1007" s="34">
        <v>2</v>
      </c>
    </row>
    <row r="1008" spans="1:13" ht="15" customHeight="1" x14ac:dyDescent="0.25">
      <c r="A1008" s="30" t="s">
        <v>150</v>
      </c>
      <c r="B1008" s="30" t="s">
        <v>117</v>
      </c>
      <c r="C1008" s="9" t="s">
        <v>64</v>
      </c>
      <c r="D1008" s="32">
        <v>2022</v>
      </c>
      <c r="E1008" s="33" t="s">
        <v>34</v>
      </c>
      <c r="F1008" s="33">
        <f t="shared" si="32"/>
        <v>0</v>
      </c>
      <c r="G1008" s="33">
        <f t="shared" si="32"/>
        <v>0</v>
      </c>
      <c r="H1008" s="33">
        <f t="shared" si="32"/>
        <v>1</v>
      </c>
      <c r="I1008" s="40">
        <f t="shared" si="31"/>
        <v>0</v>
      </c>
      <c r="J1008" s="40">
        <f t="shared" si="31"/>
        <v>0</v>
      </c>
      <c r="K1008" s="40">
        <f t="shared" si="31"/>
        <v>5.3333333333333336E-4</v>
      </c>
      <c r="L1008" s="40">
        <f>1000*M1008/VLOOKUP(D1008,'Normalised Rates'!$A$7:$B$12,2,FALSE)</f>
        <v>5.3333333333333336E-4</v>
      </c>
      <c r="M1008" s="34">
        <v>1</v>
      </c>
    </row>
    <row r="1009" spans="1:13" ht="15" customHeight="1" x14ac:dyDescent="0.25">
      <c r="A1009" s="30" t="s">
        <v>150</v>
      </c>
      <c r="B1009" s="30" t="s">
        <v>117</v>
      </c>
      <c r="C1009" s="9" t="s">
        <v>64</v>
      </c>
      <c r="D1009" s="32">
        <v>2022</v>
      </c>
      <c r="E1009" s="35" t="s">
        <v>163</v>
      </c>
      <c r="F1009" s="33">
        <f t="shared" si="32"/>
        <v>12</v>
      </c>
      <c r="G1009" s="33">
        <f t="shared" si="32"/>
        <v>0</v>
      </c>
      <c r="H1009" s="33">
        <f t="shared" si="32"/>
        <v>0</v>
      </c>
      <c r="I1009" s="40">
        <f t="shared" si="31"/>
        <v>6.4000000000000003E-3</v>
      </c>
      <c r="J1009" s="40">
        <f t="shared" si="31"/>
        <v>0</v>
      </c>
      <c r="K1009" s="40">
        <f t="shared" si="31"/>
        <v>0</v>
      </c>
      <c r="L1009" s="40">
        <f>1000*M1009/VLOOKUP(D1009,'Normalised Rates'!$A$7:$B$12,2,FALSE)</f>
        <v>6.4000000000000003E-3</v>
      </c>
      <c r="M1009" s="34">
        <v>12</v>
      </c>
    </row>
    <row r="1010" spans="1:13" ht="15" customHeight="1" x14ac:dyDescent="0.25">
      <c r="A1010" s="30" t="s">
        <v>150</v>
      </c>
      <c r="B1010" s="30" t="s">
        <v>117</v>
      </c>
      <c r="C1010" s="9" t="s">
        <v>64</v>
      </c>
      <c r="D1010" s="32">
        <v>2023</v>
      </c>
      <c r="E1010" s="35" t="s">
        <v>163</v>
      </c>
      <c r="F1010" s="33">
        <f t="shared" si="32"/>
        <v>43</v>
      </c>
      <c r="G1010" s="33">
        <f t="shared" si="32"/>
        <v>0</v>
      </c>
      <c r="H1010" s="33">
        <f t="shared" si="32"/>
        <v>0</v>
      </c>
      <c r="I1010" s="40">
        <f t="shared" si="31"/>
        <v>1.8810148731408575E-2</v>
      </c>
      <c r="J1010" s="40">
        <f t="shared" si="31"/>
        <v>0</v>
      </c>
      <c r="K1010" s="40">
        <f t="shared" si="31"/>
        <v>0</v>
      </c>
      <c r="L1010" s="40">
        <f>1000*M1010/VLOOKUP(D1010,'Normalised Rates'!$A$7:$B$12,2,FALSE)</f>
        <v>1.8810148731408575E-2</v>
      </c>
      <c r="M1010" s="34">
        <v>43</v>
      </c>
    </row>
    <row r="1011" spans="1:13" ht="15" customHeight="1" x14ac:dyDescent="0.25">
      <c r="A1011" s="30" t="s">
        <v>150</v>
      </c>
      <c r="B1011" s="30" t="s">
        <v>117</v>
      </c>
      <c r="C1011" s="9" t="s">
        <v>64</v>
      </c>
      <c r="D1011" s="32">
        <v>2024</v>
      </c>
      <c r="E1011" s="33" t="s">
        <v>34</v>
      </c>
      <c r="F1011" s="33">
        <f t="shared" si="32"/>
        <v>0</v>
      </c>
      <c r="G1011" s="33">
        <f t="shared" si="32"/>
        <v>0</v>
      </c>
      <c r="H1011" s="33">
        <f t="shared" si="32"/>
        <v>1</v>
      </c>
      <c r="I1011" s="40">
        <f t="shared" si="31"/>
        <v>0</v>
      </c>
      <c r="J1011" s="40">
        <f t="shared" si="31"/>
        <v>0</v>
      </c>
      <c r="K1011" s="40">
        <f t="shared" si="31"/>
        <v>3.7271710771524412E-4</v>
      </c>
      <c r="L1011" s="40">
        <f>1000*M1011/VLOOKUP(D1011,'Normalised Rates'!$A$7:$B$12,2,FALSE)</f>
        <v>3.7271710771524412E-4</v>
      </c>
      <c r="M1011" s="34">
        <v>1</v>
      </c>
    </row>
    <row r="1012" spans="1:13" ht="15" customHeight="1" x14ac:dyDescent="0.25">
      <c r="A1012" s="30" t="s">
        <v>150</v>
      </c>
      <c r="B1012" s="30" t="s">
        <v>117</v>
      </c>
      <c r="C1012" s="9" t="s">
        <v>64</v>
      </c>
      <c r="D1012" s="32">
        <v>2024</v>
      </c>
      <c r="E1012" s="35" t="s">
        <v>163</v>
      </c>
      <c r="F1012" s="33">
        <f t="shared" si="32"/>
        <v>9</v>
      </c>
      <c r="G1012" s="33">
        <f t="shared" si="32"/>
        <v>0</v>
      </c>
      <c r="H1012" s="33">
        <f t="shared" si="32"/>
        <v>0</v>
      </c>
      <c r="I1012" s="40">
        <f t="shared" si="31"/>
        <v>3.354453969437197E-3</v>
      </c>
      <c r="J1012" s="40">
        <f t="shared" si="31"/>
        <v>0</v>
      </c>
      <c r="K1012" s="40">
        <f t="shared" si="31"/>
        <v>0</v>
      </c>
      <c r="L1012" s="40">
        <f>1000*M1012/VLOOKUP(D1012,'Normalised Rates'!$A$7:$B$12,2,FALSE)</f>
        <v>3.354453969437197E-3</v>
      </c>
      <c r="M1012" s="34">
        <v>9</v>
      </c>
    </row>
    <row r="1013" spans="1:13" ht="15" customHeight="1" x14ac:dyDescent="0.25">
      <c r="A1013" s="30" t="s">
        <v>150</v>
      </c>
      <c r="B1013" s="30" t="s">
        <v>117</v>
      </c>
      <c r="C1013" s="9" t="s">
        <v>64</v>
      </c>
      <c r="D1013" s="32">
        <v>2025</v>
      </c>
      <c r="E1013" s="35" t="s">
        <v>163</v>
      </c>
      <c r="F1013" s="33">
        <f t="shared" si="32"/>
        <v>15</v>
      </c>
      <c r="G1013" s="33">
        <f t="shared" si="32"/>
        <v>0</v>
      </c>
      <c r="H1013" s="33">
        <f t="shared" si="32"/>
        <v>0</v>
      </c>
      <c r="I1013" s="40">
        <f t="shared" si="31"/>
        <v>4.7573739295908657E-3</v>
      </c>
      <c r="J1013" s="40">
        <f t="shared" si="31"/>
        <v>0</v>
      </c>
      <c r="K1013" s="40">
        <f t="shared" si="31"/>
        <v>0</v>
      </c>
      <c r="L1013" s="40">
        <f>1000*M1013/VLOOKUP(D1013,'Normalised Rates'!$A$7:$B$12,2,FALSE)</f>
        <v>4.7573739295908657E-3</v>
      </c>
      <c r="M1013" s="34">
        <v>15</v>
      </c>
    </row>
    <row r="1014" spans="1:13" ht="15" customHeight="1" x14ac:dyDescent="0.25">
      <c r="A1014" s="30" t="s">
        <v>150</v>
      </c>
      <c r="B1014" s="30" t="s">
        <v>117</v>
      </c>
      <c r="C1014" s="9" t="s">
        <v>64</v>
      </c>
      <c r="D1014" s="32">
        <v>2026</v>
      </c>
      <c r="E1014" s="35" t="s">
        <v>163</v>
      </c>
      <c r="F1014" s="33">
        <f t="shared" si="32"/>
        <v>6</v>
      </c>
      <c r="G1014" s="33">
        <f t="shared" si="32"/>
        <v>0</v>
      </c>
      <c r="H1014" s="33">
        <f t="shared" si="32"/>
        <v>0</v>
      </c>
      <c r="I1014" s="40">
        <f t="shared" si="31"/>
        <v>4.5670789724072316E-3</v>
      </c>
      <c r="J1014" s="40">
        <f t="shared" si="31"/>
        <v>0</v>
      </c>
      <c r="K1014" s="40">
        <f t="shared" si="31"/>
        <v>0</v>
      </c>
      <c r="L1014" s="40">
        <f>1000*M1014/VLOOKUP(D1014,'Normalised Rates'!$A$7:$B$12,2,FALSE)</f>
        <v>4.5670789724072316E-3</v>
      </c>
      <c r="M1014" s="34">
        <v>6</v>
      </c>
    </row>
    <row r="1015" spans="1:13" ht="15" customHeight="1" x14ac:dyDescent="0.25">
      <c r="A1015" s="30" t="s">
        <v>150</v>
      </c>
      <c r="B1015" s="30" t="s">
        <v>75</v>
      </c>
      <c r="C1015" s="9" t="s">
        <v>67</v>
      </c>
      <c r="D1015" s="32">
        <v>2022</v>
      </c>
      <c r="E1015" s="35" t="s">
        <v>163</v>
      </c>
      <c r="F1015" s="33">
        <f t="shared" si="32"/>
        <v>3</v>
      </c>
      <c r="G1015" s="33">
        <f t="shared" si="32"/>
        <v>0</v>
      </c>
      <c r="H1015" s="33">
        <f t="shared" si="32"/>
        <v>0</v>
      </c>
      <c r="I1015" s="40">
        <f t="shared" si="31"/>
        <v>1.6000000000000001E-3</v>
      </c>
      <c r="J1015" s="40">
        <f t="shared" si="31"/>
        <v>0</v>
      </c>
      <c r="K1015" s="40">
        <f t="shared" si="31"/>
        <v>0</v>
      </c>
      <c r="L1015" s="40">
        <f>1000*M1015/VLOOKUP(D1015,'Normalised Rates'!$A$7:$B$12,2,FALSE)</f>
        <v>1.6000000000000001E-3</v>
      </c>
      <c r="M1015" s="34">
        <v>3</v>
      </c>
    </row>
    <row r="1016" spans="1:13" ht="15" customHeight="1" x14ac:dyDescent="0.25">
      <c r="A1016" s="30" t="s">
        <v>150</v>
      </c>
      <c r="B1016" s="30" t="s">
        <v>75</v>
      </c>
      <c r="C1016" s="9" t="s">
        <v>67</v>
      </c>
      <c r="D1016" s="32">
        <v>2023</v>
      </c>
      <c r="E1016" s="35" t="s">
        <v>163</v>
      </c>
      <c r="F1016" s="33">
        <f t="shared" si="32"/>
        <v>13</v>
      </c>
      <c r="G1016" s="33">
        <f t="shared" si="32"/>
        <v>0</v>
      </c>
      <c r="H1016" s="33">
        <f t="shared" si="32"/>
        <v>0</v>
      </c>
      <c r="I1016" s="40">
        <f t="shared" si="31"/>
        <v>5.6867891513560807E-3</v>
      </c>
      <c r="J1016" s="40">
        <f t="shared" si="31"/>
        <v>0</v>
      </c>
      <c r="K1016" s="40">
        <f t="shared" si="31"/>
        <v>0</v>
      </c>
      <c r="L1016" s="40">
        <f>1000*M1016/VLOOKUP(D1016,'Normalised Rates'!$A$7:$B$12,2,FALSE)</f>
        <v>5.6867891513560807E-3</v>
      </c>
      <c r="M1016" s="34">
        <v>13</v>
      </c>
    </row>
    <row r="1017" spans="1:13" ht="15" customHeight="1" x14ac:dyDescent="0.25">
      <c r="A1017" s="30" t="s">
        <v>150</v>
      </c>
      <c r="B1017" s="30" t="s">
        <v>75</v>
      </c>
      <c r="C1017" s="9" t="s">
        <v>67</v>
      </c>
      <c r="D1017" s="32">
        <v>2024</v>
      </c>
      <c r="E1017" s="35" t="s">
        <v>163</v>
      </c>
      <c r="F1017" s="33">
        <f t="shared" si="32"/>
        <v>18</v>
      </c>
      <c r="G1017" s="33">
        <f t="shared" si="32"/>
        <v>0</v>
      </c>
      <c r="H1017" s="33">
        <f t="shared" si="32"/>
        <v>0</v>
      </c>
      <c r="I1017" s="40">
        <f t="shared" si="31"/>
        <v>6.7089079388743941E-3</v>
      </c>
      <c r="J1017" s="40">
        <f t="shared" si="31"/>
        <v>0</v>
      </c>
      <c r="K1017" s="40">
        <f t="shared" si="31"/>
        <v>0</v>
      </c>
      <c r="L1017" s="40">
        <f>1000*M1017/VLOOKUP(D1017,'Normalised Rates'!$A$7:$B$12,2,FALSE)</f>
        <v>6.7089079388743941E-3</v>
      </c>
      <c r="M1017" s="34">
        <v>18</v>
      </c>
    </row>
    <row r="1018" spans="1:13" ht="15" customHeight="1" x14ac:dyDescent="0.25">
      <c r="A1018" s="30" t="s">
        <v>150</v>
      </c>
      <c r="B1018" s="30" t="s">
        <v>75</v>
      </c>
      <c r="C1018" s="9" t="s">
        <v>67</v>
      </c>
      <c r="D1018" s="32">
        <v>2025</v>
      </c>
      <c r="E1018" s="35" t="s">
        <v>163</v>
      </c>
      <c r="F1018" s="33">
        <f t="shared" si="32"/>
        <v>24</v>
      </c>
      <c r="G1018" s="33">
        <f t="shared" si="32"/>
        <v>0</v>
      </c>
      <c r="H1018" s="33">
        <f t="shared" si="32"/>
        <v>0</v>
      </c>
      <c r="I1018" s="40">
        <f t="shared" si="31"/>
        <v>7.6117982873453857E-3</v>
      </c>
      <c r="J1018" s="40">
        <f t="shared" si="31"/>
        <v>0</v>
      </c>
      <c r="K1018" s="40">
        <f t="shared" si="31"/>
        <v>0</v>
      </c>
      <c r="L1018" s="40">
        <f>1000*M1018/VLOOKUP(D1018,'Normalised Rates'!$A$7:$B$12,2,FALSE)</f>
        <v>7.6117982873453857E-3</v>
      </c>
      <c r="M1018" s="34">
        <v>24</v>
      </c>
    </row>
    <row r="1019" spans="1:13" ht="15" customHeight="1" x14ac:dyDescent="0.25">
      <c r="A1019" s="30" t="s">
        <v>150</v>
      </c>
      <c r="B1019" s="30" t="s">
        <v>75</v>
      </c>
      <c r="C1019" s="9" t="s">
        <v>67</v>
      </c>
      <c r="D1019" s="32">
        <v>2026</v>
      </c>
      <c r="E1019" s="35" t="s">
        <v>163</v>
      </c>
      <c r="F1019" s="33">
        <f t="shared" si="32"/>
        <v>10</v>
      </c>
      <c r="G1019" s="33">
        <f t="shared" si="32"/>
        <v>0</v>
      </c>
      <c r="H1019" s="33">
        <f t="shared" si="32"/>
        <v>0</v>
      </c>
      <c r="I1019" s="40">
        <f t="shared" si="31"/>
        <v>7.6117982873453857E-3</v>
      </c>
      <c r="J1019" s="40">
        <f t="shared" si="31"/>
        <v>0</v>
      </c>
      <c r="K1019" s="40">
        <f t="shared" si="31"/>
        <v>0</v>
      </c>
      <c r="L1019" s="40">
        <f>1000*M1019/VLOOKUP(D1019,'Normalised Rates'!$A$7:$B$12,2,FALSE)</f>
        <v>7.6117982873453857E-3</v>
      </c>
      <c r="M1019" s="34">
        <v>10</v>
      </c>
    </row>
    <row r="1020" spans="1:13" ht="15" customHeight="1" x14ac:dyDescent="0.25">
      <c r="A1020" s="30" t="s">
        <v>150</v>
      </c>
      <c r="B1020" s="30" t="s">
        <v>98</v>
      </c>
      <c r="C1020" s="9" t="s">
        <v>84</v>
      </c>
      <c r="D1020" s="32">
        <v>2022</v>
      </c>
      <c r="E1020" s="33" t="s">
        <v>34</v>
      </c>
      <c r="F1020" s="33">
        <f t="shared" si="32"/>
        <v>0</v>
      </c>
      <c r="G1020" s="33">
        <f t="shared" si="32"/>
        <v>0</v>
      </c>
      <c r="H1020" s="33">
        <f t="shared" si="32"/>
        <v>1</v>
      </c>
      <c r="I1020" s="40">
        <f t="shared" si="31"/>
        <v>0</v>
      </c>
      <c r="J1020" s="40">
        <f t="shared" si="31"/>
        <v>0</v>
      </c>
      <c r="K1020" s="40">
        <f t="shared" si="31"/>
        <v>5.3333333333333336E-4</v>
      </c>
      <c r="L1020" s="40">
        <f>1000*M1020/VLOOKUP(D1020,'Normalised Rates'!$A$7:$B$12,2,FALSE)</f>
        <v>5.3333333333333336E-4</v>
      </c>
      <c r="M1020" s="34">
        <v>1</v>
      </c>
    </row>
    <row r="1021" spans="1:13" ht="15" customHeight="1" x14ac:dyDescent="0.25">
      <c r="A1021" s="30" t="s">
        <v>150</v>
      </c>
      <c r="B1021" s="30" t="s">
        <v>98</v>
      </c>
      <c r="C1021" s="9" t="s">
        <v>84</v>
      </c>
      <c r="D1021" s="32">
        <v>2022</v>
      </c>
      <c r="E1021" s="35" t="s">
        <v>163</v>
      </c>
      <c r="F1021" s="33">
        <f t="shared" si="32"/>
        <v>7</v>
      </c>
      <c r="G1021" s="33">
        <f t="shared" si="32"/>
        <v>0</v>
      </c>
      <c r="H1021" s="33">
        <f t="shared" si="32"/>
        <v>0</v>
      </c>
      <c r="I1021" s="40">
        <f t="shared" si="31"/>
        <v>3.7333333333333333E-3</v>
      </c>
      <c r="J1021" s="40">
        <f t="shared" si="31"/>
        <v>0</v>
      </c>
      <c r="K1021" s="40">
        <f t="shared" si="31"/>
        <v>0</v>
      </c>
      <c r="L1021" s="40">
        <f>1000*M1021/VLOOKUP(D1021,'Normalised Rates'!$A$7:$B$12,2,FALSE)</f>
        <v>3.7333333333333333E-3</v>
      </c>
      <c r="M1021" s="34">
        <v>7</v>
      </c>
    </row>
    <row r="1022" spans="1:13" ht="15" customHeight="1" x14ac:dyDescent="0.25">
      <c r="A1022" s="30" t="s">
        <v>150</v>
      </c>
      <c r="B1022" s="30" t="s">
        <v>98</v>
      </c>
      <c r="C1022" s="9" t="s">
        <v>84</v>
      </c>
      <c r="D1022" s="32">
        <v>2023</v>
      </c>
      <c r="E1022" s="35" t="s">
        <v>163</v>
      </c>
      <c r="F1022" s="33">
        <f t="shared" si="32"/>
        <v>5</v>
      </c>
      <c r="G1022" s="33">
        <f t="shared" si="32"/>
        <v>0</v>
      </c>
      <c r="H1022" s="33">
        <f t="shared" si="32"/>
        <v>0</v>
      </c>
      <c r="I1022" s="40">
        <f t="shared" si="31"/>
        <v>2.1872265966754157E-3</v>
      </c>
      <c r="J1022" s="40">
        <f t="shared" si="31"/>
        <v>0</v>
      </c>
      <c r="K1022" s="40">
        <f t="shared" si="31"/>
        <v>0</v>
      </c>
      <c r="L1022" s="40">
        <f>1000*M1022/VLOOKUP(D1022,'Normalised Rates'!$A$7:$B$12,2,FALSE)</f>
        <v>2.1872265966754157E-3</v>
      </c>
      <c r="M1022" s="34">
        <v>5</v>
      </c>
    </row>
    <row r="1023" spans="1:13" ht="15" customHeight="1" x14ac:dyDescent="0.25">
      <c r="A1023" s="30" t="s">
        <v>150</v>
      </c>
      <c r="B1023" s="30" t="s">
        <v>98</v>
      </c>
      <c r="C1023" s="9" t="s">
        <v>84</v>
      </c>
      <c r="D1023" s="32">
        <v>2024</v>
      </c>
      <c r="E1023" s="35" t="s">
        <v>163</v>
      </c>
      <c r="F1023" s="33">
        <f t="shared" si="32"/>
        <v>12</v>
      </c>
      <c r="G1023" s="33">
        <f t="shared" si="32"/>
        <v>0</v>
      </c>
      <c r="H1023" s="33">
        <f t="shared" si="32"/>
        <v>0</v>
      </c>
      <c r="I1023" s="40">
        <f t="shared" si="31"/>
        <v>4.4726052925829294E-3</v>
      </c>
      <c r="J1023" s="40">
        <f t="shared" si="31"/>
        <v>0</v>
      </c>
      <c r="K1023" s="40">
        <f t="shared" si="31"/>
        <v>0</v>
      </c>
      <c r="L1023" s="40">
        <f>1000*M1023/VLOOKUP(D1023,'Normalised Rates'!$A$7:$B$12,2,FALSE)</f>
        <v>4.4726052925829294E-3</v>
      </c>
      <c r="M1023" s="34">
        <v>12</v>
      </c>
    </row>
    <row r="1024" spans="1:13" ht="15" customHeight="1" x14ac:dyDescent="0.25">
      <c r="A1024" s="30" t="s">
        <v>150</v>
      </c>
      <c r="B1024" s="30" t="s">
        <v>98</v>
      </c>
      <c r="C1024" s="9" t="s">
        <v>84</v>
      </c>
      <c r="D1024" s="32">
        <v>2025</v>
      </c>
      <c r="E1024" s="35" t="s">
        <v>163</v>
      </c>
      <c r="F1024" s="33">
        <f t="shared" si="32"/>
        <v>20</v>
      </c>
      <c r="G1024" s="33">
        <f t="shared" si="32"/>
        <v>0</v>
      </c>
      <c r="H1024" s="33">
        <f t="shared" si="32"/>
        <v>0</v>
      </c>
      <c r="I1024" s="40">
        <f t="shared" si="31"/>
        <v>6.3431652394544879E-3</v>
      </c>
      <c r="J1024" s="40">
        <f t="shared" si="31"/>
        <v>0</v>
      </c>
      <c r="K1024" s="40">
        <f t="shared" si="31"/>
        <v>0</v>
      </c>
      <c r="L1024" s="40">
        <f>1000*M1024/VLOOKUP(D1024,'Normalised Rates'!$A$7:$B$12,2,FALSE)</f>
        <v>6.3431652394544879E-3</v>
      </c>
      <c r="M1024" s="34">
        <v>20</v>
      </c>
    </row>
    <row r="1025" spans="1:13" ht="15" customHeight="1" x14ac:dyDescent="0.25">
      <c r="A1025" s="30" t="s">
        <v>150</v>
      </c>
      <c r="B1025" s="30" t="s">
        <v>98</v>
      </c>
      <c r="C1025" s="9" t="s">
        <v>84</v>
      </c>
      <c r="D1025" s="32">
        <v>2026</v>
      </c>
      <c r="E1025" s="35" t="s">
        <v>163</v>
      </c>
      <c r="F1025" s="33">
        <f t="shared" si="32"/>
        <v>13</v>
      </c>
      <c r="G1025" s="33">
        <f t="shared" si="32"/>
        <v>0</v>
      </c>
      <c r="H1025" s="33">
        <f t="shared" si="32"/>
        <v>0</v>
      </c>
      <c r="I1025" s="40">
        <f t="shared" si="31"/>
        <v>9.8953377735490015E-3</v>
      </c>
      <c r="J1025" s="40">
        <f t="shared" si="31"/>
        <v>0</v>
      </c>
      <c r="K1025" s="40">
        <f t="shared" si="31"/>
        <v>0</v>
      </c>
      <c r="L1025" s="40">
        <f>1000*M1025/VLOOKUP(D1025,'Normalised Rates'!$A$7:$B$12,2,FALSE)</f>
        <v>9.8953377735490015E-3</v>
      </c>
      <c r="M1025" s="34">
        <v>13</v>
      </c>
    </row>
    <row r="1026" spans="1:13" ht="15" customHeight="1" x14ac:dyDescent="0.25">
      <c r="A1026" s="30" t="s">
        <v>150</v>
      </c>
      <c r="B1026" s="30" t="s">
        <v>90</v>
      </c>
      <c r="C1026" s="9" t="s">
        <v>67</v>
      </c>
      <c r="D1026" s="32">
        <v>2022</v>
      </c>
      <c r="E1026" s="35" t="s">
        <v>163</v>
      </c>
      <c r="F1026" s="33">
        <f t="shared" si="32"/>
        <v>1</v>
      </c>
      <c r="G1026" s="33">
        <f t="shared" si="32"/>
        <v>0</v>
      </c>
      <c r="H1026" s="33">
        <f t="shared" si="32"/>
        <v>0</v>
      </c>
      <c r="I1026" s="40">
        <f t="shared" si="31"/>
        <v>5.3333333333333336E-4</v>
      </c>
      <c r="J1026" s="40">
        <f t="shared" si="31"/>
        <v>0</v>
      </c>
      <c r="K1026" s="40">
        <f t="shared" si="31"/>
        <v>0</v>
      </c>
      <c r="L1026" s="40">
        <f>1000*M1026/VLOOKUP(D1026,'Normalised Rates'!$A$7:$B$12,2,FALSE)</f>
        <v>5.3333333333333336E-4</v>
      </c>
      <c r="M1026" s="34">
        <v>1</v>
      </c>
    </row>
    <row r="1027" spans="1:13" ht="15" customHeight="1" x14ac:dyDescent="0.25">
      <c r="A1027" s="30" t="s">
        <v>150</v>
      </c>
      <c r="B1027" s="30" t="s">
        <v>90</v>
      </c>
      <c r="C1027" s="9" t="s">
        <v>67</v>
      </c>
      <c r="D1027" s="32">
        <v>2023</v>
      </c>
      <c r="E1027" s="33" t="s">
        <v>34</v>
      </c>
      <c r="F1027" s="33">
        <f t="shared" si="32"/>
        <v>0</v>
      </c>
      <c r="G1027" s="33">
        <f t="shared" si="32"/>
        <v>0</v>
      </c>
      <c r="H1027" s="33">
        <f t="shared" si="32"/>
        <v>1</v>
      </c>
      <c r="I1027" s="40">
        <f t="shared" si="31"/>
        <v>0</v>
      </c>
      <c r="J1027" s="40">
        <f t="shared" si="31"/>
        <v>0</v>
      </c>
      <c r="K1027" s="40">
        <f t="shared" si="31"/>
        <v>4.3744531933508313E-4</v>
      </c>
      <c r="L1027" s="40">
        <f>1000*M1027/VLOOKUP(D1027,'Normalised Rates'!$A$7:$B$12,2,FALSE)</f>
        <v>4.3744531933508313E-4</v>
      </c>
      <c r="M1027" s="34">
        <v>1</v>
      </c>
    </row>
    <row r="1028" spans="1:13" ht="15" customHeight="1" x14ac:dyDescent="0.25">
      <c r="A1028" s="30" t="s">
        <v>150</v>
      </c>
      <c r="B1028" s="30" t="s">
        <v>90</v>
      </c>
      <c r="C1028" s="9" t="s">
        <v>67</v>
      </c>
      <c r="D1028" s="32">
        <v>2023</v>
      </c>
      <c r="E1028" s="35" t="s">
        <v>163</v>
      </c>
      <c r="F1028" s="33">
        <f t="shared" si="32"/>
        <v>15</v>
      </c>
      <c r="G1028" s="33">
        <f t="shared" si="32"/>
        <v>0</v>
      </c>
      <c r="H1028" s="33">
        <f t="shared" si="32"/>
        <v>0</v>
      </c>
      <c r="I1028" s="40">
        <f t="shared" si="31"/>
        <v>6.5616797900262466E-3</v>
      </c>
      <c r="J1028" s="40">
        <f t="shared" si="31"/>
        <v>0</v>
      </c>
      <c r="K1028" s="40">
        <f t="shared" si="31"/>
        <v>0</v>
      </c>
      <c r="L1028" s="40">
        <f>1000*M1028/VLOOKUP(D1028,'Normalised Rates'!$A$7:$B$12,2,FALSE)</f>
        <v>6.5616797900262466E-3</v>
      </c>
      <c r="M1028" s="34">
        <v>15</v>
      </c>
    </row>
    <row r="1029" spans="1:13" ht="15" customHeight="1" x14ac:dyDescent="0.25">
      <c r="A1029" s="30" t="s">
        <v>150</v>
      </c>
      <c r="B1029" s="30" t="s">
        <v>90</v>
      </c>
      <c r="C1029" s="9" t="s">
        <v>67</v>
      </c>
      <c r="D1029" s="32">
        <v>2024</v>
      </c>
      <c r="E1029" s="35" t="s">
        <v>163</v>
      </c>
      <c r="F1029" s="33">
        <f t="shared" si="32"/>
        <v>16</v>
      </c>
      <c r="G1029" s="33">
        <f t="shared" si="32"/>
        <v>0</v>
      </c>
      <c r="H1029" s="33">
        <f t="shared" si="32"/>
        <v>0</v>
      </c>
      <c r="I1029" s="40">
        <f t="shared" si="31"/>
        <v>5.9634737234439059E-3</v>
      </c>
      <c r="J1029" s="40">
        <f t="shared" si="31"/>
        <v>0</v>
      </c>
      <c r="K1029" s="40">
        <f t="shared" si="31"/>
        <v>0</v>
      </c>
      <c r="L1029" s="40">
        <f>1000*M1029/VLOOKUP(D1029,'Normalised Rates'!$A$7:$B$12,2,FALSE)</f>
        <v>5.9634737234439059E-3</v>
      </c>
      <c r="M1029" s="34">
        <v>16</v>
      </c>
    </row>
    <row r="1030" spans="1:13" ht="15" customHeight="1" x14ac:dyDescent="0.25">
      <c r="A1030" s="30" t="s">
        <v>150</v>
      </c>
      <c r="B1030" s="30" t="s">
        <v>90</v>
      </c>
      <c r="C1030" s="9" t="s">
        <v>67</v>
      </c>
      <c r="D1030" s="32">
        <v>2025</v>
      </c>
      <c r="E1030" s="35" t="s">
        <v>163</v>
      </c>
      <c r="F1030" s="33">
        <f t="shared" si="32"/>
        <v>19</v>
      </c>
      <c r="G1030" s="33">
        <f t="shared" si="32"/>
        <v>0</v>
      </c>
      <c r="H1030" s="33">
        <f t="shared" si="32"/>
        <v>0</v>
      </c>
      <c r="I1030" s="40">
        <f t="shared" si="31"/>
        <v>6.0260069774817635E-3</v>
      </c>
      <c r="J1030" s="40">
        <f t="shared" si="31"/>
        <v>0</v>
      </c>
      <c r="K1030" s="40">
        <f t="shared" si="31"/>
        <v>0</v>
      </c>
      <c r="L1030" s="40">
        <f>1000*M1030/VLOOKUP(D1030,'Normalised Rates'!$A$7:$B$12,2,FALSE)</f>
        <v>6.0260069774817635E-3</v>
      </c>
      <c r="M1030" s="34">
        <v>19</v>
      </c>
    </row>
    <row r="1031" spans="1:13" ht="15" customHeight="1" x14ac:dyDescent="0.25">
      <c r="A1031" s="30" t="s">
        <v>150</v>
      </c>
      <c r="B1031" s="30" t="s">
        <v>90</v>
      </c>
      <c r="C1031" s="9" t="s">
        <v>67</v>
      </c>
      <c r="D1031" s="32">
        <v>2026</v>
      </c>
      <c r="E1031" s="35" t="s">
        <v>163</v>
      </c>
      <c r="F1031" s="33">
        <f t="shared" si="32"/>
        <v>4</v>
      </c>
      <c r="G1031" s="33">
        <f t="shared" si="32"/>
        <v>0</v>
      </c>
      <c r="H1031" s="33">
        <f t="shared" si="32"/>
        <v>0</v>
      </c>
      <c r="I1031" s="40">
        <f t="shared" ref="I1031:K1094" si="33">IF(_xlfn.CONCAT($E1031,"%")=I$5,$L1031,0)</f>
        <v>3.0447193149381541E-3</v>
      </c>
      <c r="J1031" s="40">
        <f t="shared" si="33"/>
        <v>0</v>
      </c>
      <c r="K1031" s="40">
        <f t="shared" si="33"/>
        <v>0</v>
      </c>
      <c r="L1031" s="40">
        <f>1000*M1031/VLOOKUP(D1031,'Normalised Rates'!$A$7:$B$12,2,FALSE)</f>
        <v>3.0447193149381541E-3</v>
      </c>
      <c r="M1031" s="34">
        <v>4</v>
      </c>
    </row>
    <row r="1032" spans="1:13" ht="15" customHeight="1" x14ac:dyDescent="0.25">
      <c r="A1032" s="30" t="s">
        <v>150</v>
      </c>
      <c r="B1032" s="30" t="s">
        <v>113</v>
      </c>
      <c r="C1032" s="9" t="s">
        <v>84</v>
      </c>
      <c r="D1032" s="32">
        <v>2022</v>
      </c>
      <c r="E1032" s="35" t="s">
        <v>163</v>
      </c>
      <c r="F1032" s="33">
        <f t="shared" si="32"/>
        <v>2</v>
      </c>
      <c r="G1032" s="33">
        <f t="shared" si="32"/>
        <v>0</v>
      </c>
      <c r="H1032" s="33">
        <f t="shared" si="32"/>
        <v>0</v>
      </c>
      <c r="I1032" s="40">
        <f t="shared" si="33"/>
        <v>1.0666666666666667E-3</v>
      </c>
      <c r="J1032" s="40">
        <f t="shared" si="33"/>
        <v>0</v>
      </c>
      <c r="K1032" s="40">
        <f t="shared" si="33"/>
        <v>0</v>
      </c>
      <c r="L1032" s="40">
        <f>1000*M1032/VLOOKUP(D1032,'Normalised Rates'!$A$7:$B$12,2,FALSE)</f>
        <v>1.0666666666666667E-3</v>
      </c>
      <c r="M1032" s="34">
        <v>2</v>
      </c>
    </row>
    <row r="1033" spans="1:13" ht="15" customHeight="1" x14ac:dyDescent="0.25">
      <c r="A1033" s="30" t="s">
        <v>150</v>
      </c>
      <c r="B1033" s="30" t="s">
        <v>113</v>
      </c>
      <c r="C1033" s="9" t="s">
        <v>84</v>
      </c>
      <c r="D1033" s="32">
        <v>2023</v>
      </c>
      <c r="E1033" s="35" t="s">
        <v>163</v>
      </c>
      <c r="F1033" s="33">
        <f t="shared" ref="F1033:H1096" si="34">IF($E1033=F$5,$M1033,0)</f>
        <v>7</v>
      </c>
      <c r="G1033" s="33">
        <f t="shared" si="34"/>
        <v>0</v>
      </c>
      <c r="H1033" s="33">
        <f t="shared" si="34"/>
        <v>0</v>
      </c>
      <c r="I1033" s="40">
        <f t="shared" si="33"/>
        <v>3.0621172353455816E-3</v>
      </c>
      <c r="J1033" s="40">
        <f t="shared" si="33"/>
        <v>0</v>
      </c>
      <c r="K1033" s="40">
        <f t="shared" si="33"/>
        <v>0</v>
      </c>
      <c r="L1033" s="40">
        <f>1000*M1033/VLOOKUP(D1033,'Normalised Rates'!$A$7:$B$12,2,FALSE)</f>
        <v>3.0621172353455816E-3</v>
      </c>
      <c r="M1033" s="34">
        <v>7</v>
      </c>
    </row>
    <row r="1034" spans="1:13" ht="15" customHeight="1" x14ac:dyDescent="0.25">
      <c r="A1034" s="30" t="s">
        <v>150</v>
      </c>
      <c r="B1034" s="30" t="s">
        <v>113</v>
      </c>
      <c r="C1034" s="9" t="s">
        <v>84</v>
      </c>
      <c r="D1034" s="32">
        <v>2024</v>
      </c>
      <c r="E1034" s="35" t="s">
        <v>163</v>
      </c>
      <c r="F1034" s="33">
        <f t="shared" si="34"/>
        <v>5</v>
      </c>
      <c r="G1034" s="33">
        <f t="shared" si="34"/>
        <v>0</v>
      </c>
      <c r="H1034" s="33">
        <f t="shared" si="34"/>
        <v>0</v>
      </c>
      <c r="I1034" s="40">
        <f t="shared" si="33"/>
        <v>1.8635855385762206E-3</v>
      </c>
      <c r="J1034" s="40">
        <f t="shared" si="33"/>
        <v>0</v>
      </c>
      <c r="K1034" s="40">
        <f t="shared" si="33"/>
        <v>0</v>
      </c>
      <c r="L1034" s="40">
        <f>1000*M1034/VLOOKUP(D1034,'Normalised Rates'!$A$7:$B$12,2,FALSE)</f>
        <v>1.8635855385762206E-3</v>
      </c>
      <c r="M1034" s="34">
        <v>5</v>
      </c>
    </row>
    <row r="1035" spans="1:13" ht="15" customHeight="1" x14ac:dyDescent="0.25">
      <c r="A1035" s="30" t="s">
        <v>150</v>
      </c>
      <c r="B1035" s="30" t="s">
        <v>113</v>
      </c>
      <c r="C1035" s="9" t="s">
        <v>84</v>
      </c>
      <c r="D1035" s="32">
        <v>2025</v>
      </c>
      <c r="E1035" s="35" t="s">
        <v>163</v>
      </c>
      <c r="F1035" s="33">
        <f t="shared" si="34"/>
        <v>4</v>
      </c>
      <c r="G1035" s="33">
        <f t="shared" si="34"/>
        <v>0</v>
      </c>
      <c r="H1035" s="33">
        <f t="shared" si="34"/>
        <v>0</v>
      </c>
      <c r="I1035" s="40">
        <f t="shared" si="33"/>
        <v>1.2686330478908975E-3</v>
      </c>
      <c r="J1035" s="40">
        <f t="shared" si="33"/>
        <v>0</v>
      </c>
      <c r="K1035" s="40">
        <f t="shared" si="33"/>
        <v>0</v>
      </c>
      <c r="L1035" s="40">
        <f>1000*M1035/VLOOKUP(D1035,'Normalised Rates'!$A$7:$B$12,2,FALSE)</f>
        <v>1.2686330478908975E-3</v>
      </c>
      <c r="M1035" s="34">
        <v>4</v>
      </c>
    </row>
    <row r="1036" spans="1:13" ht="15" customHeight="1" x14ac:dyDescent="0.25">
      <c r="A1036" s="30" t="s">
        <v>150</v>
      </c>
      <c r="B1036" s="30" t="s">
        <v>113</v>
      </c>
      <c r="C1036" s="9" t="s">
        <v>84</v>
      </c>
      <c r="D1036" s="32">
        <v>2026</v>
      </c>
      <c r="E1036" s="35" t="s">
        <v>163</v>
      </c>
      <c r="F1036" s="33">
        <f t="shared" si="34"/>
        <v>1</v>
      </c>
      <c r="G1036" s="33">
        <f t="shared" si="34"/>
        <v>0</v>
      </c>
      <c r="H1036" s="33">
        <f t="shared" si="34"/>
        <v>0</v>
      </c>
      <c r="I1036" s="40">
        <f t="shared" si="33"/>
        <v>7.6117982873453852E-4</v>
      </c>
      <c r="J1036" s="40">
        <f t="shared" si="33"/>
        <v>0</v>
      </c>
      <c r="K1036" s="40">
        <f t="shared" si="33"/>
        <v>0</v>
      </c>
      <c r="L1036" s="40">
        <f>1000*M1036/VLOOKUP(D1036,'Normalised Rates'!$A$7:$B$12,2,FALSE)</f>
        <v>7.6117982873453852E-4</v>
      </c>
      <c r="M1036" s="34">
        <v>1</v>
      </c>
    </row>
    <row r="1037" spans="1:13" ht="15" customHeight="1" x14ac:dyDescent="0.25">
      <c r="A1037" s="30" t="s">
        <v>150</v>
      </c>
      <c r="B1037" s="30" t="s">
        <v>102</v>
      </c>
      <c r="C1037" s="9" t="s">
        <v>84</v>
      </c>
      <c r="D1037" s="32">
        <v>2023</v>
      </c>
      <c r="E1037" s="35" t="s">
        <v>163</v>
      </c>
      <c r="F1037" s="33">
        <f t="shared" si="34"/>
        <v>6</v>
      </c>
      <c r="G1037" s="33">
        <f t="shared" si="34"/>
        <v>0</v>
      </c>
      <c r="H1037" s="33">
        <f t="shared" si="34"/>
        <v>0</v>
      </c>
      <c r="I1037" s="40">
        <f t="shared" si="33"/>
        <v>2.6246719160104987E-3</v>
      </c>
      <c r="J1037" s="40">
        <f t="shared" si="33"/>
        <v>0</v>
      </c>
      <c r="K1037" s="40">
        <f t="shared" si="33"/>
        <v>0</v>
      </c>
      <c r="L1037" s="40">
        <f>1000*M1037/VLOOKUP(D1037,'Normalised Rates'!$A$7:$B$12,2,FALSE)</f>
        <v>2.6246719160104987E-3</v>
      </c>
      <c r="M1037" s="34">
        <v>6</v>
      </c>
    </row>
    <row r="1038" spans="1:13" ht="15" customHeight="1" x14ac:dyDescent="0.25">
      <c r="A1038" s="30" t="s">
        <v>150</v>
      </c>
      <c r="B1038" s="30" t="s">
        <v>102</v>
      </c>
      <c r="C1038" s="9" t="s">
        <v>84</v>
      </c>
      <c r="D1038" s="32">
        <v>2024</v>
      </c>
      <c r="E1038" s="35" t="s">
        <v>163</v>
      </c>
      <c r="F1038" s="33">
        <f t="shared" si="34"/>
        <v>1</v>
      </c>
      <c r="G1038" s="33">
        <f t="shared" si="34"/>
        <v>0</v>
      </c>
      <c r="H1038" s="33">
        <f t="shared" si="34"/>
        <v>0</v>
      </c>
      <c r="I1038" s="40">
        <f t="shared" si="33"/>
        <v>3.7271710771524412E-4</v>
      </c>
      <c r="J1038" s="40">
        <f t="shared" si="33"/>
        <v>0</v>
      </c>
      <c r="K1038" s="40">
        <f t="shared" si="33"/>
        <v>0</v>
      </c>
      <c r="L1038" s="40">
        <f>1000*M1038/VLOOKUP(D1038,'Normalised Rates'!$A$7:$B$12,2,FALSE)</f>
        <v>3.7271710771524412E-4</v>
      </c>
      <c r="M1038" s="34">
        <v>1</v>
      </c>
    </row>
    <row r="1039" spans="1:13" ht="15" customHeight="1" x14ac:dyDescent="0.25">
      <c r="A1039" s="30" t="s">
        <v>150</v>
      </c>
      <c r="B1039" s="30" t="s">
        <v>102</v>
      </c>
      <c r="C1039" s="9" t="s">
        <v>84</v>
      </c>
      <c r="D1039" s="32">
        <v>2025</v>
      </c>
      <c r="E1039" s="35" t="s">
        <v>163</v>
      </c>
      <c r="F1039" s="33">
        <f t="shared" si="34"/>
        <v>6</v>
      </c>
      <c r="G1039" s="33">
        <f t="shared" si="34"/>
        <v>0</v>
      </c>
      <c r="H1039" s="33">
        <f t="shared" si="34"/>
        <v>0</v>
      </c>
      <c r="I1039" s="40">
        <f t="shared" si="33"/>
        <v>1.9029495718363464E-3</v>
      </c>
      <c r="J1039" s="40">
        <f t="shared" si="33"/>
        <v>0</v>
      </c>
      <c r="K1039" s="40">
        <f t="shared" si="33"/>
        <v>0</v>
      </c>
      <c r="L1039" s="40">
        <f>1000*M1039/VLOOKUP(D1039,'Normalised Rates'!$A$7:$B$12,2,FALSE)</f>
        <v>1.9029495718363464E-3</v>
      </c>
      <c r="M1039" s="34">
        <v>6</v>
      </c>
    </row>
    <row r="1040" spans="1:13" ht="15" customHeight="1" x14ac:dyDescent="0.25">
      <c r="A1040" s="30" t="s">
        <v>150</v>
      </c>
      <c r="B1040" s="30" t="s">
        <v>102</v>
      </c>
      <c r="C1040" s="9" t="s">
        <v>84</v>
      </c>
      <c r="D1040" s="32">
        <v>2026</v>
      </c>
      <c r="E1040" s="35" t="s">
        <v>163</v>
      </c>
      <c r="F1040" s="33">
        <f t="shared" si="34"/>
        <v>3</v>
      </c>
      <c r="G1040" s="33">
        <f t="shared" si="34"/>
        <v>0</v>
      </c>
      <c r="H1040" s="33">
        <f t="shared" si="34"/>
        <v>0</v>
      </c>
      <c r="I1040" s="40">
        <f t="shared" si="33"/>
        <v>2.2835394862036158E-3</v>
      </c>
      <c r="J1040" s="40">
        <f t="shared" si="33"/>
        <v>0</v>
      </c>
      <c r="K1040" s="40">
        <f t="shared" si="33"/>
        <v>0</v>
      </c>
      <c r="L1040" s="40">
        <f>1000*M1040/VLOOKUP(D1040,'Normalised Rates'!$A$7:$B$12,2,FALSE)</f>
        <v>2.2835394862036158E-3</v>
      </c>
      <c r="M1040" s="34">
        <v>3</v>
      </c>
    </row>
    <row r="1041" spans="1:13" ht="15" customHeight="1" x14ac:dyDescent="0.25">
      <c r="A1041" s="30" t="s">
        <v>150</v>
      </c>
      <c r="B1041" s="30" t="s">
        <v>107</v>
      </c>
      <c r="C1041" s="9" t="s">
        <v>67</v>
      </c>
      <c r="D1041" s="32">
        <v>2022</v>
      </c>
      <c r="E1041" s="35" t="s">
        <v>163</v>
      </c>
      <c r="F1041" s="33">
        <f t="shared" si="34"/>
        <v>2</v>
      </c>
      <c r="G1041" s="33">
        <f t="shared" si="34"/>
        <v>0</v>
      </c>
      <c r="H1041" s="33">
        <f t="shared" si="34"/>
        <v>0</v>
      </c>
      <c r="I1041" s="40">
        <f t="shared" si="33"/>
        <v>1.0666666666666667E-3</v>
      </c>
      <c r="J1041" s="40">
        <f t="shared" si="33"/>
        <v>0</v>
      </c>
      <c r="K1041" s="40">
        <f t="shared" si="33"/>
        <v>0</v>
      </c>
      <c r="L1041" s="40">
        <f>1000*M1041/VLOOKUP(D1041,'Normalised Rates'!$A$7:$B$12,2,FALSE)</f>
        <v>1.0666666666666667E-3</v>
      </c>
      <c r="M1041" s="34">
        <v>2</v>
      </c>
    </row>
    <row r="1042" spans="1:13" ht="15" customHeight="1" x14ac:dyDescent="0.25">
      <c r="A1042" s="30" t="s">
        <v>150</v>
      </c>
      <c r="B1042" s="30" t="s">
        <v>107</v>
      </c>
      <c r="C1042" s="9" t="s">
        <v>67</v>
      </c>
      <c r="D1042" s="32">
        <v>2023</v>
      </c>
      <c r="E1042" s="35" t="s">
        <v>163</v>
      </c>
      <c r="F1042" s="33">
        <f t="shared" si="34"/>
        <v>4</v>
      </c>
      <c r="G1042" s="33">
        <f t="shared" si="34"/>
        <v>0</v>
      </c>
      <c r="H1042" s="33">
        <f t="shared" si="34"/>
        <v>0</v>
      </c>
      <c r="I1042" s="40">
        <f t="shared" si="33"/>
        <v>1.7497812773403325E-3</v>
      </c>
      <c r="J1042" s="40">
        <f t="shared" si="33"/>
        <v>0</v>
      </c>
      <c r="K1042" s="40">
        <f t="shared" si="33"/>
        <v>0</v>
      </c>
      <c r="L1042" s="40">
        <f>1000*M1042/VLOOKUP(D1042,'Normalised Rates'!$A$7:$B$12,2,FALSE)</f>
        <v>1.7497812773403325E-3</v>
      </c>
      <c r="M1042" s="34">
        <v>4</v>
      </c>
    </row>
    <row r="1043" spans="1:13" ht="15" customHeight="1" x14ac:dyDescent="0.25">
      <c r="A1043" s="30" t="s">
        <v>150</v>
      </c>
      <c r="B1043" s="30" t="s">
        <v>107</v>
      </c>
      <c r="C1043" s="9" t="s">
        <v>67</v>
      </c>
      <c r="D1043" s="32">
        <v>2024</v>
      </c>
      <c r="E1043" s="35" t="s">
        <v>163</v>
      </c>
      <c r="F1043" s="33">
        <f t="shared" si="34"/>
        <v>1</v>
      </c>
      <c r="G1043" s="33">
        <f t="shared" si="34"/>
        <v>0</v>
      </c>
      <c r="H1043" s="33">
        <f t="shared" si="34"/>
        <v>0</v>
      </c>
      <c r="I1043" s="40">
        <f t="shared" si="33"/>
        <v>3.7271710771524412E-4</v>
      </c>
      <c r="J1043" s="40">
        <f t="shared" si="33"/>
        <v>0</v>
      </c>
      <c r="K1043" s="40">
        <f t="shared" si="33"/>
        <v>0</v>
      </c>
      <c r="L1043" s="40">
        <f>1000*M1043/VLOOKUP(D1043,'Normalised Rates'!$A$7:$B$12,2,FALSE)</f>
        <v>3.7271710771524412E-4</v>
      </c>
      <c r="M1043" s="34">
        <v>1</v>
      </c>
    </row>
    <row r="1044" spans="1:13" ht="15" customHeight="1" x14ac:dyDescent="0.25">
      <c r="A1044" s="30" t="s">
        <v>150</v>
      </c>
      <c r="B1044" s="30" t="s">
        <v>107</v>
      </c>
      <c r="C1044" s="9" t="s">
        <v>67</v>
      </c>
      <c r="D1044" s="32">
        <v>2025</v>
      </c>
      <c r="E1044" s="35" t="s">
        <v>163</v>
      </c>
      <c r="F1044" s="33">
        <f t="shared" si="34"/>
        <v>6</v>
      </c>
      <c r="G1044" s="33">
        <f t="shared" si="34"/>
        <v>0</v>
      </c>
      <c r="H1044" s="33">
        <f t="shared" si="34"/>
        <v>0</v>
      </c>
      <c r="I1044" s="40">
        <f t="shared" si="33"/>
        <v>1.9029495718363464E-3</v>
      </c>
      <c r="J1044" s="40">
        <f t="shared" si="33"/>
        <v>0</v>
      </c>
      <c r="K1044" s="40">
        <f t="shared" si="33"/>
        <v>0</v>
      </c>
      <c r="L1044" s="40">
        <f>1000*M1044/VLOOKUP(D1044,'Normalised Rates'!$A$7:$B$12,2,FALSE)</f>
        <v>1.9029495718363464E-3</v>
      </c>
      <c r="M1044" s="34">
        <v>6</v>
      </c>
    </row>
    <row r="1045" spans="1:13" ht="15" customHeight="1" x14ac:dyDescent="0.25">
      <c r="A1045" s="30" t="s">
        <v>150</v>
      </c>
      <c r="B1045" s="30" t="s">
        <v>107</v>
      </c>
      <c r="C1045" s="9" t="s">
        <v>67</v>
      </c>
      <c r="D1045" s="32">
        <v>2026</v>
      </c>
      <c r="E1045" s="35" t="s">
        <v>163</v>
      </c>
      <c r="F1045" s="33">
        <f t="shared" si="34"/>
        <v>2</v>
      </c>
      <c r="G1045" s="33">
        <f t="shared" si="34"/>
        <v>0</v>
      </c>
      <c r="H1045" s="33">
        <f t="shared" si="34"/>
        <v>0</v>
      </c>
      <c r="I1045" s="40">
        <f t="shared" si="33"/>
        <v>1.522359657469077E-3</v>
      </c>
      <c r="J1045" s="40">
        <f t="shared" si="33"/>
        <v>0</v>
      </c>
      <c r="K1045" s="40">
        <f t="shared" si="33"/>
        <v>0</v>
      </c>
      <c r="L1045" s="40">
        <f>1000*M1045/VLOOKUP(D1045,'Normalised Rates'!$A$7:$B$12,2,FALSE)</f>
        <v>1.522359657469077E-3</v>
      </c>
      <c r="M1045" s="34">
        <v>2</v>
      </c>
    </row>
    <row r="1046" spans="1:13" ht="15" customHeight="1" x14ac:dyDescent="0.25">
      <c r="A1046" s="30" t="s">
        <v>150</v>
      </c>
      <c r="B1046" s="30" t="s">
        <v>96</v>
      </c>
      <c r="C1046" s="9" t="s">
        <v>67</v>
      </c>
      <c r="D1046" s="32">
        <v>2023</v>
      </c>
      <c r="E1046" s="33" t="s">
        <v>34</v>
      </c>
      <c r="F1046" s="33">
        <f t="shared" si="34"/>
        <v>0</v>
      </c>
      <c r="G1046" s="33">
        <f t="shared" si="34"/>
        <v>0</v>
      </c>
      <c r="H1046" s="33">
        <f t="shared" si="34"/>
        <v>1</v>
      </c>
      <c r="I1046" s="40">
        <f t="shared" si="33"/>
        <v>0</v>
      </c>
      <c r="J1046" s="40">
        <f t="shared" si="33"/>
        <v>0</v>
      </c>
      <c r="K1046" s="40">
        <f t="shared" si="33"/>
        <v>4.3744531933508313E-4</v>
      </c>
      <c r="L1046" s="40">
        <f>1000*M1046/VLOOKUP(D1046,'Normalised Rates'!$A$7:$B$12,2,FALSE)</f>
        <v>4.3744531933508313E-4</v>
      </c>
      <c r="M1046" s="34">
        <v>1</v>
      </c>
    </row>
    <row r="1047" spans="1:13" ht="15" customHeight="1" x14ac:dyDescent="0.25">
      <c r="A1047" s="30" t="s">
        <v>150</v>
      </c>
      <c r="B1047" s="30" t="s">
        <v>96</v>
      </c>
      <c r="C1047" s="9" t="s">
        <v>67</v>
      </c>
      <c r="D1047" s="32">
        <v>2024</v>
      </c>
      <c r="E1047" s="36" t="s">
        <v>35</v>
      </c>
      <c r="F1047" s="33">
        <f t="shared" si="34"/>
        <v>0</v>
      </c>
      <c r="G1047" s="33">
        <f t="shared" si="34"/>
        <v>1</v>
      </c>
      <c r="H1047" s="33">
        <f t="shared" si="34"/>
        <v>0</v>
      </c>
      <c r="I1047" s="40">
        <f t="shared" si="33"/>
        <v>0</v>
      </c>
      <c r="J1047" s="40">
        <f t="shared" si="33"/>
        <v>3.7271710771524412E-4</v>
      </c>
      <c r="K1047" s="40">
        <f t="shared" si="33"/>
        <v>0</v>
      </c>
      <c r="L1047" s="40">
        <f>1000*M1047/VLOOKUP(D1047,'Normalised Rates'!$A$7:$B$12,2,FALSE)</f>
        <v>3.7271710771524412E-4</v>
      </c>
      <c r="M1047" s="34">
        <v>1</v>
      </c>
    </row>
    <row r="1048" spans="1:13" ht="15" customHeight="1" x14ac:dyDescent="0.25">
      <c r="A1048" s="30" t="s">
        <v>150</v>
      </c>
      <c r="B1048" s="30" t="s">
        <v>96</v>
      </c>
      <c r="C1048" s="9" t="s">
        <v>67</v>
      </c>
      <c r="D1048" s="32">
        <v>2024</v>
      </c>
      <c r="E1048" s="35" t="s">
        <v>163</v>
      </c>
      <c r="F1048" s="33">
        <f t="shared" si="34"/>
        <v>1</v>
      </c>
      <c r="G1048" s="33">
        <f t="shared" si="34"/>
        <v>0</v>
      </c>
      <c r="H1048" s="33">
        <f t="shared" si="34"/>
        <v>0</v>
      </c>
      <c r="I1048" s="40">
        <f t="shared" si="33"/>
        <v>3.7271710771524412E-4</v>
      </c>
      <c r="J1048" s="40">
        <f t="shared" si="33"/>
        <v>0</v>
      </c>
      <c r="K1048" s="40">
        <f t="shared" si="33"/>
        <v>0</v>
      </c>
      <c r="L1048" s="40">
        <f>1000*M1048/VLOOKUP(D1048,'Normalised Rates'!$A$7:$B$12,2,FALSE)</f>
        <v>3.7271710771524412E-4</v>
      </c>
      <c r="M1048" s="34">
        <v>1</v>
      </c>
    </row>
    <row r="1049" spans="1:13" ht="15" customHeight="1" x14ac:dyDescent="0.25">
      <c r="A1049" s="30" t="s">
        <v>150</v>
      </c>
      <c r="B1049" s="30" t="s">
        <v>96</v>
      </c>
      <c r="C1049" s="9" t="s">
        <v>67</v>
      </c>
      <c r="D1049" s="32">
        <v>2025</v>
      </c>
      <c r="E1049" s="35" t="s">
        <v>163</v>
      </c>
      <c r="F1049" s="33">
        <f t="shared" si="34"/>
        <v>9</v>
      </c>
      <c r="G1049" s="33">
        <f t="shared" si="34"/>
        <v>0</v>
      </c>
      <c r="H1049" s="33">
        <f t="shared" si="34"/>
        <v>0</v>
      </c>
      <c r="I1049" s="40">
        <f t="shared" si="33"/>
        <v>2.8544243577545195E-3</v>
      </c>
      <c r="J1049" s="40">
        <f t="shared" si="33"/>
        <v>0</v>
      </c>
      <c r="K1049" s="40">
        <f t="shared" si="33"/>
        <v>0</v>
      </c>
      <c r="L1049" s="40">
        <f>1000*M1049/VLOOKUP(D1049,'Normalised Rates'!$A$7:$B$12,2,FALSE)</f>
        <v>2.8544243577545195E-3</v>
      </c>
      <c r="M1049" s="34">
        <v>9</v>
      </c>
    </row>
    <row r="1050" spans="1:13" ht="15" customHeight="1" x14ac:dyDescent="0.25">
      <c r="A1050" s="30" t="s">
        <v>150</v>
      </c>
      <c r="B1050" s="30" t="s">
        <v>96</v>
      </c>
      <c r="C1050" s="9" t="s">
        <v>67</v>
      </c>
      <c r="D1050" s="32">
        <v>2026</v>
      </c>
      <c r="E1050" s="35" t="s">
        <v>163</v>
      </c>
      <c r="F1050" s="33">
        <f t="shared" si="34"/>
        <v>3</v>
      </c>
      <c r="G1050" s="33">
        <f t="shared" si="34"/>
        <v>0</v>
      </c>
      <c r="H1050" s="33">
        <f t="shared" si="34"/>
        <v>0</v>
      </c>
      <c r="I1050" s="40">
        <f t="shared" si="33"/>
        <v>2.2835394862036158E-3</v>
      </c>
      <c r="J1050" s="40">
        <f t="shared" si="33"/>
        <v>0</v>
      </c>
      <c r="K1050" s="40">
        <f t="shared" si="33"/>
        <v>0</v>
      </c>
      <c r="L1050" s="40">
        <f>1000*M1050/VLOOKUP(D1050,'Normalised Rates'!$A$7:$B$12,2,FALSE)</f>
        <v>2.2835394862036158E-3</v>
      </c>
      <c r="M1050" s="34">
        <v>3</v>
      </c>
    </row>
    <row r="1051" spans="1:13" ht="15" customHeight="1" x14ac:dyDescent="0.25">
      <c r="A1051" s="30" t="s">
        <v>150</v>
      </c>
      <c r="B1051" s="30" t="s">
        <v>71</v>
      </c>
      <c r="C1051" s="9" t="s">
        <v>64</v>
      </c>
      <c r="D1051" s="32">
        <v>2022</v>
      </c>
      <c r="E1051" s="33" t="s">
        <v>34</v>
      </c>
      <c r="F1051" s="33">
        <f t="shared" si="34"/>
        <v>0</v>
      </c>
      <c r="G1051" s="33">
        <f t="shared" si="34"/>
        <v>0</v>
      </c>
      <c r="H1051" s="33">
        <f t="shared" si="34"/>
        <v>1</v>
      </c>
      <c r="I1051" s="40">
        <f t="shared" si="33"/>
        <v>0</v>
      </c>
      <c r="J1051" s="40">
        <f t="shared" si="33"/>
        <v>0</v>
      </c>
      <c r="K1051" s="40">
        <f t="shared" si="33"/>
        <v>5.3333333333333336E-4</v>
      </c>
      <c r="L1051" s="40">
        <f>1000*M1051/VLOOKUP(D1051,'Normalised Rates'!$A$7:$B$12,2,FALSE)</f>
        <v>5.3333333333333336E-4</v>
      </c>
      <c r="M1051" s="34">
        <v>1</v>
      </c>
    </row>
    <row r="1052" spans="1:13" ht="15" customHeight="1" x14ac:dyDescent="0.25">
      <c r="A1052" s="30" t="s">
        <v>150</v>
      </c>
      <c r="B1052" s="30" t="s">
        <v>71</v>
      </c>
      <c r="C1052" s="9" t="s">
        <v>64</v>
      </c>
      <c r="D1052" s="32">
        <v>2022</v>
      </c>
      <c r="E1052" s="35" t="s">
        <v>163</v>
      </c>
      <c r="F1052" s="33">
        <f t="shared" si="34"/>
        <v>2</v>
      </c>
      <c r="G1052" s="33">
        <f t="shared" si="34"/>
        <v>0</v>
      </c>
      <c r="H1052" s="33">
        <f t="shared" si="34"/>
        <v>0</v>
      </c>
      <c r="I1052" s="40">
        <f t="shared" si="33"/>
        <v>1.0666666666666667E-3</v>
      </c>
      <c r="J1052" s="40">
        <f t="shared" si="33"/>
        <v>0</v>
      </c>
      <c r="K1052" s="40">
        <f t="shared" si="33"/>
        <v>0</v>
      </c>
      <c r="L1052" s="40">
        <f>1000*M1052/VLOOKUP(D1052,'Normalised Rates'!$A$7:$B$12,2,FALSE)</f>
        <v>1.0666666666666667E-3</v>
      </c>
      <c r="M1052" s="34">
        <v>2</v>
      </c>
    </row>
    <row r="1053" spans="1:13" ht="15" customHeight="1" x14ac:dyDescent="0.25">
      <c r="A1053" s="30" t="s">
        <v>150</v>
      </c>
      <c r="B1053" s="30" t="s">
        <v>71</v>
      </c>
      <c r="C1053" s="9" t="s">
        <v>64</v>
      </c>
      <c r="D1053" s="32">
        <v>2023</v>
      </c>
      <c r="E1053" s="35" t="s">
        <v>163</v>
      </c>
      <c r="F1053" s="33">
        <f t="shared" si="34"/>
        <v>5</v>
      </c>
      <c r="G1053" s="33">
        <f t="shared" si="34"/>
        <v>0</v>
      </c>
      <c r="H1053" s="33">
        <f t="shared" si="34"/>
        <v>0</v>
      </c>
      <c r="I1053" s="40">
        <f t="shared" si="33"/>
        <v>2.1872265966754157E-3</v>
      </c>
      <c r="J1053" s="40">
        <f t="shared" si="33"/>
        <v>0</v>
      </c>
      <c r="K1053" s="40">
        <f t="shared" si="33"/>
        <v>0</v>
      </c>
      <c r="L1053" s="40">
        <f>1000*M1053/VLOOKUP(D1053,'Normalised Rates'!$A$7:$B$12,2,FALSE)</f>
        <v>2.1872265966754157E-3</v>
      </c>
      <c r="M1053" s="34">
        <v>5</v>
      </c>
    </row>
    <row r="1054" spans="1:13" ht="15" customHeight="1" x14ac:dyDescent="0.25">
      <c r="A1054" s="30" t="s">
        <v>150</v>
      </c>
      <c r="B1054" s="30" t="s">
        <v>71</v>
      </c>
      <c r="C1054" s="9" t="s">
        <v>64</v>
      </c>
      <c r="D1054" s="32">
        <v>2024</v>
      </c>
      <c r="E1054" s="33" t="s">
        <v>34</v>
      </c>
      <c r="F1054" s="33">
        <f t="shared" si="34"/>
        <v>0</v>
      </c>
      <c r="G1054" s="33">
        <f t="shared" si="34"/>
        <v>0</v>
      </c>
      <c r="H1054" s="33">
        <f t="shared" si="34"/>
        <v>1</v>
      </c>
      <c r="I1054" s="40">
        <f t="shared" si="33"/>
        <v>0</v>
      </c>
      <c r="J1054" s="40">
        <f t="shared" si="33"/>
        <v>0</v>
      </c>
      <c r="K1054" s="40">
        <f t="shared" si="33"/>
        <v>3.7271710771524412E-4</v>
      </c>
      <c r="L1054" s="40">
        <f>1000*M1054/VLOOKUP(D1054,'Normalised Rates'!$A$7:$B$12,2,FALSE)</f>
        <v>3.7271710771524412E-4</v>
      </c>
      <c r="M1054" s="34">
        <v>1</v>
      </c>
    </row>
    <row r="1055" spans="1:13" ht="15" customHeight="1" x14ac:dyDescent="0.25">
      <c r="A1055" s="30" t="s">
        <v>150</v>
      </c>
      <c r="B1055" s="30" t="s">
        <v>71</v>
      </c>
      <c r="C1055" s="9" t="s">
        <v>64</v>
      </c>
      <c r="D1055" s="32">
        <v>2025</v>
      </c>
      <c r="E1055" s="33" t="s">
        <v>34</v>
      </c>
      <c r="F1055" s="33">
        <f t="shared" si="34"/>
        <v>0</v>
      </c>
      <c r="G1055" s="33">
        <f t="shared" si="34"/>
        <v>0</v>
      </c>
      <c r="H1055" s="33">
        <f t="shared" si="34"/>
        <v>2</v>
      </c>
      <c r="I1055" s="40">
        <f t="shared" si="33"/>
        <v>0</v>
      </c>
      <c r="J1055" s="40">
        <f t="shared" si="33"/>
        <v>0</v>
      </c>
      <c r="K1055" s="40">
        <f t="shared" si="33"/>
        <v>6.3431652394544877E-4</v>
      </c>
      <c r="L1055" s="40">
        <f>1000*M1055/VLOOKUP(D1055,'Normalised Rates'!$A$7:$B$12,2,FALSE)</f>
        <v>6.3431652394544877E-4</v>
      </c>
      <c r="M1055" s="34">
        <v>2</v>
      </c>
    </row>
    <row r="1056" spans="1:13" ht="15" customHeight="1" x14ac:dyDescent="0.25">
      <c r="A1056" s="30" t="s">
        <v>150</v>
      </c>
      <c r="B1056" s="30" t="s">
        <v>71</v>
      </c>
      <c r="C1056" s="9" t="s">
        <v>64</v>
      </c>
      <c r="D1056" s="32">
        <v>2026</v>
      </c>
      <c r="E1056" s="35" t="s">
        <v>163</v>
      </c>
      <c r="F1056" s="33">
        <f t="shared" si="34"/>
        <v>2</v>
      </c>
      <c r="G1056" s="33">
        <f t="shared" si="34"/>
        <v>0</v>
      </c>
      <c r="H1056" s="33">
        <f t="shared" si="34"/>
        <v>0</v>
      </c>
      <c r="I1056" s="40">
        <f t="shared" si="33"/>
        <v>1.522359657469077E-3</v>
      </c>
      <c r="J1056" s="40">
        <f t="shared" si="33"/>
        <v>0</v>
      </c>
      <c r="K1056" s="40">
        <f t="shared" si="33"/>
        <v>0</v>
      </c>
      <c r="L1056" s="40">
        <f>1000*M1056/VLOOKUP(D1056,'Normalised Rates'!$A$7:$B$12,2,FALSE)</f>
        <v>1.522359657469077E-3</v>
      </c>
      <c r="M1056" s="34">
        <v>2</v>
      </c>
    </row>
    <row r="1057" spans="1:13" ht="15" customHeight="1" x14ac:dyDescent="0.25">
      <c r="A1057" s="30" t="s">
        <v>150</v>
      </c>
      <c r="B1057" s="30" t="s">
        <v>109</v>
      </c>
      <c r="C1057" s="9" t="s">
        <v>67</v>
      </c>
      <c r="D1057" s="32">
        <v>2022</v>
      </c>
      <c r="E1057" s="35" t="s">
        <v>163</v>
      </c>
      <c r="F1057" s="33">
        <f t="shared" si="34"/>
        <v>1</v>
      </c>
      <c r="G1057" s="33">
        <f t="shared" si="34"/>
        <v>0</v>
      </c>
      <c r="H1057" s="33">
        <f t="shared" si="34"/>
        <v>0</v>
      </c>
      <c r="I1057" s="40">
        <f t="shared" si="33"/>
        <v>5.3333333333333336E-4</v>
      </c>
      <c r="J1057" s="40">
        <f t="shared" si="33"/>
        <v>0</v>
      </c>
      <c r="K1057" s="40">
        <f t="shared" si="33"/>
        <v>0</v>
      </c>
      <c r="L1057" s="40">
        <f>1000*M1057/VLOOKUP(D1057,'Normalised Rates'!$A$7:$B$12,2,FALSE)</f>
        <v>5.3333333333333336E-4</v>
      </c>
      <c r="M1057" s="34">
        <v>1</v>
      </c>
    </row>
    <row r="1058" spans="1:13" ht="15" customHeight="1" x14ac:dyDescent="0.25">
      <c r="A1058" s="30" t="s">
        <v>150</v>
      </c>
      <c r="B1058" s="30" t="s">
        <v>109</v>
      </c>
      <c r="C1058" s="9" t="s">
        <v>67</v>
      </c>
      <c r="D1058" s="32">
        <v>2023</v>
      </c>
      <c r="E1058" s="35" t="s">
        <v>163</v>
      </c>
      <c r="F1058" s="33">
        <f t="shared" si="34"/>
        <v>1</v>
      </c>
      <c r="G1058" s="33">
        <f t="shared" si="34"/>
        <v>0</v>
      </c>
      <c r="H1058" s="33">
        <f t="shared" si="34"/>
        <v>0</v>
      </c>
      <c r="I1058" s="40">
        <f t="shared" si="33"/>
        <v>4.3744531933508313E-4</v>
      </c>
      <c r="J1058" s="40">
        <f t="shared" si="33"/>
        <v>0</v>
      </c>
      <c r="K1058" s="40">
        <f t="shared" si="33"/>
        <v>0</v>
      </c>
      <c r="L1058" s="40">
        <f>1000*M1058/VLOOKUP(D1058,'Normalised Rates'!$A$7:$B$12,2,FALSE)</f>
        <v>4.3744531933508313E-4</v>
      </c>
      <c r="M1058" s="34">
        <v>1</v>
      </c>
    </row>
    <row r="1059" spans="1:13" ht="15" customHeight="1" x14ac:dyDescent="0.25">
      <c r="A1059" s="30" t="s">
        <v>150</v>
      </c>
      <c r="B1059" s="30" t="s">
        <v>109</v>
      </c>
      <c r="C1059" s="9" t="s">
        <v>67</v>
      </c>
      <c r="D1059" s="32">
        <v>2024</v>
      </c>
      <c r="E1059" s="35" t="s">
        <v>163</v>
      </c>
      <c r="F1059" s="33">
        <f t="shared" si="34"/>
        <v>3</v>
      </c>
      <c r="G1059" s="33">
        <f t="shared" si="34"/>
        <v>0</v>
      </c>
      <c r="H1059" s="33">
        <f t="shared" si="34"/>
        <v>0</v>
      </c>
      <c r="I1059" s="40">
        <f t="shared" si="33"/>
        <v>1.1181513231457323E-3</v>
      </c>
      <c r="J1059" s="40">
        <f t="shared" si="33"/>
        <v>0</v>
      </c>
      <c r="K1059" s="40">
        <f t="shared" si="33"/>
        <v>0</v>
      </c>
      <c r="L1059" s="40">
        <f>1000*M1059/VLOOKUP(D1059,'Normalised Rates'!$A$7:$B$12,2,FALSE)</f>
        <v>1.1181513231457323E-3</v>
      </c>
      <c r="M1059" s="34">
        <v>3</v>
      </c>
    </row>
    <row r="1060" spans="1:13" ht="15" customHeight="1" x14ac:dyDescent="0.25">
      <c r="A1060" s="30" t="s">
        <v>150</v>
      </c>
      <c r="B1060" s="30" t="s">
        <v>109</v>
      </c>
      <c r="C1060" s="9" t="s">
        <v>67</v>
      </c>
      <c r="D1060" s="32">
        <v>2025</v>
      </c>
      <c r="E1060" s="35" t="s">
        <v>163</v>
      </c>
      <c r="F1060" s="33">
        <f t="shared" si="34"/>
        <v>4</v>
      </c>
      <c r="G1060" s="33">
        <f t="shared" si="34"/>
        <v>0</v>
      </c>
      <c r="H1060" s="33">
        <f t="shared" si="34"/>
        <v>0</v>
      </c>
      <c r="I1060" s="40">
        <f t="shared" si="33"/>
        <v>1.2686330478908975E-3</v>
      </c>
      <c r="J1060" s="40">
        <f t="shared" si="33"/>
        <v>0</v>
      </c>
      <c r="K1060" s="40">
        <f t="shared" si="33"/>
        <v>0</v>
      </c>
      <c r="L1060" s="40">
        <f>1000*M1060/VLOOKUP(D1060,'Normalised Rates'!$A$7:$B$12,2,FALSE)</f>
        <v>1.2686330478908975E-3</v>
      </c>
      <c r="M1060" s="34">
        <v>4</v>
      </c>
    </row>
    <row r="1061" spans="1:13" ht="15" customHeight="1" x14ac:dyDescent="0.25">
      <c r="A1061" s="30" t="s">
        <v>150</v>
      </c>
      <c r="B1061" s="30" t="s">
        <v>109</v>
      </c>
      <c r="C1061" s="9" t="s">
        <v>67</v>
      </c>
      <c r="D1061" s="32">
        <v>2026</v>
      </c>
      <c r="E1061" s="33" t="s">
        <v>34</v>
      </c>
      <c r="F1061" s="33">
        <f t="shared" si="34"/>
        <v>0</v>
      </c>
      <c r="G1061" s="33">
        <f t="shared" si="34"/>
        <v>0</v>
      </c>
      <c r="H1061" s="33">
        <f t="shared" si="34"/>
        <v>1</v>
      </c>
      <c r="I1061" s="40">
        <f t="shared" si="33"/>
        <v>0</v>
      </c>
      <c r="J1061" s="40">
        <f t="shared" si="33"/>
        <v>0</v>
      </c>
      <c r="K1061" s="40">
        <f t="shared" si="33"/>
        <v>7.6117982873453852E-4</v>
      </c>
      <c r="L1061" s="40">
        <f>1000*M1061/VLOOKUP(D1061,'Normalised Rates'!$A$7:$B$12,2,FALSE)</f>
        <v>7.6117982873453852E-4</v>
      </c>
      <c r="M1061" s="34">
        <v>1</v>
      </c>
    </row>
    <row r="1062" spans="1:13" ht="15" customHeight="1" x14ac:dyDescent="0.25">
      <c r="A1062" s="30" t="s">
        <v>150</v>
      </c>
      <c r="B1062" s="30" t="s">
        <v>109</v>
      </c>
      <c r="C1062" s="9" t="s">
        <v>67</v>
      </c>
      <c r="D1062" s="32">
        <v>2026</v>
      </c>
      <c r="E1062" s="35" t="s">
        <v>163</v>
      </c>
      <c r="F1062" s="33">
        <f t="shared" si="34"/>
        <v>2</v>
      </c>
      <c r="G1062" s="33">
        <f t="shared" si="34"/>
        <v>0</v>
      </c>
      <c r="H1062" s="33">
        <f t="shared" si="34"/>
        <v>0</v>
      </c>
      <c r="I1062" s="40">
        <f t="shared" si="33"/>
        <v>1.522359657469077E-3</v>
      </c>
      <c r="J1062" s="40">
        <f t="shared" si="33"/>
        <v>0</v>
      </c>
      <c r="K1062" s="40">
        <f t="shared" si="33"/>
        <v>0</v>
      </c>
      <c r="L1062" s="40">
        <f>1000*M1062/VLOOKUP(D1062,'Normalised Rates'!$A$7:$B$12,2,FALSE)</f>
        <v>1.522359657469077E-3</v>
      </c>
      <c r="M1062" s="34">
        <v>2</v>
      </c>
    </row>
    <row r="1063" spans="1:13" ht="15" customHeight="1" x14ac:dyDescent="0.25">
      <c r="A1063" s="30" t="s">
        <v>150</v>
      </c>
      <c r="B1063" s="30" t="s">
        <v>125</v>
      </c>
      <c r="C1063" s="9" t="s">
        <v>67</v>
      </c>
      <c r="D1063" s="32">
        <v>2022</v>
      </c>
      <c r="E1063" s="35" t="s">
        <v>163</v>
      </c>
      <c r="F1063" s="33">
        <f t="shared" si="34"/>
        <v>2</v>
      </c>
      <c r="G1063" s="33">
        <f t="shared" si="34"/>
        <v>0</v>
      </c>
      <c r="H1063" s="33">
        <f t="shared" si="34"/>
        <v>0</v>
      </c>
      <c r="I1063" s="40">
        <f t="shared" si="33"/>
        <v>1.0666666666666667E-3</v>
      </c>
      <c r="J1063" s="40">
        <f t="shared" si="33"/>
        <v>0</v>
      </c>
      <c r="K1063" s="40">
        <f t="shared" si="33"/>
        <v>0</v>
      </c>
      <c r="L1063" s="40">
        <f>1000*M1063/VLOOKUP(D1063,'Normalised Rates'!$A$7:$B$12,2,FALSE)</f>
        <v>1.0666666666666667E-3</v>
      </c>
      <c r="M1063" s="34">
        <v>2</v>
      </c>
    </row>
    <row r="1064" spans="1:13" ht="15" customHeight="1" x14ac:dyDescent="0.25">
      <c r="A1064" s="30" t="s">
        <v>150</v>
      </c>
      <c r="B1064" s="30" t="s">
        <v>125</v>
      </c>
      <c r="C1064" s="9" t="s">
        <v>67</v>
      </c>
      <c r="D1064" s="32">
        <v>2023</v>
      </c>
      <c r="E1064" s="35" t="s">
        <v>163</v>
      </c>
      <c r="F1064" s="33">
        <f t="shared" si="34"/>
        <v>1</v>
      </c>
      <c r="G1064" s="33">
        <f t="shared" si="34"/>
        <v>0</v>
      </c>
      <c r="H1064" s="33">
        <f t="shared" si="34"/>
        <v>0</v>
      </c>
      <c r="I1064" s="40">
        <f t="shared" si="33"/>
        <v>4.3744531933508313E-4</v>
      </c>
      <c r="J1064" s="40">
        <f t="shared" si="33"/>
        <v>0</v>
      </c>
      <c r="K1064" s="40">
        <f t="shared" si="33"/>
        <v>0</v>
      </c>
      <c r="L1064" s="40">
        <f>1000*M1064/VLOOKUP(D1064,'Normalised Rates'!$A$7:$B$12,2,FALSE)</f>
        <v>4.3744531933508313E-4</v>
      </c>
      <c r="M1064" s="34">
        <v>1</v>
      </c>
    </row>
    <row r="1065" spans="1:13" ht="15" customHeight="1" x14ac:dyDescent="0.25">
      <c r="A1065" s="30" t="s">
        <v>150</v>
      </c>
      <c r="B1065" s="30" t="s">
        <v>125</v>
      </c>
      <c r="C1065" s="9" t="s">
        <v>67</v>
      </c>
      <c r="D1065" s="32">
        <v>2025</v>
      </c>
      <c r="E1065" s="35" t="s">
        <v>163</v>
      </c>
      <c r="F1065" s="33">
        <f t="shared" si="34"/>
        <v>6</v>
      </c>
      <c r="G1065" s="33">
        <f t="shared" si="34"/>
        <v>0</v>
      </c>
      <c r="H1065" s="33">
        <f t="shared" si="34"/>
        <v>0</v>
      </c>
      <c r="I1065" s="40">
        <f t="shared" si="33"/>
        <v>1.9029495718363464E-3</v>
      </c>
      <c r="J1065" s="40">
        <f t="shared" si="33"/>
        <v>0</v>
      </c>
      <c r="K1065" s="40">
        <f t="shared" si="33"/>
        <v>0</v>
      </c>
      <c r="L1065" s="40">
        <f>1000*M1065/VLOOKUP(D1065,'Normalised Rates'!$A$7:$B$12,2,FALSE)</f>
        <v>1.9029495718363464E-3</v>
      </c>
      <c r="M1065" s="34">
        <v>6</v>
      </c>
    </row>
    <row r="1066" spans="1:13" ht="15" customHeight="1" x14ac:dyDescent="0.25">
      <c r="A1066" s="30" t="s">
        <v>150</v>
      </c>
      <c r="B1066" s="30" t="s">
        <v>125</v>
      </c>
      <c r="C1066" s="9" t="s">
        <v>67</v>
      </c>
      <c r="D1066" s="32">
        <v>2026</v>
      </c>
      <c r="E1066" s="35" t="s">
        <v>163</v>
      </c>
      <c r="F1066" s="33">
        <f t="shared" si="34"/>
        <v>1</v>
      </c>
      <c r="G1066" s="33">
        <f t="shared" si="34"/>
        <v>0</v>
      </c>
      <c r="H1066" s="33">
        <f t="shared" si="34"/>
        <v>0</v>
      </c>
      <c r="I1066" s="40">
        <f t="shared" si="33"/>
        <v>7.6117982873453852E-4</v>
      </c>
      <c r="J1066" s="40">
        <f t="shared" si="33"/>
        <v>0</v>
      </c>
      <c r="K1066" s="40">
        <f t="shared" si="33"/>
        <v>0</v>
      </c>
      <c r="L1066" s="40">
        <f>1000*M1066/VLOOKUP(D1066,'Normalised Rates'!$A$7:$B$12,2,FALSE)</f>
        <v>7.6117982873453852E-4</v>
      </c>
      <c r="M1066" s="34">
        <v>1</v>
      </c>
    </row>
    <row r="1067" spans="1:13" ht="15" customHeight="1" x14ac:dyDescent="0.25">
      <c r="A1067" s="30" t="s">
        <v>150</v>
      </c>
      <c r="B1067" s="30" t="s">
        <v>66</v>
      </c>
      <c r="C1067" s="9" t="s">
        <v>67</v>
      </c>
      <c r="D1067" s="32">
        <v>2022</v>
      </c>
      <c r="E1067" s="33" t="s">
        <v>34</v>
      </c>
      <c r="F1067" s="33">
        <f t="shared" si="34"/>
        <v>0</v>
      </c>
      <c r="G1067" s="33">
        <f t="shared" si="34"/>
        <v>0</v>
      </c>
      <c r="H1067" s="33">
        <f t="shared" si="34"/>
        <v>1</v>
      </c>
      <c r="I1067" s="40">
        <f t="shared" si="33"/>
        <v>0</v>
      </c>
      <c r="J1067" s="40">
        <f t="shared" si="33"/>
        <v>0</v>
      </c>
      <c r="K1067" s="40">
        <f t="shared" si="33"/>
        <v>5.3333333333333336E-4</v>
      </c>
      <c r="L1067" s="40">
        <f>1000*M1067/VLOOKUP(D1067,'Normalised Rates'!$A$7:$B$12,2,FALSE)</f>
        <v>5.3333333333333336E-4</v>
      </c>
      <c r="M1067" s="34">
        <v>1</v>
      </c>
    </row>
    <row r="1068" spans="1:13" ht="15" customHeight="1" x14ac:dyDescent="0.25">
      <c r="A1068" s="30" t="s">
        <v>150</v>
      </c>
      <c r="B1068" s="30" t="s">
        <v>66</v>
      </c>
      <c r="C1068" s="9" t="s">
        <v>67</v>
      </c>
      <c r="D1068" s="32">
        <v>2023</v>
      </c>
      <c r="E1068" s="33" t="s">
        <v>34</v>
      </c>
      <c r="F1068" s="33">
        <f t="shared" si="34"/>
        <v>0</v>
      </c>
      <c r="G1068" s="33">
        <f t="shared" si="34"/>
        <v>0</v>
      </c>
      <c r="H1068" s="33">
        <f t="shared" si="34"/>
        <v>2</v>
      </c>
      <c r="I1068" s="40">
        <f t="shared" si="33"/>
        <v>0</v>
      </c>
      <c r="J1068" s="40">
        <f t="shared" si="33"/>
        <v>0</v>
      </c>
      <c r="K1068" s="40">
        <f t="shared" si="33"/>
        <v>8.7489063867016625E-4</v>
      </c>
      <c r="L1068" s="40">
        <f>1000*M1068/VLOOKUP(D1068,'Normalised Rates'!$A$7:$B$12,2,FALSE)</f>
        <v>8.7489063867016625E-4</v>
      </c>
      <c r="M1068" s="34">
        <v>2</v>
      </c>
    </row>
    <row r="1069" spans="1:13" ht="15" customHeight="1" x14ac:dyDescent="0.25">
      <c r="A1069" s="30" t="s">
        <v>150</v>
      </c>
      <c r="B1069" s="30" t="s">
        <v>66</v>
      </c>
      <c r="C1069" s="9" t="s">
        <v>67</v>
      </c>
      <c r="D1069" s="32">
        <v>2023</v>
      </c>
      <c r="E1069" s="35" t="s">
        <v>163</v>
      </c>
      <c r="F1069" s="33">
        <f t="shared" si="34"/>
        <v>7</v>
      </c>
      <c r="G1069" s="33">
        <f t="shared" si="34"/>
        <v>0</v>
      </c>
      <c r="H1069" s="33">
        <f t="shared" si="34"/>
        <v>0</v>
      </c>
      <c r="I1069" s="40">
        <f t="shared" si="33"/>
        <v>3.0621172353455816E-3</v>
      </c>
      <c r="J1069" s="40">
        <f t="shared" si="33"/>
        <v>0</v>
      </c>
      <c r="K1069" s="40">
        <f t="shared" si="33"/>
        <v>0</v>
      </c>
      <c r="L1069" s="40">
        <f>1000*M1069/VLOOKUP(D1069,'Normalised Rates'!$A$7:$B$12,2,FALSE)</f>
        <v>3.0621172353455816E-3</v>
      </c>
      <c r="M1069" s="34">
        <v>7</v>
      </c>
    </row>
    <row r="1070" spans="1:13" ht="15" customHeight="1" x14ac:dyDescent="0.25">
      <c r="A1070" s="30" t="s">
        <v>150</v>
      </c>
      <c r="B1070" s="30" t="s">
        <v>77</v>
      </c>
      <c r="C1070" s="9" t="s">
        <v>64</v>
      </c>
      <c r="D1070" s="32">
        <v>2022</v>
      </c>
      <c r="E1070" s="33" t="s">
        <v>34</v>
      </c>
      <c r="F1070" s="33">
        <f t="shared" si="34"/>
        <v>0</v>
      </c>
      <c r="G1070" s="33">
        <f t="shared" si="34"/>
        <v>0</v>
      </c>
      <c r="H1070" s="33">
        <f t="shared" si="34"/>
        <v>1</v>
      </c>
      <c r="I1070" s="40">
        <f t="shared" si="33"/>
        <v>0</v>
      </c>
      <c r="J1070" s="40">
        <f t="shared" si="33"/>
        <v>0</v>
      </c>
      <c r="K1070" s="40">
        <f t="shared" si="33"/>
        <v>5.3333333333333336E-4</v>
      </c>
      <c r="L1070" s="40">
        <f>1000*M1070/VLOOKUP(D1070,'Normalised Rates'!$A$7:$B$12,2,FALSE)</f>
        <v>5.3333333333333336E-4</v>
      </c>
      <c r="M1070" s="34">
        <v>1</v>
      </c>
    </row>
    <row r="1071" spans="1:13" ht="15" customHeight="1" x14ac:dyDescent="0.25">
      <c r="A1071" s="30" t="s">
        <v>150</v>
      </c>
      <c r="B1071" s="30" t="s">
        <v>77</v>
      </c>
      <c r="C1071" s="9" t="s">
        <v>64</v>
      </c>
      <c r="D1071" s="32">
        <v>2022</v>
      </c>
      <c r="E1071" s="35" t="s">
        <v>163</v>
      </c>
      <c r="F1071" s="33">
        <f t="shared" si="34"/>
        <v>1</v>
      </c>
      <c r="G1071" s="33">
        <f t="shared" si="34"/>
        <v>0</v>
      </c>
      <c r="H1071" s="33">
        <f t="shared" si="34"/>
        <v>0</v>
      </c>
      <c r="I1071" s="40">
        <f t="shared" si="33"/>
        <v>5.3333333333333336E-4</v>
      </c>
      <c r="J1071" s="40">
        <f t="shared" si="33"/>
        <v>0</v>
      </c>
      <c r="K1071" s="40">
        <f t="shared" si="33"/>
        <v>0</v>
      </c>
      <c r="L1071" s="40">
        <f>1000*M1071/VLOOKUP(D1071,'Normalised Rates'!$A$7:$B$12,2,FALSE)</f>
        <v>5.3333333333333336E-4</v>
      </c>
      <c r="M1071" s="34">
        <v>1</v>
      </c>
    </row>
    <row r="1072" spans="1:13" ht="15" customHeight="1" x14ac:dyDescent="0.25">
      <c r="A1072" s="30" t="s">
        <v>150</v>
      </c>
      <c r="B1072" s="30" t="s">
        <v>77</v>
      </c>
      <c r="C1072" s="9" t="s">
        <v>64</v>
      </c>
      <c r="D1072" s="32">
        <v>2023</v>
      </c>
      <c r="E1072" s="35" t="s">
        <v>163</v>
      </c>
      <c r="F1072" s="33">
        <f t="shared" si="34"/>
        <v>1</v>
      </c>
      <c r="G1072" s="33">
        <f t="shared" si="34"/>
        <v>0</v>
      </c>
      <c r="H1072" s="33">
        <f t="shared" si="34"/>
        <v>0</v>
      </c>
      <c r="I1072" s="40">
        <f t="shared" si="33"/>
        <v>4.3744531933508313E-4</v>
      </c>
      <c r="J1072" s="40">
        <f t="shared" si="33"/>
        <v>0</v>
      </c>
      <c r="K1072" s="40">
        <f t="shared" si="33"/>
        <v>0</v>
      </c>
      <c r="L1072" s="40">
        <f>1000*M1072/VLOOKUP(D1072,'Normalised Rates'!$A$7:$B$12,2,FALSE)</f>
        <v>4.3744531933508313E-4</v>
      </c>
      <c r="M1072" s="34">
        <v>1</v>
      </c>
    </row>
    <row r="1073" spans="1:13" ht="15" customHeight="1" x14ac:dyDescent="0.25">
      <c r="A1073" s="30" t="s">
        <v>150</v>
      </c>
      <c r="B1073" s="30" t="s">
        <v>77</v>
      </c>
      <c r="C1073" s="9" t="s">
        <v>64</v>
      </c>
      <c r="D1073" s="32">
        <v>2024</v>
      </c>
      <c r="E1073" s="35" t="s">
        <v>163</v>
      </c>
      <c r="F1073" s="33">
        <f t="shared" si="34"/>
        <v>1</v>
      </c>
      <c r="G1073" s="33">
        <f t="shared" si="34"/>
        <v>0</v>
      </c>
      <c r="H1073" s="33">
        <f t="shared" si="34"/>
        <v>0</v>
      </c>
      <c r="I1073" s="40">
        <f t="shared" si="33"/>
        <v>3.7271710771524412E-4</v>
      </c>
      <c r="J1073" s="40">
        <f t="shared" si="33"/>
        <v>0</v>
      </c>
      <c r="K1073" s="40">
        <f t="shared" si="33"/>
        <v>0</v>
      </c>
      <c r="L1073" s="40">
        <f>1000*M1073/VLOOKUP(D1073,'Normalised Rates'!$A$7:$B$12,2,FALSE)</f>
        <v>3.7271710771524412E-4</v>
      </c>
      <c r="M1073" s="34">
        <v>1</v>
      </c>
    </row>
    <row r="1074" spans="1:13" ht="15" customHeight="1" x14ac:dyDescent="0.25">
      <c r="A1074" s="30" t="s">
        <v>150</v>
      </c>
      <c r="B1074" s="30" t="s">
        <v>77</v>
      </c>
      <c r="C1074" s="9" t="s">
        <v>64</v>
      </c>
      <c r="D1074" s="32">
        <v>2025</v>
      </c>
      <c r="E1074" s="35" t="s">
        <v>163</v>
      </c>
      <c r="F1074" s="33">
        <f t="shared" si="34"/>
        <v>3</v>
      </c>
      <c r="G1074" s="33">
        <f t="shared" si="34"/>
        <v>0</v>
      </c>
      <c r="H1074" s="33">
        <f t="shared" si="34"/>
        <v>0</v>
      </c>
      <c r="I1074" s="40">
        <f t="shared" si="33"/>
        <v>9.5147478591817321E-4</v>
      </c>
      <c r="J1074" s="40">
        <f t="shared" si="33"/>
        <v>0</v>
      </c>
      <c r="K1074" s="40">
        <f t="shared" si="33"/>
        <v>0</v>
      </c>
      <c r="L1074" s="40">
        <f>1000*M1074/VLOOKUP(D1074,'Normalised Rates'!$A$7:$B$12,2,FALSE)</f>
        <v>9.5147478591817321E-4</v>
      </c>
      <c r="M1074" s="34">
        <v>3</v>
      </c>
    </row>
    <row r="1075" spans="1:13" ht="15" customHeight="1" x14ac:dyDescent="0.25">
      <c r="A1075" s="30" t="s">
        <v>150</v>
      </c>
      <c r="B1075" s="30" t="s">
        <v>104</v>
      </c>
      <c r="C1075" s="9" t="s">
        <v>105</v>
      </c>
      <c r="D1075" s="32">
        <v>2022</v>
      </c>
      <c r="E1075" s="35" t="s">
        <v>163</v>
      </c>
      <c r="F1075" s="33">
        <f t="shared" si="34"/>
        <v>2</v>
      </c>
      <c r="G1075" s="33">
        <f t="shared" si="34"/>
        <v>0</v>
      </c>
      <c r="H1075" s="33">
        <f t="shared" si="34"/>
        <v>0</v>
      </c>
      <c r="I1075" s="40">
        <f t="shared" si="33"/>
        <v>1.0666666666666667E-3</v>
      </c>
      <c r="J1075" s="40">
        <f t="shared" si="33"/>
        <v>0</v>
      </c>
      <c r="K1075" s="40">
        <f t="shared" si="33"/>
        <v>0</v>
      </c>
      <c r="L1075" s="40">
        <f>1000*M1075/VLOOKUP(D1075,'Normalised Rates'!$A$7:$B$12,2,FALSE)</f>
        <v>1.0666666666666667E-3</v>
      </c>
      <c r="M1075" s="34">
        <v>2</v>
      </c>
    </row>
    <row r="1076" spans="1:13" ht="15" customHeight="1" x14ac:dyDescent="0.25">
      <c r="A1076" s="30" t="s">
        <v>150</v>
      </c>
      <c r="B1076" s="30" t="s">
        <v>104</v>
      </c>
      <c r="C1076" s="9" t="s">
        <v>105</v>
      </c>
      <c r="D1076" s="32">
        <v>2023</v>
      </c>
      <c r="E1076" s="35" t="s">
        <v>163</v>
      </c>
      <c r="F1076" s="33">
        <f t="shared" si="34"/>
        <v>1</v>
      </c>
      <c r="G1076" s="33">
        <f t="shared" si="34"/>
        <v>0</v>
      </c>
      <c r="H1076" s="33">
        <f t="shared" si="34"/>
        <v>0</v>
      </c>
      <c r="I1076" s="40">
        <f t="shared" si="33"/>
        <v>4.3744531933508313E-4</v>
      </c>
      <c r="J1076" s="40">
        <f t="shared" si="33"/>
        <v>0</v>
      </c>
      <c r="K1076" s="40">
        <f t="shared" si="33"/>
        <v>0</v>
      </c>
      <c r="L1076" s="40">
        <f>1000*M1076/VLOOKUP(D1076,'Normalised Rates'!$A$7:$B$12,2,FALSE)</f>
        <v>4.3744531933508313E-4</v>
      </c>
      <c r="M1076" s="34">
        <v>1</v>
      </c>
    </row>
    <row r="1077" spans="1:13" ht="15" customHeight="1" x14ac:dyDescent="0.25">
      <c r="A1077" s="30" t="s">
        <v>150</v>
      </c>
      <c r="B1077" s="30" t="s">
        <v>104</v>
      </c>
      <c r="C1077" s="9" t="s">
        <v>105</v>
      </c>
      <c r="D1077" s="32">
        <v>2025</v>
      </c>
      <c r="E1077" s="33" t="s">
        <v>34</v>
      </c>
      <c r="F1077" s="33">
        <f t="shared" si="34"/>
        <v>0</v>
      </c>
      <c r="G1077" s="33">
        <f t="shared" si="34"/>
        <v>0</v>
      </c>
      <c r="H1077" s="33">
        <f t="shared" si="34"/>
        <v>1</v>
      </c>
      <c r="I1077" s="40">
        <f t="shared" si="33"/>
        <v>0</v>
      </c>
      <c r="J1077" s="40">
        <f t="shared" si="33"/>
        <v>0</v>
      </c>
      <c r="K1077" s="40">
        <f t="shared" si="33"/>
        <v>3.1715826197272439E-4</v>
      </c>
      <c r="L1077" s="40">
        <f>1000*M1077/VLOOKUP(D1077,'Normalised Rates'!$A$7:$B$12,2,FALSE)</f>
        <v>3.1715826197272439E-4</v>
      </c>
      <c r="M1077" s="34">
        <v>1</v>
      </c>
    </row>
    <row r="1078" spans="1:13" ht="15" customHeight="1" x14ac:dyDescent="0.25">
      <c r="A1078" s="30" t="s">
        <v>150</v>
      </c>
      <c r="B1078" s="30" t="s">
        <v>104</v>
      </c>
      <c r="C1078" s="9" t="s">
        <v>105</v>
      </c>
      <c r="D1078" s="32">
        <v>2026</v>
      </c>
      <c r="E1078" s="35" t="s">
        <v>163</v>
      </c>
      <c r="F1078" s="33">
        <f t="shared" si="34"/>
        <v>2</v>
      </c>
      <c r="G1078" s="33">
        <f t="shared" si="34"/>
        <v>0</v>
      </c>
      <c r="H1078" s="33">
        <f t="shared" si="34"/>
        <v>0</v>
      </c>
      <c r="I1078" s="40">
        <f t="shared" si="33"/>
        <v>1.522359657469077E-3</v>
      </c>
      <c r="J1078" s="40">
        <f t="shared" si="33"/>
        <v>0</v>
      </c>
      <c r="K1078" s="40">
        <f t="shared" si="33"/>
        <v>0</v>
      </c>
      <c r="L1078" s="40">
        <f>1000*M1078/VLOOKUP(D1078,'Normalised Rates'!$A$7:$B$12,2,FALSE)</f>
        <v>1.522359657469077E-3</v>
      </c>
      <c r="M1078" s="34">
        <v>2</v>
      </c>
    </row>
    <row r="1079" spans="1:13" ht="15" customHeight="1" x14ac:dyDescent="0.25">
      <c r="A1079" s="30" t="s">
        <v>150</v>
      </c>
      <c r="B1079" s="30" t="s">
        <v>115</v>
      </c>
      <c r="C1079" s="9" t="s">
        <v>84</v>
      </c>
      <c r="D1079" s="32">
        <v>2024</v>
      </c>
      <c r="E1079" s="35" t="s">
        <v>163</v>
      </c>
      <c r="F1079" s="33">
        <f t="shared" si="34"/>
        <v>2</v>
      </c>
      <c r="G1079" s="33">
        <f t="shared" si="34"/>
        <v>0</v>
      </c>
      <c r="H1079" s="33">
        <f t="shared" si="34"/>
        <v>0</v>
      </c>
      <c r="I1079" s="40">
        <f t="shared" si="33"/>
        <v>7.4543421543048823E-4</v>
      </c>
      <c r="J1079" s="40">
        <f t="shared" si="33"/>
        <v>0</v>
      </c>
      <c r="K1079" s="40">
        <f t="shared" si="33"/>
        <v>0</v>
      </c>
      <c r="L1079" s="40">
        <f>1000*M1079/VLOOKUP(D1079,'Normalised Rates'!$A$7:$B$12,2,FALSE)</f>
        <v>7.4543421543048823E-4</v>
      </c>
      <c r="M1079" s="34">
        <v>2</v>
      </c>
    </row>
    <row r="1080" spans="1:13" ht="15" customHeight="1" x14ac:dyDescent="0.25">
      <c r="A1080" s="30" t="s">
        <v>150</v>
      </c>
      <c r="B1080" s="30" t="s">
        <v>115</v>
      </c>
      <c r="C1080" s="9" t="s">
        <v>84</v>
      </c>
      <c r="D1080" s="32">
        <v>2025</v>
      </c>
      <c r="E1080" s="35" t="s">
        <v>163</v>
      </c>
      <c r="F1080" s="33">
        <f t="shared" si="34"/>
        <v>4</v>
      </c>
      <c r="G1080" s="33">
        <f t="shared" si="34"/>
        <v>0</v>
      </c>
      <c r="H1080" s="33">
        <f t="shared" si="34"/>
        <v>0</v>
      </c>
      <c r="I1080" s="40">
        <f t="shared" si="33"/>
        <v>1.2686330478908975E-3</v>
      </c>
      <c r="J1080" s="40">
        <f t="shared" si="33"/>
        <v>0</v>
      </c>
      <c r="K1080" s="40">
        <f t="shared" si="33"/>
        <v>0</v>
      </c>
      <c r="L1080" s="40">
        <f>1000*M1080/VLOOKUP(D1080,'Normalised Rates'!$A$7:$B$12,2,FALSE)</f>
        <v>1.2686330478908975E-3</v>
      </c>
      <c r="M1080" s="34">
        <v>4</v>
      </c>
    </row>
    <row r="1081" spans="1:13" ht="15" customHeight="1" x14ac:dyDescent="0.25">
      <c r="A1081" s="30" t="s">
        <v>150</v>
      </c>
      <c r="B1081" s="30" t="s">
        <v>119</v>
      </c>
      <c r="C1081" s="9" t="s">
        <v>84</v>
      </c>
      <c r="D1081" s="32">
        <v>2023</v>
      </c>
      <c r="E1081" s="35" t="s">
        <v>163</v>
      </c>
      <c r="F1081" s="33">
        <f t="shared" si="34"/>
        <v>2</v>
      </c>
      <c r="G1081" s="33">
        <f t="shared" si="34"/>
        <v>0</v>
      </c>
      <c r="H1081" s="33">
        <f t="shared" si="34"/>
        <v>0</v>
      </c>
      <c r="I1081" s="40">
        <f t="shared" si="33"/>
        <v>8.7489063867016625E-4</v>
      </c>
      <c r="J1081" s="40">
        <f t="shared" si="33"/>
        <v>0</v>
      </c>
      <c r="K1081" s="40">
        <f t="shared" si="33"/>
        <v>0</v>
      </c>
      <c r="L1081" s="40">
        <f>1000*M1081/VLOOKUP(D1081,'Normalised Rates'!$A$7:$B$12,2,FALSE)</f>
        <v>8.7489063867016625E-4</v>
      </c>
      <c r="M1081" s="34">
        <v>2</v>
      </c>
    </row>
    <row r="1082" spans="1:13" ht="15" customHeight="1" x14ac:dyDescent="0.25">
      <c r="A1082" s="30" t="s">
        <v>150</v>
      </c>
      <c r="B1082" s="30" t="s">
        <v>119</v>
      </c>
      <c r="C1082" s="9" t="s">
        <v>84</v>
      </c>
      <c r="D1082" s="32">
        <v>2024</v>
      </c>
      <c r="E1082" s="35" t="s">
        <v>163</v>
      </c>
      <c r="F1082" s="33">
        <f t="shared" si="34"/>
        <v>3</v>
      </c>
      <c r="G1082" s="33">
        <f t="shared" si="34"/>
        <v>0</v>
      </c>
      <c r="H1082" s="33">
        <f t="shared" si="34"/>
        <v>0</v>
      </c>
      <c r="I1082" s="40">
        <f t="shared" si="33"/>
        <v>1.1181513231457323E-3</v>
      </c>
      <c r="J1082" s="40">
        <f t="shared" si="33"/>
        <v>0</v>
      </c>
      <c r="K1082" s="40">
        <f t="shared" si="33"/>
        <v>0</v>
      </c>
      <c r="L1082" s="40">
        <f>1000*M1082/VLOOKUP(D1082,'Normalised Rates'!$A$7:$B$12,2,FALSE)</f>
        <v>1.1181513231457323E-3</v>
      </c>
      <c r="M1082" s="34">
        <v>3</v>
      </c>
    </row>
    <row r="1083" spans="1:13" ht="15" customHeight="1" x14ac:dyDescent="0.25">
      <c r="A1083" s="30" t="s">
        <v>150</v>
      </c>
      <c r="B1083" s="30" t="s">
        <v>119</v>
      </c>
      <c r="C1083" s="9" t="s">
        <v>84</v>
      </c>
      <c r="D1083" s="32">
        <v>2025</v>
      </c>
      <c r="E1083" s="35" t="s">
        <v>163</v>
      </c>
      <c r="F1083" s="33">
        <f t="shared" si="34"/>
        <v>1</v>
      </c>
      <c r="G1083" s="33">
        <f t="shared" si="34"/>
        <v>0</v>
      </c>
      <c r="H1083" s="33">
        <f t="shared" si="34"/>
        <v>0</v>
      </c>
      <c r="I1083" s="40">
        <f t="shared" si="33"/>
        <v>3.1715826197272439E-4</v>
      </c>
      <c r="J1083" s="40">
        <f t="shared" si="33"/>
        <v>0</v>
      </c>
      <c r="K1083" s="40">
        <f t="shared" si="33"/>
        <v>0</v>
      </c>
      <c r="L1083" s="40">
        <f>1000*M1083/VLOOKUP(D1083,'Normalised Rates'!$A$7:$B$12,2,FALSE)</f>
        <v>3.1715826197272439E-4</v>
      </c>
      <c r="M1083" s="34">
        <v>1</v>
      </c>
    </row>
    <row r="1084" spans="1:13" ht="15" customHeight="1" x14ac:dyDescent="0.25">
      <c r="A1084" s="30" t="s">
        <v>150</v>
      </c>
      <c r="B1084" s="30" t="s">
        <v>121</v>
      </c>
      <c r="C1084" s="9" t="s">
        <v>67</v>
      </c>
      <c r="D1084" s="32">
        <v>2023</v>
      </c>
      <c r="E1084" s="35" t="s">
        <v>163</v>
      </c>
      <c r="F1084" s="33">
        <f t="shared" si="34"/>
        <v>3</v>
      </c>
      <c r="G1084" s="33">
        <f t="shared" si="34"/>
        <v>0</v>
      </c>
      <c r="H1084" s="33">
        <f t="shared" si="34"/>
        <v>0</v>
      </c>
      <c r="I1084" s="40">
        <f t="shared" si="33"/>
        <v>1.3123359580052493E-3</v>
      </c>
      <c r="J1084" s="40">
        <f t="shared" si="33"/>
        <v>0</v>
      </c>
      <c r="K1084" s="40">
        <f t="shared" si="33"/>
        <v>0</v>
      </c>
      <c r="L1084" s="40">
        <f>1000*M1084/VLOOKUP(D1084,'Normalised Rates'!$A$7:$B$12,2,FALSE)</f>
        <v>1.3123359580052493E-3</v>
      </c>
      <c r="M1084" s="34">
        <v>3</v>
      </c>
    </row>
    <row r="1085" spans="1:13" ht="15" customHeight="1" x14ac:dyDescent="0.25">
      <c r="A1085" s="30" t="s">
        <v>150</v>
      </c>
      <c r="B1085" s="30" t="s">
        <v>121</v>
      </c>
      <c r="C1085" s="9" t="s">
        <v>67</v>
      </c>
      <c r="D1085" s="32">
        <v>2026</v>
      </c>
      <c r="E1085" s="35" t="s">
        <v>163</v>
      </c>
      <c r="F1085" s="33">
        <f t="shared" si="34"/>
        <v>1</v>
      </c>
      <c r="G1085" s="33">
        <f t="shared" si="34"/>
        <v>0</v>
      </c>
      <c r="H1085" s="33">
        <f t="shared" si="34"/>
        <v>0</v>
      </c>
      <c r="I1085" s="40">
        <f t="shared" si="33"/>
        <v>7.6117982873453852E-4</v>
      </c>
      <c r="J1085" s="40">
        <f t="shared" si="33"/>
        <v>0</v>
      </c>
      <c r="K1085" s="40">
        <f t="shared" si="33"/>
        <v>0</v>
      </c>
      <c r="L1085" s="40">
        <f>1000*M1085/VLOOKUP(D1085,'Normalised Rates'!$A$7:$B$12,2,FALSE)</f>
        <v>7.6117982873453852E-4</v>
      </c>
      <c r="M1085" s="34">
        <v>1</v>
      </c>
    </row>
    <row r="1086" spans="1:13" ht="15" customHeight="1" x14ac:dyDescent="0.25">
      <c r="A1086" s="30" t="s">
        <v>150</v>
      </c>
      <c r="B1086" s="30" t="s">
        <v>127</v>
      </c>
      <c r="C1086" s="9" t="s">
        <v>67</v>
      </c>
      <c r="D1086" s="32">
        <v>2023</v>
      </c>
      <c r="E1086" s="35" t="s">
        <v>163</v>
      </c>
      <c r="F1086" s="33">
        <f t="shared" si="34"/>
        <v>1</v>
      </c>
      <c r="G1086" s="33">
        <f t="shared" si="34"/>
        <v>0</v>
      </c>
      <c r="H1086" s="33">
        <f t="shared" si="34"/>
        <v>0</v>
      </c>
      <c r="I1086" s="40">
        <f t="shared" si="33"/>
        <v>4.3744531933508313E-4</v>
      </c>
      <c r="J1086" s="40">
        <f t="shared" si="33"/>
        <v>0</v>
      </c>
      <c r="K1086" s="40">
        <f t="shared" si="33"/>
        <v>0</v>
      </c>
      <c r="L1086" s="40">
        <f>1000*M1086/VLOOKUP(D1086,'Normalised Rates'!$A$7:$B$12,2,FALSE)</f>
        <v>4.3744531933508313E-4</v>
      </c>
      <c r="M1086" s="34">
        <v>1</v>
      </c>
    </row>
    <row r="1087" spans="1:13" ht="15" customHeight="1" x14ac:dyDescent="0.25">
      <c r="A1087" s="30" t="s">
        <v>146</v>
      </c>
      <c r="B1087" s="30" t="s">
        <v>73</v>
      </c>
      <c r="C1087" s="9" t="s">
        <v>67</v>
      </c>
      <c r="D1087" s="32">
        <v>2021</v>
      </c>
      <c r="E1087" s="33" t="s">
        <v>34</v>
      </c>
      <c r="F1087" s="33">
        <f t="shared" si="34"/>
        <v>0</v>
      </c>
      <c r="G1087" s="33">
        <f t="shared" si="34"/>
        <v>0</v>
      </c>
      <c r="H1087" s="33">
        <f t="shared" si="34"/>
        <v>1</v>
      </c>
      <c r="I1087" s="40">
        <f t="shared" si="33"/>
        <v>0</v>
      </c>
      <c r="J1087" s="40">
        <f t="shared" si="33"/>
        <v>0</v>
      </c>
      <c r="K1087" s="40">
        <f t="shared" si="33"/>
        <v>6.2735257214554575E-4</v>
      </c>
      <c r="L1087" s="40">
        <f>1000*M1087/VLOOKUP(D1087,'Normalised Rates'!$A$7:$B$12,2,FALSE)</f>
        <v>6.2735257214554575E-4</v>
      </c>
      <c r="M1087" s="34">
        <v>1</v>
      </c>
    </row>
    <row r="1088" spans="1:13" ht="15" customHeight="1" x14ac:dyDescent="0.25">
      <c r="A1088" s="30" t="s">
        <v>146</v>
      </c>
      <c r="B1088" s="30" t="s">
        <v>73</v>
      </c>
      <c r="C1088" s="9" t="s">
        <v>67</v>
      </c>
      <c r="D1088" s="32">
        <v>2021</v>
      </c>
      <c r="E1088" s="35" t="s">
        <v>163</v>
      </c>
      <c r="F1088" s="33">
        <f t="shared" si="34"/>
        <v>141</v>
      </c>
      <c r="G1088" s="33">
        <f t="shared" si="34"/>
        <v>0</v>
      </c>
      <c r="H1088" s="33">
        <f t="shared" si="34"/>
        <v>0</v>
      </c>
      <c r="I1088" s="40">
        <f t="shared" si="33"/>
        <v>8.8456712672521962E-2</v>
      </c>
      <c r="J1088" s="40">
        <f t="shared" si="33"/>
        <v>0</v>
      </c>
      <c r="K1088" s="40">
        <f t="shared" si="33"/>
        <v>0</v>
      </c>
      <c r="L1088" s="40">
        <f>1000*M1088/VLOOKUP(D1088,'Normalised Rates'!$A$7:$B$12,2,FALSE)</f>
        <v>8.8456712672521962E-2</v>
      </c>
      <c r="M1088" s="34">
        <v>141</v>
      </c>
    </row>
    <row r="1089" spans="1:13" ht="15" customHeight="1" x14ac:dyDescent="0.25">
      <c r="A1089" s="30" t="s">
        <v>146</v>
      </c>
      <c r="B1089" s="30" t="s">
        <v>73</v>
      </c>
      <c r="C1089" s="9" t="s">
        <v>67</v>
      </c>
      <c r="D1089" s="32">
        <v>2022</v>
      </c>
      <c r="E1089" s="33" t="s">
        <v>34</v>
      </c>
      <c r="F1089" s="33">
        <f t="shared" si="34"/>
        <v>0</v>
      </c>
      <c r="G1089" s="33">
        <f t="shared" si="34"/>
        <v>0</v>
      </c>
      <c r="H1089" s="33">
        <f t="shared" si="34"/>
        <v>2</v>
      </c>
      <c r="I1089" s="40">
        <f t="shared" si="33"/>
        <v>0</v>
      </c>
      <c r="J1089" s="40">
        <f t="shared" si="33"/>
        <v>0</v>
      </c>
      <c r="K1089" s="40">
        <f t="shared" si="33"/>
        <v>1.0666666666666667E-3</v>
      </c>
      <c r="L1089" s="40">
        <f>1000*M1089/VLOOKUP(D1089,'Normalised Rates'!$A$7:$B$12,2,FALSE)</f>
        <v>1.0666666666666667E-3</v>
      </c>
      <c r="M1089" s="34">
        <v>2</v>
      </c>
    </row>
    <row r="1090" spans="1:13" ht="15" customHeight="1" x14ac:dyDescent="0.25">
      <c r="A1090" s="30" t="s">
        <v>146</v>
      </c>
      <c r="B1090" s="30" t="s">
        <v>73</v>
      </c>
      <c r="C1090" s="9" t="s">
        <v>67</v>
      </c>
      <c r="D1090" s="32">
        <v>2022</v>
      </c>
      <c r="E1090" s="35" t="s">
        <v>163</v>
      </c>
      <c r="F1090" s="33">
        <f t="shared" si="34"/>
        <v>139</v>
      </c>
      <c r="G1090" s="33">
        <f t="shared" si="34"/>
        <v>0</v>
      </c>
      <c r="H1090" s="33">
        <f t="shared" si="34"/>
        <v>0</v>
      </c>
      <c r="I1090" s="40">
        <f t="shared" si="33"/>
        <v>7.4133333333333329E-2</v>
      </c>
      <c r="J1090" s="40">
        <f t="shared" si="33"/>
        <v>0</v>
      </c>
      <c r="K1090" s="40">
        <f t="shared" si="33"/>
        <v>0</v>
      </c>
      <c r="L1090" s="40">
        <f>1000*M1090/VLOOKUP(D1090,'Normalised Rates'!$A$7:$B$12,2,FALSE)</f>
        <v>7.4133333333333329E-2</v>
      </c>
      <c r="M1090" s="34">
        <v>139</v>
      </c>
    </row>
    <row r="1091" spans="1:13" ht="15" customHeight="1" x14ac:dyDescent="0.25">
      <c r="A1091" s="30" t="s">
        <v>146</v>
      </c>
      <c r="B1091" s="30" t="s">
        <v>73</v>
      </c>
      <c r="C1091" s="9" t="s">
        <v>67</v>
      </c>
      <c r="D1091" s="32">
        <v>2023</v>
      </c>
      <c r="E1091" s="33" t="s">
        <v>34</v>
      </c>
      <c r="F1091" s="33">
        <f t="shared" si="34"/>
        <v>0</v>
      </c>
      <c r="G1091" s="33">
        <f t="shared" si="34"/>
        <v>0</v>
      </c>
      <c r="H1091" s="33">
        <f t="shared" si="34"/>
        <v>2</v>
      </c>
      <c r="I1091" s="40">
        <f t="shared" si="33"/>
        <v>0</v>
      </c>
      <c r="J1091" s="40">
        <f t="shared" si="33"/>
        <v>0</v>
      </c>
      <c r="K1091" s="40">
        <f t="shared" si="33"/>
        <v>8.7489063867016625E-4</v>
      </c>
      <c r="L1091" s="40">
        <f>1000*M1091/VLOOKUP(D1091,'Normalised Rates'!$A$7:$B$12,2,FALSE)</f>
        <v>8.7489063867016625E-4</v>
      </c>
      <c r="M1091" s="34">
        <v>2</v>
      </c>
    </row>
    <row r="1092" spans="1:13" ht="15" customHeight="1" x14ac:dyDescent="0.25">
      <c r="A1092" s="30" t="s">
        <v>146</v>
      </c>
      <c r="B1092" s="30" t="s">
        <v>73</v>
      </c>
      <c r="C1092" s="9" t="s">
        <v>67</v>
      </c>
      <c r="D1092" s="32">
        <v>2023</v>
      </c>
      <c r="E1092" s="35" t="s">
        <v>163</v>
      </c>
      <c r="F1092" s="33">
        <f t="shared" si="34"/>
        <v>176</v>
      </c>
      <c r="G1092" s="33">
        <f t="shared" si="34"/>
        <v>0</v>
      </c>
      <c r="H1092" s="33">
        <f t="shared" si="34"/>
        <v>0</v>
      </c>
      <c r="I1092" s="40">
        <f t="shared" si="33"/>
        <v>7.6990376202974622E-2</v>
      </c>
      <c r="J1092" s="40">
        <f t="shared" si="33"/>
        <v>0</v>
      </c>
      <c r="K1092" s="40">
        <f t="shared" si="33"/>
        <v>0</v>
      </c>
      <c r="L1092" s="40">
        <f>1000*M1092/VLOOKUP(D1092,'Normalised Rates'!$A$7:$B$12,2,FALSE)</f>
        <v>7.6990376202974622E-2</v>
      </c>
      <c r="M1092" s="34">
        <v>176</v>
      </c>
    </row>
    <row r="1093" spans="1:13" ht="15" customHeight="1" x14ac:dyDescent="0.25">
      <c r="A1093" s="30" t="s">
        <v>146</v>
      </c>
      <c r="B1093" s="30" t="s">
        <v>73</v>
      </c>
      <c r="C1093" s="9" t="s">
        <v>67</v>
      </c>
      <c r="D1093" s="32">
        <v>2024</v>
      </c>
      <c r="E1093" s="33" t="s">
        <v>34</v>
      </c>
      <c r="F1093" s="33">
        <f t="shared" si="34"/>
        <v>0</v>
      </c>
      <c r="G1093" s="33">
        <f t="shared" si="34"/>
        <v>0</v>
      </c>
      <c r="H1093" s="33">
        <f t="shared" si="34"/>
        <v>1</v>
      </c>
      <c r="I1093" s="40">
        <f t="shared" si="33"/>
        <v>0</v>
      </c>
      <c r="J1093" s="40">
        <f t="shared" si="33"/>
        <v>0</v>
      </c>
      <c r="K1093" s="40">
        <f t="shared" si="33"/>
        <v>3.7271710771524412E-4</v>
      </c>
      <c r="L1093" s="40">
        <f>1000*M1093/VLOOKUP(D1093,'Normalised Rates'!$A$7:$B$12,2,FALSE)</f>
        <v>3.7271710771524412E-4</v>
      </c>
      <c r="M1093" s="34">
        <v>1</v>
      </c>
    </row>
    <row r="1094" spans="1:13" ht="15" customHeight="1" x14ac:dyDescent="0.25">
      <c r="A1094" s="30" t="s">
        <v>146</v>
      </c>
      <c r="B1094" s="30" t="s">
        <v>73</v>
      </c>
      <c r="C1094" s="9" t="s">
        <v>67</v>
      </c>
      <c r="D1094" s="32">
        <v>2024</v>
      </c>
      <c r="E1094" s="35" t="s">
        <v>163</v>
      </c>
      <c r="F1094" s="33">
        <f t="shared" si="34"/>
        <v>261</v>
      </c>
      <c r="G1094" s="33">
        <f t="shared" si="34"/>
        <v>0</v>
      </c>
      <c r="H1094" s="33">
        <f t="shared" si="34"/>
        <v>0</v>
      </c>
      <c r="I1094" s="40">
        <f t="shared" si="33"/>
        <v>9.727916511367872E-2</v>
      </c>
      <c r="J1094" s="40">
        <f t="shared" si="33"/>
        <v>0</v>
      </c>
      <c r="K1094" s="40">
        <f t="shared" si="33"/>
        <v>0</v>
      </c>
      <c r="L1094" s="40">
        <f>1000*M1094/VLOOKUP(D1094,'Normalised Rates'!$A$7:$B$12,2,FALSE)</f>
        <v>9.727916511367872E-2</v>
      </c>
      <c r="M1094" s="34">
        <v>261</v>
      </c>
    </row>
    <row r="1095" spans="1:13" ht="15" customHeight="1" x14ac:dyDescent="0.25">
      <c r="A1095" s="30" t="s">
        <v>146</v>
      </c>
      <c r="B1095" s="30" t="s">
        <v>73</v>
      </c>
      <c r="C1095" s="9" t="s">
        <v>67</v>
      </c>
      <c r="D1095" s="32">
        <v>2025</v>
      </c>
      <c r="E1095" s="33" t="s">
        <v>34</v>
      </c>
      <c r="F1095" s="33">
        <f t="shared" si="34"/>
        <v>0</v>
      </c>
      <c r="G1095" s="33">
        <f t="shared" si="34"/>
        <v>0</v>
      </c>
      <c r="H1095" s="33">
        <f t="shared" si="34"/>
        <v>9</v>
      </c>
      <c r="I1095" s="40">
        <f t="shared" ref="I1095:K1126" si="35">IF(_xlfn.CONCAT($E1095,"%")=I$5,$L1095,0)</f>
        <v>0</v>
      </c>
      <c r="J1095" s="40">
        <f t="shared" si="35"/>
        <v>0</v>
      </c>
      <c r="K1095" s="40">
        <f t="shared" si="35"/>
        <v>2.8544243577545195E-3</v>
      </c>
      <c r="L1095" s="40">
        <f>1000*M1095/VLOOKUP(D1095,'Normalised Rates'!$A$7:$B$12,2,FALSE)</f>
        <v>2.8544243577545195E-3</v>
      </c>
      <c r="M1095" s="34">
        <v>9</v>
      </c>
    </row>
    <row r="1096" spans="1:13" ht="15" customHeight="1" x14ac:dyDescent="0.25">
      <c r="A1096" s="30" t="s">
        <v>146</v>
      </c>
      <c r="B1096" s="30" t="s">
        <v>73</v>
      </c>
      <c r="C1096" s="9" t="s">
        <v>67</v>
      </c>
      <c r="D1096" s="32">
        <v>2025</v>
      </c>
      <c r="E1096" s="35" t="s">
        <v>163</v>
      </c>
      <c r="F1096" s="33">
        <f t="shared" si="34"/>
        <v>7516</v>
      </c>
      <c r="G1096" s="33">
        <f t="shared" si="34"/>
        <v>0</v>
      </c>
      <c r="H1096" s="33">
        <f t="shared" si="34"/>
        <v>0</v>
      </c>
      <c r="I1096" s="40">
        <f t="shared" si="35"/>
        <v>2.3837614969869967</v>
      </c>
      <c r="J1096" s="40">
        <f t="shared" si="35"/>
        <v>0</v>
      </c>
      <c r="K1096" s="40">
        <f t="shared" si="35"/>
        <v>0</v>
      </c>
      <c r="L1096" s="40">
        <f>1000*M1096/VLOOKUP(D1096,'Normalised Rates'!$A$7:$B$12,2,FALSE)</f>
        <v>2.3837614969869967</v>
      </c>
      <c r="M1096" s="34">
        <v>7516</v>
      </c>
    </row>
    <row r="1097" spans="1:13" ht="15" customHeight="1" x14ac:dyDescent="0.25">
      <c r="A1097" s="30" t="s">
        <v>146</v>
      </c>
      <c r="B1097" s="30" t="s">
        <v>73</v>
      </c>
      <c r="C1097" s="9" t="s">
        <v>67</v>
      </c>
      <c r="D1097" s="32">
        <v>2026</v>
      </c>
      <c r="E1097" s="33" t="s">
        <v>34</v>
      </c>
      <c r="F1097" s="33">
        <f t="shared" ref="F1097:H1128" si="36">IF($E1097=F$5,$M1097,0)</f>
        <v>0</v>
      </c>
      <c r="G1097" s="33">
        <f t="shared" si="36"/>
        <v>0</v>
      </c>
      <c r="H1097" s="33">
        <f t="shared" si="36"/>
        <v>3</v>
      </c>
      <c r="I1097" s="40">
        <f t="shared" si="35"/>
        <v>0</v>
      </c>
      <c r="J1097" s="40">
        <f t="shared" si="35"/>
        <v>0</v>
      </c>
      <c r="K1097" s="40">
        <f t="shared" si="35"/>
        <v>2.2835394862036158E-3</v>
      </c>
      <c r="L1097" s="40">
        <f>1000*M1097/VLOOKUP(D1097,'Normalised Rates'!$A$7:$B$12,2,FALSE)</f>
        <v>2.2835394862036158E-3</v>
      </c>
      <c r="M1097" s="34">
        <v>3</v>
      </c>
    </row>
    <row r="1098" spans="1:13" ht="15" customHeight="1" x14ac:dyDescent="0.25">
      <c r="A1098" s="30" t="s">
        <v>146</v>
      </c>
      <c r="B1098" s="30" t="s">
        <v>73</v>
      </c>
      <c r="C1098" s="9" t="s">
        <v>67</v>
      </c>
      <c r="D1098" s="32">
        <v>2026</v>
      </c>
      <c r="E1098" s="35" t="s">
        <v>163</v>
      </c>
      <c r="F1098" s="33">
        <f t="shared" si="36"/>
        <v>3182</v>
      </c>
      <c r="G1098" s="33">
        <f t="shared" si="36"/>
        <v>0</v>
      </c>
      <c r="H1098" s="33">
        <f t="shared" si="36"/>
        <v>0</v>
      </c>
      <c r="I1098" s="40">
        <f t="shared" si="35"/>
        <v>2.4220742150333017</v>
      </c>
      <c r="J1098" s="40">
        <f t="shared" si="35"/>
        <v>0</v>
      </c>
      <c r="K1098" s="40">
        <f t="shared" si="35"/>
        <v>0</v>
      </c>
      <c r="L1098" s="40">
        <f>1000*M1098/VLOOKUP(D1098,'Normalised Rates'!$A$7:$B$12,2,FALSE)</f>
        <v>2.4220742150333017</v>
      </c>
      <c r="M1098" s="34">
        <v>3182</v>
      </c>
    </row>
    <row r="1099" spans="1:13" ht="15" customHeight="1" x14ac:dyDescent="0.25">
      <c r="A1099" s="30" t="s">
        <v>146</v>
      </c>
      <c r="B1099" s="30" t="s">
        <v>81</v>
      </c>
      <c r="C1099" s="9" t="s">
        <v>67</v>
      </c>
      <c r="D1099" s="32">
        <v>2021</v>
      </c>
      <c r="E1099" s="33" t="s">
        <v>34</v>
      </c>
      <c r="F1099" s="33">
        <f t="shared" si="36"/>
        <v>0</v>
      </c>
      <c r="G1099" s="33">
        <f t="shared" si="36"/>
        <v>0</v>
      </c>
      <c r="H1099" s="33">
        <f t="shared" si="36"/>
        <v>1</v>
      </c>
      <c r="I1099" s="40">
        <f t="shared" si="35"/>
        <v>0</v>
      </c>
      <c r="J1099" s="40">
        <f t="shared" si="35"/>
        <v>0</v>
      </c>
      <c r="K1099" s="40">
        <f t="shared" si="35"/>
        <v>6.2735257214554575E-4</v>
      </c>
      <c r="L1099" s="40">
        <f>1000*M1099/VLOOKUP(D1099,'Normalised Rates'!$A$7:$B$12,2,FALSE)</f>
        <v>6.2735257214554575E-4</v>
      </c>
      <c r="M1099" s="34">
        <v>1</v>
      </c>
    </row>
    <row r="1100" spans="1:13" ht="15" customHeight="1" x14ac:dyDescent="0.25">
      <c r="A1100" s="30" t="s">
        <v>146</v>
      </c>
      <c r="B1100" s="30" t="s">
        <v>81</v>
      </c>
      <c r="C1100" s="9" t="s">
        <v>67</v>
      </c>
      <c r="D1100" s="32">
        <v>2021</v>
      </c>
      <c r="E1100" s="35" t="s">
        <v>163</v>
      </c>
      <c r="F1100" s="33">
        <f t="shared" si="36"/>
        <v>6</v>
      </c>
      <c r="G1100" s="33">
        <f t="shared" si="36"/>
        <v>0</v>
      </c>
      <c r="H1100" s="33">
        <f t="shared" si="36"/>
        <v>0</v>
      </c>
      <c r="I1100" s="40">
        <f t="shared" si="35"/>
        <v>3.7641154328732747E-3</v>
      </c>
      <c r="J1100" s="40">
        <f t="shared" si="35"/>
        <v>0</v>
      </c>
      <c r="K1100" s="40">
        <f t="shared" si="35"/>
        <v>0</v>
      </c>
      <c r="L1100" s="40">
        <f>1000*M1100/VLOOKUP(D1100,'Normalised Rates'!$A$7:$B$12,2,FALSE)</f>
        <v>3.7641154328732747E-3</v>
      </c>
      <c r="M1100" s="34">
        <v>6</v>
      </c>
    </row>
    <row r="1101" spans="1:13" ht="15" customHeight="1" x14ac:dyDescent="0.25">
      <c r="A1101" s="30" t="s">
        <v>146</v>
      </c>
      <c r="B1101" s="30" t="s">
        <v>81</v>
      </c>
      <c r="C1101" s="9" t="s">
        <v>67</v>
      </c>
      <c r="D1101" s="32">
        <v>2022</v>
      </c>
      <c r="E1101" s="35" t="s">
        <v>163</v>
      </c>
      <c r="F1101" s="33">
        <f t="shared" si="36"/>
        <v>11</v>
      </c>
      <c r="G1101" s="33">
        <f t="shared" si="36"/>
        <v>0</v>
      </c>
      <c r="H1101" s="33">
        <f t="shared" si="36"/>
        <v>0</v>
      </c>
      <c r="I1101" s="40">
        <f t="shared" si="35"/>
        <v>5.8666666666666667E-3</v>
      </c>
      <c r="J1101" s="40">
        <f t="shared" si="35"/>
        <v>0</v>
      </c>
      <c r="K1101" s="40">
        <f t="shared" si="35"/>
        <v>0</v>
      </c>
      <c r="L1101" s="40">
        <f>1000*M1101/VLOOKUP(D1101,'Normalised Rates'!$A$7:$B$12,2,FALSE)</f>
        <v>5.8666666666666667E-3</v>
      </c>
      <c r="M1101" s="34">
        <v>11</v>
      </c>
    </row>
    <row r="1102" spans="1:13" ht="15" customHeight="1" x14ac:dyDescent="0.25">
      <c r="A1102" s="30" t="s">
        <v>146</v>
      </c>
      <c r="B1102" s="30" t="s">
        <v>81</v>
      </c>
      <c r="C1102" s="9" t="s">
        <v>67</v>
      </c>
      <c r="D1102" s="32">
        <v>2023</v>
      </c>
      <c r="E1102" s="35" t="s">
        <v>163</v>
      </c>
      <c r="F1102" s="33">
        <f t="shared" si="36"/>
        <v>14</v>
      </c>
      <c r="G1102" s="33">
        <f t="shared" si="36"/>
        <v>0</v>
      </c>
      <c r="H1102" s="33">
        <f t="shared" si="36"/>
        <v>0</v>
      </c>
      <c r="I1102" s="40">
        <f t="shared" si="35"/>
        <v>6.1242344706911632E-3</v>
      </c>
      <c r="J1102" s="40">
        <f t="shared" si="35"/>
        <v>0</v>
      </c>
      <c r="K1102" s="40">
        <f t="shared" si="35"/>
        <v>0</v>
      </c>
      <c r="L1102" s="40">
        <f>1000*M1102/VLOOKUP(D1102,'Normalised Rates'!$A$7:$B$12,2,FALSE)</f>
        <v>6.1242344706911632E-3</v>
      </c>
      <c r="M1102" s="34">
        <v>14</v>
      </c>
    </row>
    <row r="1103" spans="1:13" ht="15" customHeight="1" x14ac:dyDescent="0.25">
      <c r="A1103" s="30" t="s">
        <v>146</v>
      </c>
      <c r="B1103" s="30" t="s">
        <v>81</v>
      </c>
      <c r="C1103" s="9" t="s">
        <v>67</v>
      </c>
      <c r="D1103" s="32">
        <v>2024</v>
      </c>
      <c r="E1103" s="33" t="s">
        <v>34</v>
      </c>
      <c r="F1103" s="33">
        <f t="shared" si="36"/>
        <v>0</v>
      </c>
      <c r="G1103" s="33">
        <f t="shared" si="36"/>
        <v>0</v>
      </c>
      <c r="H1103" s="33">
        <f t="shared" si="36"/>
        <v>2</v>
      </c>
      <c r="I1103" s="40">
        <f t="shared" si="35"/>
        <v>0</v>
      </c>
      <c r="J1103" s="40">
        <f t="shared" si="35"/>
        <v>0</v>
      </c>
      <c r="K1103" s="40">
        <f t="shared" si="35"/>
        <v>7.4543421543048823E-4</v>
      </c>
      <c r="L1103" s="40">
        <f>1000*M1103/VLOOKUP(D1103,'Normalised Rates'!$A$7:$B$12,2,FALSE)</f>
        <v>7.4543421543048823E-4</v>
      </c>
      <c r="M1103" s="34">
        <v>2</v>
      </c>
    </row>
    <row r="1104" spans="1:13" ht="15" customHeight="1" x14ac:dyDescent="0.25">
      <c r="A1104" s="30" t="s">
        <v>146</v>
      </c>
      <c r="B1104" s="30" t="s">
        <v>81</v>
      </c>
      <c r="C1104" s="9" t="s">
        <v>67</v>
      </c>
      <c r="D1104" s="32">
        <v>2024</v>
      </c>
      <c r="E1104" s="35" t="s">
        <v>163</v>
      </c>
      <c r="F1104" s="33">
        <f t="shared" si="36"/>
        <v>48</v>
      </c>
      <c r="G1104" s="33">
        <f t="shared" si="36"/>
        <v>0</v>
      </c>
      <c r="H1104" s="33">
        <f t="shared" si="36"/>
        <v>0</v>
      </c>
      <c r="I1104" s="40">
        <f t="shared" si="35"/>
        <v>1.7890421170331718E-2</v>
      </c>
      <c r="J1104" s="40">
        <f t="shared" si="35"/>
        <v>0</v>
      </c>
      <c r="K1104" s="40">
        <f t="shared" si="35"/>
        <v>0</v>
      </c>
      <c r="L1104" s="40">
        <f>1000*M1104/VLOOKUP(D1104,'Normalised Rates'!$A$7:$B$12,2,FALSE)</f>
        <v>1.7890421170331718E-2</v>
      </c>
      <c r="M1104" s="34">
        <v>48</v>
      </c>
    </row>
    <row r="1105" spans="1:13" ht="15" customHeight="1" x14ac:dyDescent="0.25">
      <c r="A1105" s="30" t="s">
        <v>146</v>
      </c>
      <c r="B1105" s="30" t="s">
        <v>81</v>
      </c>
      <c r="C1105" s="9" t="s">
        <v>67</v>
      </c>
      <c r="D1105" s="32">
        <v>2025</v>
      </c>
      <c r="E1105" s="33" t="s">
        <v>34</v>
      </c>
      <c r="F1105" s="33">
        <f t="shared" si="36"/>
        <v>0</v>
      </c>
      <c r="G1105" s="33">
        <f t="shared" si="36"/>
        <v>0</v>
      </c>
      <c r="H1105" s="33">
        <f t="shared" si="36"/>
        <v>4</v>
      </c>
      <c r="I1105" s="40">
        <f t="shared" si="35"/>
        <v>0</v>
      </c>
      <c r="J1105" s="40">
        <f t="shared" si="35"/>
        <v>0</v>
      </c>
      <c r="K1105" s="40">
        <f t="shared" si="35"/>
        <v>1.2686330478908975E-3</v>
      </c>
      <c r="L1105" s="40">
        <f>1000*M1105/VLOOKUP(D1105,'Normalised Rates'!$A$7:$B$12,2,FALSE)</f>
        <v>1.2686330478908975E-3</v>
      </c>
      <c r="M1105" s="34">
        <v>4</v>
      </c>
    </row>
    <row r="1106" spans="1:13" ht="15" customHeight="1" x14ac:dyDescent="0.25">
      <c r="A1106" s="30" t="s">
        <v>146</v>
      </c>
      <c r="B1106" s="30" t="s">
        <v>81</v>
      </c>
      <c r="C1106" s="9" t="s">
        <v>67</v>
      </c>
      <c r="D1106" s="32">
        <v>2025</v>
      </c>
      <c r="E1106" s="35" t="s">
        <v>163</v>
      </c>
      <c r="F1106" s="33">
        <f t="shared" si="36"/>
        <v>5670</v>
      </c>
      <c r="G1106" s="33">
        <f t="shared" si="36"/>
        <v>0</v>
      </c>
      <c r="H1106" s="33">
        <f t="shared" si="36"/>
        <v>0</v>
      </c>
      <c r="I1106" s="40">
        <f t="shared" si="35"/>
        <v>1.7982873453853472</v>
      </c>
      <c r="J1106" s="40">
        <f t="shared" si="35"/>
        <v>0</v>
      </c>
      <c r="K1106" s="40">
        <f t="shared" si="35"/>
        <v>0</v>
      </c>
      <c r="L1106" s="40">
        <f>1000*M1106/VLOOKUP(D1106,'Normalised Rates'!$A$7:$B$12,2,FALSE)</f>
        <v>1.7982873453853472</v>
      </c>
      <c r="M1106" s="34">
        <v>5670</v>
      </c>
    </row>
    <row r="1107" spans="1:13" ht="15" customHeight="1" x14ac:dyDescent="0.25">
      <c r="A1107" s="30" t="s">
        <v>146</v>
      </c>
      <c r="B1107" s="30" t="s">
        <v>81</v>
      </c>
      <c r="C1107" s="9" t="s">
        <v>67</v>
      </c>
      <c r="D1107" s="32">
        <v>2026</v>
      </c>
      <c r="E1107" s="33" t="s">
        <v>34</v>
      </c>
      <c r="F1107" s="33">
        <f t="shared" si="36"/>
        <v>0</v>
      </c>
      <c r="G1107" s="33">
        <f t="shared" si="36"/>
        <v>0</v>
      </c>
      <c r="H1107" s="33">
        <f t="shared" si="36"/>
        <v>4</v>
      </c>
      <c r="I1107" s="40">
        <f t="shared" si="35"/>
        <v>0</v>
      </c>
      <c r="J1107" s="40">
        <f t="shared" si="35"/>
        <v>0</v>
      </c>
      <c r="K1107" s="40">
        <f t="shared" si="35"/>
        <v>3.0447193149381541E-3</v>
      </c>
      <c r="L1107" s="40">
        <f>1000*M1107/VLOOKUP(D1107,'Normalised Rates'!$A$7:$B$12,2,FALSE)</f>
        <v>3.0447193149381541E-3</v>
      </c>
      <c r="M1107" s="34">
        <v>4</v>
      </c>
    </row>
    <row r="1108" spans="1:13" ht="15" customHeight="1" x14ac:dyDescent="0.25">
      <c r="A1108" s="30" t="s">
        <v>146</v>
      </c>
      <c r="B1108" s="30" t="s">
        <v>81</v>
      </c>
      <c r="C1108" s="9" t="s">
        <v>67</v>
      </c>
      <c r="D1108" s="32">
        <v>2026</v>
      </c>
      <c r="E1108" s="35" t="s">
        <v>163</v>
      </c>
      <c r="F1108" s="33">
        <f t="shared" si="36"/>
        <v>2918</v>
      </c>
      <c r="G1108" s="33">
        <f t="shared" si="36"/>
        <v>0</v>
      </c>
      <c r="H1108" s="33">
        <f t="shared" si="36"/>
        <v>0</v>
      </c>
      <c r="I1108" s="40">
        <f t="shared" si="35"/>
        <v>2.2211227402473837</v>
      </c>
      <c r="J1108" s="40">
        <f t="shared" si="35"/>
        <v>0</v>
      </c>
      <c r="K1108" s="40">
        <f t="shared" si="35"/>
        <v>0</v>
      </c>
      <c r="L1108" s="40">
        <f>1000*M1108/VLOOKUP(D1108,'Normalised Rates'!$A$7:$B$12,2,FALSE)</f>
        <v>2.2211227402473837</v>
      </c>
      <c r="M1108" s="34">
        <v>2918</v>
      </c>
    </row>
    <row r="1109" spans="1:13" ht="15" customHeight="1" x14ac:dyDescent="0.25">
      <c r="A1109" s="30" t="s">
        <v>146</v>
      </c>
      <c r="B1109" s="30" t="s">
        <v>88</v>
      </c>
      <c r="C1109" s="9" t="s">
        <v>84</v>
      </c>
      <c r="D1109" s="32">
        <v>2022</v>
      </c>
      <c r="E1109" s="35" t="s">
        <v>163</v>
      </c>
      <c r="F1109" s="33">
        <f t="shared" si="36"/>
        <v>2</v>
      </c>
      <c r="G1109" s="33">
        <f t="shared" si="36"/>
        <v>0</v>
      </c>
      <c r="H1109" s="33">
        <f t="shared" si="36"/>
        <v>0</v>
      </c>
      <c r="I1109" s="40">
        <f t="shared" si="35"/>
        <v>1.0666666666666667E-3</v>
      </c>
      <c r="J1109" s="40">
        <f t="shared" si="35"/>
        <v>0</v>
      </c>
      <c r="K1109" s="40">
        <f t="shared" si="35"/>
        <v>0</v>
      </c>
      <c r="L1109" s="40">
        <f>1000*M1109/VLOOKUP(D1109,'Normalised Rates'!$A$7:$B$12,2,FALSE)</f>
        <v>1.0666666666666667E-3</v>
      </c>
      <c r="M1109" s="34">
        <v>2</v>
      </c>
    </row>
    <row r="1110" spans="1:13" ht="15" customHeight="1" x14ac:dyDescent="0.25">
      <c r="A1110" s="30" t="s">
        <v>146</v>
      </c>
      <c r="B1110" s="30" t="s">
        <v>88</v>
      </c>
      <c r="C1110" s="9" t="s">
        <v>84</v>
      </c>
      <c r="D1110" s="32">
        <v>2023</v>
      </c>
      <c r="E1110" s="33" t="s">
        <v>34</v>
      </c>
      <c r="F1110" s="33">
        <f t="shared" si="36"/>
        <v>0</v>
      </c>
      <c r="G1110" s="33">
        <f t="shared" si="36"/>
        <v>0</v>
      </c>
      <c r="H1110" s="33">
        <f t="shared" si="36"/>
        <v>1</v>
      </c>
      <c r="I1110" s="40">
        <f t="shared" si="35"/>
        <v>0</v>
      </c>
      <c r="J1110" s="40">
        <f t="shared" si="35"/>
        <v>0</v>
      </c>
      <c r="K1110" s="40">
        <f t="shared" si="35"/>
        <v>4.3744531933508313E-4</v>
      </c>
      <c r="L1110" s="40">
        <f>1000*M1110/VLOOKUP(D1110,'Normalised Rates'!$A$7:$B$12,2,FALSE)</f>
        <v>4.3744531933508313E-4</v>
      </c>
      <c r="M1110" s="34">
        <v>1</v>
      </c>
    </row>
    <row r="1111" spans="1:13" ht="15" customHeight="1" x14ac:dyDescent="0.25">
      <c r="A1111" s="30" t="s">
        <v>146</v>
      </c>
      <c r="B1111" s="30" t="s">
        <v>88</v>
      </c>
      <c r="C1111" s="9" t="s">
        <v>84</v>
      </c>
      <c r="D1111" s="32">
        <v>2023</v>
      </c>
      <c r="E1111" s="35" t="s">
        <v>163</v>
      </c>
      <c r="F1111" s="33">
        <f t="shared" si="36"/>
        <v>3</v>
      </c>
      <c r="G1111" s="33">
        <f t="shared" si="36"/>
        <v>0</v>
      </c>
      <c r="H1111" s="33">
        <f t="shared" si="36"/>
        <v>0</v>
      </c>
      <c r="I1111" s="40">
        <f t="shared" si="35"/>
        <v>1.3123359580052493E-3</v>
      </c>
      <c r="J1111" s="40">
        <f t="shared" si="35"/>
        <v>0</v>
      </c>
      <c r="K1111" s="40">
        <f t="shared" si="35"/>
        <v>0</v>
      </c>
      <c r="L1111" s="40">
        <f>1000*M1111/VLOOKUP(D1111,'Normalised Rates'!$A$7:$B$12,2,FALSE)</f>
        <v>1.3123359580052493E-3</v>
      </c>
      <c r="M1111" s="34">
        <v>3</v>
      </c>
    </row>
    <row r="1112" spans="1:13" ht="15" customHeight="1" x14ac:dyDescent="0.25">
      <c r="A1112" s="30" t="s">
        <v>146</v>
      </c>
      <c r="B1112" s="30" t="s">
        <v>88</v>
      </c>
      <c r="C1112" s="9" t="s">
        <v>84</v>
      </c>
      <c r="D1112" s="32">
        <v>2024</v>
      </c>
      <c r="E1112" s="33" t="s">
        <v>34</v>
      </c>
      <c r="F1112" s="33">
        <f t="shared" si="36"/>
        <v>0</v>
      </c>
      <c r="G1112" s="33">
        <f t="shared" si="36"/>
        <v>0</v>
      </c>
      <c r="H1112" s="33">
        <f t="shared" si="36"/>
        <v>1</v>
      </c>
      <c r="I1112" s="40">
        <f t="shared" si="35"/>
        <v>0</v>
      </c>
      <c r="J1112" s="40">
        <f t="shared" si="35"/>
        <v>0</v>
      </c>
      <c r="K1112" s="40">
        <f t="shared" si="35"/>
        <v>3.7271710771524412E-4</v>
      </c>
      <c r="L1112" s="40">
        <f>1000*M1112/VLOOKUP(D1112,'Normalised Rates'!$A$7:$B$12,2,FALSE)</f>
        <v>3.7271710771524412E-4</v>
      </c>
      <c r="M1112" s="34">
        <v>1</v>
      </c>
    </row>
    <row r="1113" spans="1:13" ht="15" customHeight="1" x14ac:dyDescent="0.25">
      <c r="A1113" s="30" t="s">
        <v>146</v>
      </c>
      <c r="B1113" s="30" t="s">
        <v>88</v>
      </c>
      <c r="C1113" s="9" t="s">
        <v>84</v>
      </c>
      <c r="D1113" s="32">
        <v>2024</v>
      </c>
      <c r="E1113" s="35" t="s">
        <v>163</v>
      </c>
      <c r="F1113" s="33">
        <f t="shared" si="36"/>
        <v>3</v>
      </c>
      <c r="G1113" s="33">
        <f t="shared" si="36"/>
        <v>0</v>
      </c>
      <c r="H1113" s="33">
        <f t="shared" si="36"/>
        <v>0</v>
      </c>
      <c r="I1113" s="40">
        <f t="shared" si="35"/>
        <v>1.1181513231457323E-3</v>
      </c>
      <c r="J1113" s="40">
        <f t="shared" si="35"/>
        <v>0</v>
      </c>
      <c r="K1113" s="40">
        <f t="shared" si="35"/>
        <v>0</v>
      </c>
      <c r="L1113" s="40">
        <f>1000*M1113/VLOOKUP(D1113,'Normalised Rates'!$A$7:$B$12,2,FALSE)</f>
        <v>1.1181513231457323E-3</v>
      </c>
      <c r="M1113" s="34">
        <v>3</v>
      </c>
    </row>
    <row r="1114" spans="1:13" ht="15" customHeight="1" x14ac:dyDescent="0.25">
      <c r="A1114" s="30" t="s">
        <v>146</v>
      </c>
      <c r="B1114" s="30" t="s">
        <v>88</v>
      </c>
      <c r="C1114" s="9" t="s">
        <v>84</v>
      </c>
      <c r="D1114" s="32">
        <v>2025</v>
      </c>
      <c r="E1114" s="33" t="s">
        <v>34</v>
      </c>
      <c r="F1114" s="33">
        <f t="shared" si="36"/>
        <v>0</v>
      </c>
      <c r="G1114" s="33">
        <f t="shared" si="36"/>
        <v>0</v>
      </c>
      <c r="H1114" s="33">
        <f t="shared" si="36"/>
        <v>10</v>
      </c>
      <c r="I1114" s="40">
        <f t="shared" si="35"/>
        <v>0</v>
      </c>
      <c r="J1114" s="40">
        <f t="shared" si="35"/>
        <v>0</v>
      </c>
      <c r="K1114" s="40">
        <f t="shared" si="35"/>
        <v>3.171582619727244E-3</v>
      </c>
      <c r="L1114" s="40">
        <f>1000*M1114/VLOOKUP(D1114,'Normalised Rates'!$A$7:$B$12,2,FALSE)</f>
        <v>3.171582619727244E-3</v>
      </c>
      <c r="M1114" s="34">
        <v>10</v>
      </c>
    </row>
    <row r="1115" spans="1:13" ht="15" customHeight="1" x14ac:dyDescent="0.25">
      <c r="A1115" s="30" t="s">
        <v>146</v>
      </c>
      <c r="B1115" s="30" t="s">
        <v>88</v>
      </c>
      <c r="C1115" s="9" t="s">
        <v>84</v>
      </c>
      <c r="D1115" s="32">
        <v>2025</v>
      </c>
      <c r="E1115" s="35" t="s">
        <v>163</v>
      </c>
      <c r="F1115" s="33">
        <f t="shared" si="36"/>
        <v>3747</v>
      </c>
      <c r="G1115" s="33">
        <f t="shared" si="36"/>
        <v>0</v>
      </c>
      <c r="H1115" s="33">
        <f t="shared" si="36"/>
        <v>0</v>
      </c>
      <c r="I1115" s="40">
        <f t="shared" si="35"/>
        <v>1.1883920076117982</v>
      </c>
      <c r="J1115" s="40">
        <f t="shared" si="35"/>
        <v>0</v>
      </c>
      <c r="K1115" s="40">
        <f t="shared" si="35"/>
        <v>0</v>
      </c>
      <c r="L1115" s="40">
        <f>1000*M1115/VLOOKUP(D1115,'Normalised Rates'!$A$7:$B$12,2,FALSE)</f>
        <v>1.1883920076117982</v>
      </c>
      <c r="M1115" s="34">
        <v>3747</v>
      </c>
    </row>
    <row r="1116" spans="1:13" ht="15" customHeight="1" x14ac:dyDescent="0.25">
      <c r="A1116" s="30" t="s">
        <v>146</v>
      </c>
      <c r="B1116" s="30" t="s">
        <v>88</v>
      </c>
      <c r="C1116" s="9" t="s">
        <v>84</v>
      </c>
      <c r="D1116" s="32">
        <v>2026</v>
      </c>
      <c r="E1116" s="33" t="s">
        <v>34</v>
      </c>
      <c r="F1116" s="33">
        <f t="shared" si="36"/>
        <v>0</v>
      </c>
      <c r="G1116" s="33">
        <f t="shared" si="36"/>
        <v>0</v>
      </c>
      <c r="H1116" s="33">
        <f t="shared" si="36"/>
        <v>8</v>
      </c>
      <c r="I1116" s="40">
        <f t="shared" si="35"/>
        <v>0</v>
      </c>
      <c r="J1116" s="40">
        <f t="shared" si="35"/>
        <v>0</v>
      </c>
      <c r="K1116" s="40">
        <f t="shared" si="35"/>
        <v>6.0894386298763082E-3</v>
      </c>
      <c r="L1116" s="40">
        <f>1000*M1116/VLOOKUP(D1116,'Normalised Rates'!$A$7:$B$12,2,FALSE)</f>
        <v>6.0894386298763082E-3</v>
      </c>
      <c r="M1116" s="34">
        <v>8</v>
      </c>
    </row>
    <row r="1117" spans="1:13" ht="15" customHeight="1" x14ac:dyDescent="0.25">
      <c r="A1117" s="30" t="s">
        <v>146</v>
      </c>
      <c r="B1117" s="30" t="s">
        <v>88</v>
      </c>
      <c r="C1117" s="9" t="s">
        <v>84</v>
      </c>
      <c r="D1117" s="32">
        <v>2026</v>
      </c>
      <c r="E1117" s="35" t="s">
        <v>163</v>
      </c>
      <c r="F1117" s="33">
        <f t="shared" si="36"/>
        <v>1805</v>
      </c>
      <c r="G1117" s="33">
        <f t="shared" si="36"/>
        <v>0</v>
      </c>
      <c r="H1117" s="33">
        <f t="shared" si="36"/>
        <v>0</v>
      </c>
      <c r="I1117" s="40">
        <f t="shared" si="35"/>
        <v>1.373929590865842</v>
      </c>
      <c r="J1117" s="40">
        <f t="shared" si="35"/>
        <v>0</v>
      </c>
      <c r="K1117" s="40">
        <f t="shared" si="35"/>
        <v>0</v>
      </c>
      <c r="L1117" s="40">
        <f>1000*M1117/VLOOKUP(D1117,'Normalised Rates'!$A$7:$B$12,2,FALSE)</f>
        <v>1.373929590865842</v>
      </c>
      <c r="M1117" s="34">
        <v>1805</v>
      </c>
    </row>
    <row r="1118" spans="1:13" ht="15" customHeight="1" x14ac:dyDescent="0.25">
      <c r="A1118" s="30" t="s">
        <v>146</v>
      </c>
      <c r="B1118" s="30" t="s">
        <v>100</v>
      </c>
      <c r="C1118" s="9" t="s">
        <v>67</v>
      </c>
      <c r="D1118" s="32">
        <v>2021</v>
      </c>
      <c r="E1118" s="35" t="s">
        <v>163</v>
      </c>
      <c r="F1118" s="33">
        <f t="shared" si="36"/>
        <v>54</v>
      </c>
      <c r="G1118" s="33">
        <f t="shared" si="36"/>
        <v>0</v>
      </c>
      <c r="H1118" s="33">
        <f t="shared" si="36"/>
        <v>0</v>
      </c>
      <c r="I1118" s="40">
        <f t="shared" si="35"/>
        <v>3.3877038895859475E-2</v>
      </c>
      <c r="J1118" s="40">
        <f t="shared" si="35"/>
        <v>0</v>
      </c>
      <c r="K1118" s="40">
        <f t="shared" si="35"/>
        <v>0</v>
      </c>
      <c r="L1118" s="40">
        <f>1000*M1118/VLOOKUP(D1118,'Normalised Rates'!$A$7:$B$12,2,FALSE)</f>
        <v>3.3877038895859475E-2</v>
      </c>
      <c r="M1118" s="34">
        <v>54</v>
      </c>
    </row>
    <row r="1119" spans="1:13" ht="15" customHeight="1" x14ac:dyDescent="0.25">
      <c r="A1119" s="30" t="s">
        <v>146</v>
      </c>
      <c r="B1119" s="30" t="s">
        <v>100</v>
      </c>
      <c r="C1119" s="9" t="s">
        <v>67</v>
      </c>
      <c r="D1119" s="32">
        <v>2022</v>
      </c>
      <c r="E1119" s="35" t="s">
        <v>163</v>
      </c>
      <c r="F1119" s="33">
        <f t="shared" si="36"/>
        <v>65</v>
      </c>
      <c r="G1119" s="33">
        <f t="shared" si="36"/>
        <v>0</v>
      </c>
      <c r="H1119" s="33">
        <f t="shared" si="36"/>
        <v>0</v>
      </c>
      <c r="I1119" s="40">
        <f t="shared" si="35"/>
        <v>3.4666666666666665E-2</v>
      </c>
      <c r="J1119" s="40">
        <f t="shared" si="35"/>
        <v>0</v>
      </c>
      <c r="K1119" s="40">
        <f t="shared" si="35"/>
        <v>0</v>
      </c>
      <c r="L1119" s="40">
        <f>1000*M1119/VLOOKUP(D1119,'Normalised Rates'!$A$7:$B$12,2,FALSE)</f>
        <v>3.4666666666666665E-2</v>
      </c>
      <c r="M1119" s="34">
        <v>65</v>
      </c>
    </row>
    <row r="1120" spans="1:13" ht="15" customHeight="1" x14ac:dyDescent="0.25">
      <c r="A1120" s="30" t="s">
        <v>146</v>
      </c>
      <c r="B1120" s="30" t="s">
        <v>100</v>
      </c>
      <c r="C1120" s="9" t="s">
        <v>67</v>
      </c>
      <c r="D1120" s="32">
        <v>2023</v>
      </c>
      <c r="E1120" s="35" t="s">
        <v>163</v>
      </c>
      <c r="F1120" s="33">
        <f t="shared" si="36"/>
        <v>97</v>
      </c>
      <c r="G1120" s="33">
        <f t="shared" si="36"/>
        <v>0</v>
      </c>
      <c r="H1120" s="33">
        <f t="shared" si="36"/>
        <v>0</v>
      </c>
      <c r="I1120" s="40">
        <f t="shared" si="35"/>
        <v>4.2432195975503059E-2</v>
      </c>
      <c r="J1120" s="40">
        <f t="shared" si="35"/>
        <v>0</v>
      </c>
      <c r="K1120" s="40">
        <f t="shared" si="35"/>
        <v>0</v>
      </c>
      <c r="L1120" s="40">
        <f>1000*M1120/VLOOKUP(D1120,'Normalised Rates'!$A$7:$B$12,2,FALSE)</f>
        <v>4.2432195975503059E-2</v>
      </c>
      <c r="M1120" s="34">
        <v>97</v>
      </c>
    </row>
    <row r="1121" spans="1:13" ht="15" customHeight="1" x14ac:dyDescent="0.25">
      <c r="A1121" s="30" t="s">
        <v>146</v>
      </c>
      <c r="B1121" s="30" t="s">
        <v>100</v>
      </c>
      <c r="C1121" s="9" t="s">
        <v>67</v>
      </c>
      <c r="D1121" s="32">
        <v>2024</v>
      </c>
      <c r="E1121" s="35" t="s">
        <v>163</v>
      </c>
      <c r="F1121" s="33">
        <f t="shared" si="36"/>
        <v>108</v>
      </c>
      <c r="G1121" s="33">
        <f t="shared" si="36"/>
        <v>0</v>
      </c>
      <c r="H1121" s="33">
        <f t="shared" si="36"/>
        <v>0</v>
      </c>
      <c r="I1121" s="40">
        <f t="shared" si="35"/>
        <v>4.0253447633246363E-2</v>
      </c>
      <c r="J1121" s="40">
        <f t="shared" si="35"/>
        <v>0</v>
      </c>
      <c r="K1121" s="40">
        <f t="shared" si="35"/>
        <v>0</v>
      </c>
      <c r="L1121" s="40">
        <f>1000*M1121/VLOOKUP(D1121,'Normalised Rates'!$A$7:$B$12,2,FALSE)</f>
        <v>4.0253447633246363E-2</v>
      </c>
      <c r="M1121" s="34">
        <v>108</v>
      </c>
    </row>
    <row r="1122" spans="1:13" ht="15" customHeight="1" x14ac:dyDescent="0.25">
      <c r="A1122" s="30" t="s">
        <v>146</v>
      </c>
      <c r="B1122" s="30" t="s">
        <v>100</v>
      </c>
      <c r="C1122" s="9" t="s">
        <v>67</v>
      </c>
      <c r="D1122" s="32">
        <v>2025</v>
      </c>
      <c r="E1122" s="33" t="s">
        <v>34</v>
      </c>
      <c r="F1122" s="33">
        <f t="shared" si="36"/>
        <v>0</v>
      </c>
      <c r="G1122" s="33">
        <f t="shared" si="36"/>
        <v>0</v>
      </c>
      <c r="H1122" s="33">
        <f t="shared" si="36"/>
        <v>4</v>
      </c>
      <c r="I1122" s="40">
        <f t="shared" si="35"/>
        <v>0</v>
      </c>
      <c r="J1122" s="40">
        <f t="shared" si="35"/>
        <v>0</v>
      </c>
      <c r="K1122" s="40">
        <f t="shared" si="35"/>
        <v>1.2686330478908975E-3</v>
      </c>
      <c r="L1122" s="40">
        <f>1000*M1122/VLOOKUP(D1122,'Normalised Rates'!$A$7:$B$12,2,FALSE)</f>
        <v>1.2686330478908975E-3</v>
      </c>
      <c r="M1122" s="34">
        <v>4</v>
      </c>
    </row>
    <row r="1123" spans="1:13" ht="15" customHeight="1" x14ac:dyDescent="0.25">
      <c r="A1123" s="30" t="s">
        <v>146</v>
      </c>
      <c r="B1123" s="30" t="s">
        <v>100</v>
      </c>
      <c r="C1123" s="9" t="s">
        <v>67</v>
      </c>
      <c r="D1123" s="32">
        <v>2025</v>
      </c>
      <c r="E1123" s="35" t="s">
        <v>163</v>
      </c>
      <c r="F1123" s="33">
        <f t="shared" si="36"/>
        <v>2998</v>
      </c>
      <c r="G1123" s="33">
        <f t="shared" si="36"/>
        <v>0</v>
      </c>
      <c r="H1123" s="33">
        <f t="shared" si="36"/>
        <v>0</v>
      </c>
      <c r="I1123" s="40">
        <f t="shared" si="35"/>
        <v>0.95084046939422773</v>
      </c>
      <c r="J1123" s="40">
        <f t="shared" si="35"/>
        <v>0</v>
      </c>
      <c r="K1123" s="40">
        <f t="shared" si="35"/>
        <v>0</v>
      </c>
      <c r="L1123" s="40">
        <f>1000*M1123/VLOOKUP(D1123,'Normalised Rates'!$A$7:$B$12,2,FALSE)</f>
        <v>0.95084046939422773</v>
      </c>
      <c r="M1123" s="34">
        <v>2998</v>
      </c>
    </row>
    <row r="1124" spans="1:13" ht="15" customHeight="1" x14ac:dyDescent="0.25">
      <c r="A1124" s="30" t="s">
        <v>146</v>
      </c>
      <c r="B1124" s="30" t="s">
        <v>100</v>
      </c>
      <c r="C1124" s="9" t="s">
        <v>67</v>
      </c>
      <c r="D1124" s="32">
        <v>2026</v>
      </c>
      <c r="E1124" s="35" t="s">
        <v>163</v>
      </c>
      <c r="F1124" s="33">
        <f t="shared" si="36"/>
        <v>1056</v>
      </c>
      <c r="G1124" s="33">
        <f t="shared" si="36"/>
        <v>0</v>
      </c>
      <c r="H1124" s="33">
        <f t="shared" si="36"/>
        <v>0</v>
      </c>
      <c r="I1124" s="40">
        <f t="shared" si="35"/>
        <v>0.80380589914367273</v>
      </c>
      <c r="J1124" s="40">
        <f t="shared" si="35"/>
        <v>0</v>
      </c>
      <c r="K1124" s="40">
        <f t="shared" si="35"/>
        <v>0</v>
      </c>
      <c r="L1124" s="40">
        <f>1000*M1124/VLOOKUP(D1124,'Normalised Rates'!$A$7:$B$12,2,FALSE)</f>
        <v>0.80380589914367273</v>
      </c>
      <c r="M1124" s="34">
        <v>1056</v>
      </c>
    </row>
    <row r="1125" spans="1:13" ht="15" customHeight="1" x14ac:dyDescent="0.25">
      <c r="A1125" s="30" t="s">
        <v>146</v>
      </c>
      <c r="B1125" s="30" t="s">
        <v>86</v>
      </c>
      <c r="C1125" s="9" t="s">
        <v>84</v>
      </c>
      <c r="D1125" s="32">
        <v>2022</v>
      </c>
      <c r="E1125" s="35" t="s">
        <v>163</v>
      </c>
      <c r="F1125" s="33">
        <f t="shared" si="36"/>
        <v>2</v>
      </c>
      <c r="G1125" s="33">
        <f t="shared" si="36"/>
        <v>0</v>
      </c>
      <c r="H1125" s="33">
        <f t="shared" si="36"/>
        <v>0</v>
      </c>
      <c r="I1125" s="40">
        <f t="shared" si="35"/>
        <v>1.0666666666666667E-3</v>
      </c>
      <c r="J1125" s="40">
        <f t="shared" si="35"/>
        <v>0</v>
      </c>
      <c r="K1125" s="40">
        <f t="shared" si="35"/>
        <v>0</v>
      </c>
      <c r="L1125" s="40">
        <f>1000*M1125/VLOOKUP(D1125,'Normalised Rates'!$A$7:$B$12,2,FALSE)</f>
        <v>1.0666666666666667E-3</v>
      </c>
      <c r="M1125" s="34">
        <v>2</v>
      </c>
    </row>
    <row r="1126" spans="1:13" ht="15" customHeight="1" x14ac:dyDescent="0.25">
      <c r="A1126" s="30" t="s">
        <v>146</v>
      </c>
      <c r="B1126" s="30" t="s">
        <v>86</v>
      </c>
      <c r="C1126" s="9" t="s">
        <v>84</v>
      </c>
      <c r="D1126" s="32">
        <v>2023</v>
      </c>
      <c r="E1126" s="35" t="s">
        <v>163</v>
      </c>
      <c r="F1126" s="33">
        <f t="shared" si="36"/>
        <v>17</v>
      </c>
      <c r="G1126" s="33">
        <f t="shared" si="36"/>
        <v>0</v>
      </c>
      <c r="H1126" s="33">
        <f t="shared" si="36"/>
        <v>0</v>
      </c>
      <c r="I1126" s="40">
        <f t="shared" si="35"/>
        <v>7.4365704286964126E-3</v>
      </c>
      <c r="J1126" s="40">
        <f t="shared" si="35"/>
        <v>0</v>
      </c>
      <c r="K1126" s="40">
        <f t="shared" si="35"/>
        <v>0</v>
      </c>
      <c r="L1126" s="40">
        <f>1000*M1126/VLOOKUP(D1126,'Normalised Rates'!$A$7:$B$12,2,FALSE)</f>
        <v>7.4365704286964126E-3</v>
      </c>
      <c r="M1126" s="34">
        <v>17</v>
      </c>
    </row>
    <row r="1127" spans="1:13" ht="15" customHeight="1" x14ac:dyDescent="0.25">
      <c r="A1127" s="30" t="s">
        <v>146</v>
      </c>
      <c r="B1127" s="30" t="s">
        <v>86</v>
      </c>
      <c r="C1127" s="9" t="s">
        <v>84</v>
      </c>
      <c r="D1127" s="32">
        <v>2024</v>
      </c>
      <c r="E1127" s="35" t="s">
        <v>163</v>
      </c>
      <c r="F1127" s="33">
        <f t="shared" si="36"/>
        <v>47</v>
      </c>
      <c r="G1127" s="33">
        <f t="shared" si="36"/>
        <v>0</v>
      </c>
      <c r="H1127" s="33">
        <f t="shared" si="36"/>
        <v>0</v>
      </c>
      <c r="I1127" s="40">
        <f t="shared" ref="I1127:K1158" si="37">IF(_xlfn.CONCAT($E1127,"%")=I$5,$L1127,0)</f>
        <v>1.7517704062616473E-2</v>
      </c>
      <c r="J1127" s="40">
        <f t="shared" si="37"/>
        <v>0</v>
      </c>
      <c r="K1127" s="40">
        <f t="shared" si="37"/>
        <v>0</v>
      </c>
      <c r="L1127" s="40">
        <f>1000*M1127/VLOOKUP(D1127,'Normalised Rates'!$A$7:$B$12,2,FALSE)</f>
        <v>1.7517704062616473E-2</v>
      </c>
      <c r="M1127" s="34">
        <v>47</v>
      </c>
    </row>
    <row r="1128" spans="1:13" ht="15" customHeight="1" x14ac:dyDescent="0.25">
      <c r="A1128" s="30" t="s">
        <v>146</v>
      </c>
      <c r="B1128" s="30" t="s">
        <v>86</v>
      </c>
      <c r="C1128" s="9" t="s">
        <v>84</v>
      </c>
      <c r="D1128" s="32">
        <v>2025</v>
      </c>
      <c r="E1128" s="33" t="s">
        <v>34</v>
      </c>
      <c r="F1128" s="33">
        <f t="shared" si="36"/>
        <v>0</v>
      </c>
      <c r="G1128" s="33">
        <f t="shared" si="36"/>
        <v>0</v>
      </c>
      <c r="H1128" s="33">
        <f t="shared" si="36"/>
        <v>4</v>
      </c>
      <c r="I1128" s="40">
        <f t="shared" si="37"/>
        <v>0</v>
      </c>
      <c r="J1128" s="40">
        <f t="shared" si="37"/>
        <v>0</v>
      </c>
      <c r="K1128" s="40">
        <f t="shared" si="37"/>
        <v>1.2686330478908975E-3</v>
      </c>
      <c r="L1128" s="40">
        <f>1000*M1128/VLOOKUP(D1128,'Normalised Rates'!$A$7:$B$12,2,FALSE)</f>
        <v>1.2686330478908975E-3</v>
      </c>
      <c r="M1128" s="34">
        <v>4</v>
      </c>
    </row>
    <row r="1129" spans="1:13" ht="15" customHeight="1" x14ac:dyDescent="0.25">
      <c r="A1129" s="30" t="s">
        <v>146</v>
      </c>
      <c r="B1129" s="30" t="s">
        <v>86</v>
      </c>
      <c r="C1129" s="9" t="s">
        <v>84</v>
      </c>
      <c r="D1129" s="32">
        <v>2025</v>
      </c>
      <c r="E1129" s="35" t="s">
        <v>163</v>
      </c>
      <c r="F1129" s="33">
        <f t="shared" ref="F1129:H1160" si="38">IF($E1129=F$5,$M1129,0)</f>
        <v>2368</v>
      </c>
      <c r="G1129" s="33">
        <f t="shared" si="38"/>
        <v>0</v>
      </c>
      <c r="H1129" s="33">
        <f t="shared" si="38"/>
        <v>0</v>
      </c>
      <c r="I1129" s="40">
        <f t="shared" si="37"/>
        <v>0.75103076435141136</v>
      </c>
      <c r="J1129" s="40">
        <f t="shared" si="37"/>
        <v>0</v>
      </c>
      <c r="K1129" s="40">
        <f t="shared" si="37"/>
        <v>0</v>
      </c>
      <c r="L1129" s="40">
        <f>1000*M1129/VLOOKUP(D1129,'Normalised Rates'!$A$7:$B$12,2,FALSE)</f>
        <v>0.75103076435141136</v>
      </c>
      <c r="M1129" s="34">
        <v>2368</v>
      </c>
    </row>
    <row r="1130" spans="1:13" ht="15" customHeight="1" x14ac:dyDescent="0.25">
      <c r="A1130" s="30" t="s">
        <v>146</v>
      </c>
      <c r="B1130" s="30" t="s">
        <v>86</v>
      </c>
      <c r="C1130" s="9" t="s">
        <v>84</v>
      </c>
      <c r="D1130" s="32">
        <v>2026</v>
      </c>
      <c r="E1130" s="33" t="s">
        <v>34</v>
      </c>
      <c r="F1130" s="33">
        <f t="shared" si="38"/>
        <v>0</v>
      </c>
      <c r="G1130" s="33">
        <f t="shared" si="38"/>
        <v>0</v>
      </c>
      <c r="H1130" s="33">
        <f t="shared" si="38"/>
        <v>4</v>
      </c>
      <c r="I1130" s="40">
        <f t="shared" si="37"/>
        <v>0</v>
      </c>
      <c r="J1130" s="40">
        <f t="shared" si="37"/>
        <v>0</v>
      </c>
      <c r="K1130" s="40">
        <f t="shared" si="37"/>
        <v>3.0447193149381541E-3</v>
      </c>
      <c r="L1130" s="40">
        <f>1000*M1130/VLOOKUP(D1130,'Normalised Rates'!$A$7:$B$12,2,FALSE)</f>
        <v>3.0447193149381541E-3</v>
      </c>
      <c r="M1130" s="34">
        <v>4</v>
      </c>
    </row>
    <row r="1131" spans="1:13" ht="15" customHeight="1" x14ac:dyDescent="0.25">
      <c r="A1131" s="30" t="s">
        <v>146</v>
      </c>
      <c r="B1131" s="30" t="s">
        <v>86</v>
      </c>
      <c r="C1131" s="9" t="s">
        <v>84</v>
      </c>
      <c r="D1131" s="32">
        <v>2026</v>
      </c>
      <c r="E1131" s="35" t="s">
        <v>163</v>
      </c>
      <c r="F1131" s="33">
        <f t="shared" si="38"/>
        <v>1228</v>
      </c>
      <c r="G1131" s="33">
        <f t="shared" si="38"/>
        <v>0</v>
      </c>
      <c r="H1131" s="33">
        <f t="shared" si="38"/>
        <v>0</v>
      </c>
      <c r="I1131" s="40">
        <f t="shared" si="37"/>
        <v>0.93472882968601334</v>
      </c>
      <c r="J1131" s="40">
        <f t="shared" si="37"/>
        <v>0</v>
      </c>
      <c r="K1131" s="40">
        <f t="shared" si="37"/>
        <v>0</v>
      </c>
      <c r="L1131" s="40">
        <f>1000*M1131/VLOOKUP(D1131,'Normalised Rates'!$A$7:$B$12,2,FALSE)</f>
        <v>0.93472882968601334</v>
      </c>
      <c r="M1131" s="34">
        <v>1228</v>
      </c>
    </row>
    <row r="1132" spans="1:13" ht="15" customHeight="1" x14ac:dyDescent="0.25">
      <c r="A1132" s="30" t="s">
        <v>146</v>
      </c>
      <c r="B1132" s="30" t="s">
        <v>98</v>
      </c>
      <c r="C1132" s="9" t="s">
        <v>84</v>
      </c>
      <c r="D1132" s="32">
        <v>2022</v>
      </c>
      <c r="E1132" s="33" t="s">
        <v>34</v>
      </c>
      <c r="F1132" s="33">
        <f t="shared" si="38"/>
        <v>0</v>
      </c>
      <c r="G1132" s="33">
        <f t="shared" si="38"/>
        <v>0</v>
      </c>
      <c r="H1132" s="33">
        <f t="shared" si="38"/>
        <v>1</v>
      </c>
      <c r="I1132" s="40">
        <f t="shared" si="37"/>
        <v>0</v>
      </c>
      <c r="J1132" s="40">
        <f t="shared" si="37"/>
        <v>0</v>
      </c>
      <c r="K1132" s="40">
        <f t="shared" si="37"/>
        <v>5.3333333333333336E-4</v>
      </c>
      <c r="L1132" s="40">
        <f>1000*M1132/VLOOKUP(D1132,'Normalised Rates'!$A$7:$B$12,2,FALSE)</f>
        <v>5.3333333333333336E-4</v>
      </c>
      <c r="M1132" s="34">
        <v>1</v>
      </c>
    </row>
    <row r="1133" spans="1:13" ht="15" customHeight="1" x14ac:dyDescent="0.25">
      <c r="A1133" s="30" t="s">
        <v>146</v>
      </c>
      <c r="B1133" s="30" t="s">
        <v>98</v>
      </c>
      <c r="C1133" s="9" t="s">
        <v>84</v>
      </c>
      <c r="D1133" s="32">
        <v>2024</v>
      </c>
      <c r="E1133" s="35" t="s">
        <v>163</v>
      </c>
      <c r="F1133" s="33">
        <f t="shared" si="38"/>
        <v>2</v>
      </c>
      <c r="G1133" s="33">
        <f t="shared" si="38"/>
        <v>0</v>
      </c>
      <c r="H1133" s="33">
        <f t="shared" si="38"/>
        <v>0</v>
      </c>
      <c r="I1133" s="40">
        <f t="shared" si="37"/>
        <v>7.4543421543048823E-4</v>
      </c>
      <c r="J1133" s="40">
        <f t="shared" si="37"/>
        <v>0</v>
      </c>
      <c r="K1133" s="40">
        <f t="shared" si="37"/>
        <v>0</v>
      </c>
      <c r="L1133" s="40">
        <f>1000*M1133/VLOOKUP(D1133,'Normalised Rates'!$A$7:$B$12,2,FALSE)</f>
        <v>7.4543421543048823E-4</v>
      </c>
      <c r="M1133" s="34">
        <v>2</v>
      </c>
    </row>
    <row r="1134" spans="1:13" ht="15" customHeight="1" x14ac:dyDescent="0.25">
      <c r="A1134" s="30" t="s">
        <v>146</v>
      </c>
      <c r="B1134" s="30" t="s">
        <v>98</v>
      </c>
      <c r="C1134" s="9" t="s">
        <v>84</v>
      </c>
      <c r="D1134" s="32">
        <v>2025</v>
      </c>
      <c r="E1134" s="33" t="s">
        <v>34</v>
      </c>
      <c r="F1134" s="33">
        <f t="shared" si="38"/>
        <v>0</v>
      </c>
      <c r="G1134" s="33">
        <f t="shared" si="38"/>
        <v>0</v>
      </c>
      <c r="H1134" s="33">
        <f t="shared" si="38"/>
        <v>4</v>
      </c>
      <c r="I1134" s="40">
        <f t="shared" si="37"/>
        <v>0</v>
      </c>
      <c r="J1134" s="40">
        <f t="shared" si="37"/>
        <v>0</v>
      </c>
      <c r="K1134" s="40">
        <f t="shared" si="37"/>
        <v>1.2686330478908975E-3</v>
      </c>
      <c r="L1134" s="40">
        <f>1000*M1134/VLOOKUP(D1134,'Normalised Rates'!$A$7:$B$12,2,FALSE)</f>
        <v>1.2686330478908975E-3</v>
      </c>
      <c r="M1134" s="34">
        <v>4</v>
      </c>
    </row>
    <row r="1135" spans="1:13" ht="15" customHeight="1" x14ac:dyDescent="0.25">
      <c r="A1135" s="30" t="s">
        <v>146</v>
      </c>
      <c r="B1135" s="30" t="s">
        <v>98</v>
      </c>
      <c r="C1135" s="9" t="s">
        <v>84</v>
      </c>
      <c r="D1135" s="32">
        <v>2025</v>
      </c>
      <c r="E1135" s="35" t="s">
        <v>163</v>
      </c>
      <c r="F1135" s="33">
        <f t="shared" si="38"/>
        <v>1030</v>
      </c>
      <c r="G1135" s="33">
        <f t="shared" si="38"/>
        <v>0</v>
      </c>
      <c r="H1135" s="33">
        <f t="shared" si="38"/>
        <v>0</v>
      </c>
      <c r="I1135" s="40">
        <f t="shared" si="37"/>
        <v>0.32667300983190611</v>
      </c>
      <c r="J1135" s="40">
        <f t="shared" si="37"/>
        <v>0</v>
      </c>
      <c r="K1135" s="40">
        <f t="shared" si="37"/>
        <v>0</v>
      </c>
      <c r="L1135" s="40">
        <f>1000*M1135/VLOOKUP(D1135,'Normalised Rates'!$A$7:$B$12,2,FALSE)</f>
        <v>0.32667300983190611</v>
      </c>
      <c r="M1135" s="34">
        <v>1030</v>
      </c>
    </row>
    <row r="1136" spans="1:13" ht="15" customHeight="1" x14ac:dyDescent="0.25">
      <c r="A1136" s="30" t="s">
        <v>146</v>
      </c>
      <c r="B1136" s="30" t="s">
        <v>98</v>
      </c>
      <c r="C1136" s="9" t="s">
        <v>84</v>
      </c>
      <c r="D1136" s="32">
        <v>2026</v>
      </c>
      <c r="E1136" s="33" t="s">
        <v>34</v>
      </c>
      <c r="F1136" s="33">
        <f t="shared" si="38"/>
        <v>0</v>
      </c>
      <c r="G1136" s="33">
        <f t="shared" si="38"/>
        <v>0</v>
      </c>
      <c r="H1136" s="33">
        <f t="shared" si="38"/>
        <v>3</v>
      </c>
      <c r="I1136" s="40">
        <f t="shared" si="37"/>
        <v>0</v>
      </c>
      <c r="J1136" s="40">
        <f t="shared" si="37"/>
        <v>0</v>
      </c>
      <c r="K1136" s="40">
        <f t="shared" si="37"/>
        <v>2.2835394862036158E-3</v>
      </c>
      <c r="L1136" s="40">
        <f>1000*M1136/VLOOKUP(D1136,'Normalised Rates'!$A$7:$B$12,2,FALSE)</f>
        <v>2.2835394862036158E-3</v>
      </c>
      <c r="M1136" s="34">
        <v>3</v>
      </c>
    </row>
    <row r="1137" spans="1:13" ht="15" customHeight="1" x14ac:dyDescent="0.25">
      <c r="A1137" s="30" t="s">
        <v>146</v>
      </c>
      <c r="B1137" s="30" t="s">
        <v>98</v>
      </c>
      <c r="C1137" s="9" t="s">
        <v>84</v>
      </c>
      <c r="D1137" s="32">
        <v>2026</v>
      </c>
      <c r="E1137" s="35" t="s">
        <v>163</v>
      </c>
      <c r="F1137" s="33">
        <f t="shared" si="38"/>
        <v>499</v>
      </c>
      <c r="G1137" s="33">
        <f t="shared" si="38"/>
        <v>0</v>
      </c>
      <c r="H1137" s="33">
        <f t="shared" si="38"/>
        <v>0</v>
      </c>
      <c r="I1137" s="40">
        <f t="shared" si="37"/>
        <v>0.37982873453853472</v>
      </c>
      <c r="J1137" s="40">
        <f t="shared" si="37"/>
        <v>0</v>
      </c>
      <c r="K1137" s="40">
        <f t="shared" si="37"/>
        <v>0</v>
      </c>
      <c r="L1137" s="40">
        <f>1000*M1137/VLOOKUP(D1137,'Normalised Rates'!$A$7:$B$12,2,FALSE)</f>
        <v>0.37982873453853472</v>
      </c>
      <c r="M1137" s="34">
        <v>499</v>
      </c>
    </row>
    <row r="1138" spans="1:13" ht="15" customHeight="1" x14ac:dyDescent="0.25">
      <c r="A1138" s="30" t="s">
        <v>146</v>
      </c>
      <c r="B1138" s="30" t="s">
        <v>75</v>
      </c>
      <c r="C1138" s="9" t="s">
        <v>67</v>
      </c>
      <c r="D1138" s="32">
        <v>2021</v>
      </c>
      <c r="E1138" s="33" t="s">
        <v>34</v>
      </c>
      <c r="F1138" s="33">
        <f t="shared" si="38"/>
        <v>0</v>
      </c>
      <c r="G1138" s="33">
        <f t="shared" si="38"/>
        <v>0</v>
      </c>
      <c r="H1138" s="33">
        <f t="shared" si="38"/>
        <v>1</v>
      </c>
      <c r="I1138" s="40">
        <f t="shared" si="37"/>
        <v>0</v>
      </c>
      <c r="J1138" s="40">
        <f t="shared" si="37"/>
        <v>0</v>
      </c>
      <c r="K1138" s="40">
        <f t="shared" si="37"/>
        <v>6.2735257214554575E-4</v>
      </c>
      <c r="L1138" s="40">
        <f>1000*M1138/VLOOKUP(D1138,'Normalised Rates'!$A$7:$B$12,2,FALSE)</f>
        <v>6.2735257214554575E-4</v>
      </c>
      <c r="M1138" s="34">
        <v>1</v>
      </c>
    </row>
    <row r="1139" spans="1:13" ht="15" customHeight="1" x14ac:dyDescent="0.25">
      <c r="A1139" s="30" t="s">
        <v>146</v>
      </c>
      <c r="B1139" s="30" t="s">
        <v>75</v>
      </c>
      <c r="C1139" s="9" t="s">
        <v>67</v>
      </c>
      <c r="D1139" s="32">
        <v>2021</v>
      </c>
      <c r="E1139" s="35" t="s">
        <v>163</v>
      </c>
      <c r="F1139" s="33">
        <f t="shared" si="38"/>
        <v>27</v>
      </c>
      <c r="G1139" s="33">
        <f t="shared" si="38"/>
        <v>0</v>
      </c>
      <c r="H1139" s="33">
        <f t="shared" si="38"/>
        <v>0</v>
      </c>
      <c r="I1139" s="40">
        <f t="shared" si="37"/>
        <v>1.6938519447929738E-2</v>
      </c>
      <c r="J1139" s="40">
        <f t="shared" si="37"/>
        <v>0</v>
      </c>
      <c r="K1139" s="40">
        <f t="shared" si="37"/>
        <v>0</v>
      </c>
      <c r="L1139" s="40">
        <f>1000*M1139/VLOOKUP(D1139,'Normalised Rates'!$A$7:$B$12,2,FALSE)</f>
        <v>1.6938519447929738E-2</v>
      </c>
      <c r="M1139" s="34">
        <v>27</v>
      </c>
    </row>
    <row r="1140" spans="1:13" ht="15" customHeight="1" x14ac:dyDescent="0.25">
      <c r="A1140" s="30" t="s">
        <v>146</v>
      </c>
      <c r="B1140" s="30" t="s">
        <v>75</v>
      </c>
      <c r="C1140" s="9" t="s">
        <v>67</v>
      </c>
      <c r="D1140" s="32">
        <v>2022</v>
      </c>
      <c r="E1140" s="33" t="s">
        <v>34</v>
      </c>
      <c r="F1140" s="33">
        <f t="shared" si="38"/>
        <v>0</v>
      </c>
      <c r="G1140" s="33">
        <f t="shared" si="38"/>
        <v>0</v>
      </c>
      <c r="H1140" s="33">
        <f t="shared" si="38"/>
        <v>1</v>
      </c>
      <c r="I1140" s="40">
        <f t="shared" si="37"/>
        <v>0</v>
      </c>
      <c r="J1140" s="40">
        <f t="shared" si="37"/>
        <v>0</v>
      </c>
      <c r="K1140" s="40">
        <f t="shared" si="37"/>
        <v>5.3333333333333336E-4</v>
      </c>
      <c r="L1140" s="40">
        <f>1000*M1140/VLOOKUP(D1140,'Normalised Rates'!$A$7:$B$12,2,FALSE)</f>
        <v>5.3333333333333336E-4</v>
      </c>
      <c r="M1140" s="34">
        <v>1</v>
      </c>
    </row>
    <row r="1141" spans="1:13" ht="15" customHeight="1" x14ac:dyDescent="0.25">
      <c r="A1141" s="30" t="s">
        <v>146</v>
      </c>
      <c r="B1141" s="30" t="s">
        <v>75</v>
      </c>
      <c r="C1141" s="9" t="s">
        <v>67</v>
      </c>
      <c r="D1141" s="32">
        <v>2022</v>
      </c>
      <c r="E1141" s="35" t="s">
        <v>163</v>
      </c>
      <c r="F1141" s="33">
        <f t="shared" si="38"/>
        <v>18</v>
      </c>
      <c r="G1141" s="33">
        <f t="shared" si="38"/>
        <v>0</v>
      </c>
      <c r="H1141" s="33">
        <f t="shared" si="38"/>
        <v>0</v>
      </c>
      <c r="I1141" s="40">
        <f t="shared" si="37"/>
        <v>9.5999999999999992E-3</v>
      </c>
      <c r="J1141" s="40">
        <f t="shared" si="37"/>
        <v>0</v>
      </c>
      <c r="K1141" s="40">
        <f t="shared" si="37"/>
        <v>0</v>
      </c>
      <c r="L1141" s="40">
        <f>1000*M1141/VLOOKUP(D1141,'Normalised Rates'!$A$7:$B$12,2,FALSE)</f>
        <v>9.5999999999999992E-3</v>
      </c>
      <c r="M1141" s="34">
        <v>18</v>
      </c>
    </row>
    <row r="1142" spans="1:13" ht="15" customHeight="1" x14ac:dyDescent="0.25">
      <c r="A1142" s="30" t="s">
        <v>146</v>
      </c>
      <c r="B1142" s="30" t="s">
        <v>75</v>
      </c>
      <c r="C1142" s="9" t="s">
        <v>67</v>
      </c>
      <c r="D1142" s="32">
        <v>2023</v>
      </c>
      <c r="E1142" s="33" t="s">
        <v>34</v>
      </c>
      <c r="F1142" s="33">
        <f t="shared" si="38"/>
        <v>0</v>
      </c>
      <c r="G1142" s="33">
        <f t="shared" si="38"/>
        <v>0</v>
      </c>
      <c r="H1142" s="33">
        <f t="shared" si="38"/>
        <v>3</v>
      </c>
      <c r="I1142" s="40">
        <f t="shared" si="37"/>
        <v>0</v>
      </c>
      <c r="J1142" s="40">
        <f t="shared" si="37"/>
        <v>0</v>
      </c>
      <c r="K1142" s="40">
        <f t="shared" si="37"/>
        <v>1.3123359580052493E-3</v>
      </c>
      <c r="L1142" s="40">
        <f>1000*M1142/VLOOKUP(D1142,'Normalised Rates'!$A$7:$B$12,2,FALSE)</f>
        <v>1.3123359580052493E-3</v>
      </c>
      <c r="M1142" s="34">
        <v>3</v>
      </c>
    </row>
    <row r="1143" spans="1:13" ht="15" customHeight="1" x14ac:dyDescent="0.25">
      <c r="A1143" s="30" t="s">
        <v>146</v>
      </c>
      <c r="B1143" s="30" t="s">
        <v>75</v>
      </c>
      <c r="C1143" s="9" t="s">
        <v>67</v>
      </c>
      <c r="D1143" s="32">
        <v>2023</v>
      </c>
      <c r="E1143" s="35" t="s">
        <v>163</v>
      </c>
      <c r="F1143" s="33">
        <f t="shared" si="38"/>
        <v>46</v>
      </c>
      <c r="G1143" s="33">
        <f t="shared" si="38"/>
        <v>0</v>
      </c>
      <c r="H1143" s="33">
        <f t="shared" si="38"/>
        <v>0</v>
      </c>
      <c r="I1143" s="40">
        <f t="shared" si="37"/>
        <v>2.0122484689413824E-2</v>
      </c>
      <c r="J1143" s="40">
        <f t="shared" si="37"/>
        <v>0</v>
      </c>
      <c r="K1143" s="40">
        <f t="shared" si="37"/>
        <v>0</v>
      </c>
      <c r="L1143" s="40">
        <f>1000*M1143/VLOOKUP(D1143,'Normalised Rates'!$A$7:$B$12,2,FALSE)</f>
        <v>2.0122484689413824E-2</v>
      </c>
      <c r="M1143" s="34">
        <v>46</v>
      </c>
    </row>
    <row r="1144" spans="1:13" ht="15" customHeight="1" x14ac:dyDescent="0.25">
      <c r="A1144" s="30" t="s">
        <v>146</v>
      </c>
      <c r="B1144" s="30" t="s">
        <v>75</v>
      </c>
      <c r="C1144" s="9" t="s">
        <v>67</v>
      </c>
      <c r="D1144" s="32">
        <v>2024</v>
      </c>
      <c r="E1144" s="33" t="s">
        <v>34</v>
      </c>
      <c r="F1144" s="33">
        <f t="shared" si="38"/>
        <v>0</v>
      </c>
      <c r="G1144" s="33">
        <f t="shared" si="38"/>
        <v>0</v>
      </c>
      <c r="H1144" s="33">
        <f t="shared" si="38"/>
        <v>2</v>
      </c>
      <c r="I1144" s="40">
        <f t="shared" si="37"/>
        <v>0</v>
      </c>
      <c r="J1144" s="40">
        <f t="shared" si="37"/>
        <v>0</v>
      </c>
      <c r="K1144" s="40">
        <f t="shared" si="37"/>
        <v>7.4543421543048823E-4</v>
      </c>
      <c r="L1144" s="40">
        <f>1000*M1144/VLOOKUP(D1144,'Normalised Rates'!$A$7:$B$12,2,FALSE)</f>
        <v>7.4543421543048823E-4</v>
      </c>
      <c r="M1144" s="34">
        <v>2</v>
      </c>
    </row>
    <row r="1145" spans="1:13" ht="15" customHeight="1" x14ac:dyDescent="0.25">
      <c r="A1145" s="30" t="s">
        <v>146</v>
      </c>
      <c r="B1145" s="30" t="s">
        <v>75</v>
      </c>
      <c r="C1145" s="9" t="s">
        <v>67</v>
      </c>
      <c r="D1145" s="32">
        <v>2024</v>
      </c>
      <c r="E1145" s="35" t="s">
        <v>163</v>
      </c>
      <c r="F1145" s="33">
        <f t="shared" si="38"/>
        <v>33</v>
      </c>
      <c r="G1145" s="33">
        <f t="shared" si="38"/>
        <v>0</v>
      </c>
      <c r="H1145" s="33">
        <f t="shared" si="38"/>
        <v>0</v>
      </c>
      <c r="I1145" s="40">
        <f t="shared" si="37"/>
        <v>1.2299664554603056E-2</v>
      </c>
      <c r="J1145" s="40">
        <f t="shared" si="37"/>
        <v>0</v>
      </c>
      <c r="K1145" s="40">
        <f t="shared" si="37"/>
        <v>0</v>
      </c>
      <c r="L1145" s="40">
        <f>1000*M1145/VLOOKUP(D1145,'Normalised Rates'!$A$7:$B$12,2,FALSE)</f>
        <v>1.2299664554603056E-2</v>
      </c>
      <c r="M1145" s="34">
        <v>33</v>
      </c>
    </row>
    <row r="1146" spans="1:13" ht="15" customHeight="1" x14ac:dyDescent="0.25">
      <c r="A1146" s="30" t="s">
        <v>146</v>
      </c>
      <c r="B1146" s="30" t="s">
        <v>75</v>
      </c>
      <c r="C1146" s="9" t="s">
        <v>67</v>
      </c>
      <c r="D1146" s="32">
        <v>2025</v>
      </c>
      <c r="E1146" s="33" t="s">
        <v>34</v>
      </c>
      <c r="F1146" s="33">
        <f t="shared" si="38"/>
        <v>0</v>
      </c>
      <c r="G1146" s="33">
        <f t="shared" si="38"/>
        <v>0</v>
      </c>
      <c r="H1146" s="33">
        <f t="shared" si="38"/>
        <v>9</v>
      </c>
      <c r="I1146" s="40">
        <f t="shared" si="37"/>
        <v>0</v>
      </c>
      <c r="J1146" s="40">
        <f t="shared" si="37"/>
        <v>0</v>
      </c>
      <c r="K1146" s="40">
        <f t="shared" si="37"/>
        <v>2.8544243577545195E-3</v>
      </c>
      <c r="L1146" s="40">
        <f>1000*M1146/VLOOKUP(D1146,'Normalised Rates'!$A$7:$B$12,2,FALSE)</f>
        <v>2.8544243577545195E-3</v>
      </c>
      <c r="M1146" s="34">
        <v>9</v>
      </c>
    </row>
    <row r="1147" spans="1:13" ht="15" customHeight="1" x14ac:dyDescent="0.25">
      <c r="A1147" s="30" t="s">
        <v>146</v>
      </c>
      <c r="B1147" s="30" t="s">
        <v>75</v>
      </c>
      <c r="C1147" s="9" t="s">
        <v>67</v>
      </c>
      <c r="D1147" s="32">
        <v>2025</v>
      </c>
      <c r="E1147" s="35" t="s">
        <v>163</v>
      </c>
      <c r="F1147" s="33">
        <f t="shared" si="38"/>
        <v>794</v>
      </c>
      <c r="G1147" s="33">
        <f t="shared" si="38"/>
        <v>0</v>
      </c>
      <c r="H1147" s="33">
        <f t="shared" si="38"/>
        <v>0</v>
      </c>
      <c r="I1147" s="40">
        <f t="shared" si="37"/>
        <v>0.25182366000634315</v>
      </c>
      <c r="J1147" s="40">
        <f t="shared" si="37"/>
        <v>0</v>
      </c>
      <c r="K1147" s="40">
        <f t="shared" si="37"/>
        <v>0</v>
      </c>
      <c r="L1147" s="40">
        <f>1000*M1147/VLOOKUP(D1147,'Normalised Rates'!$A$7:$B$12,2,FALSE)</f>
        <v>0.25182366000634315</v>
      </c>
      <c r="M1147" s="34">
        <v>794</v>
      </c>
    </row>
    <row r="1148" spans="1:13" ht="15" customHeight="1" x14ac:dyDescent="0.25">
      <c r="A1148" s="30" t="s">
        <v>146</v>
      </c>
      <c r="B1148" s="30" t="s">
        <v>75</v>
      </c>
      <c r="C1148" s="9" t="s">
        <v>67</v>
      </c>
      <c r="D1148" s="32">
        <v>2026</v>
      </c>
      <c r="E1148" s="33" t="s">
        <v>34</v>
      </c>
      <c r="F1148" s="33">
        <f t="shared" si="38"/>
        <v>0</v>
      </c>
      <c r="G1148" s="33">
        <f t="shared" si="38"/>
        <v>0</v>
      </c>
      <c r="H1148" s="33">
        <f t="shared" si="38"/>
        <v>5</v>
      </c>
      <c r="I1148" s="40">
        <f t="shared" si="37"/>
        <v>0</v>
      </c>
      <c r="J1148" s="40">
        <f t="shared" si="37"/>
        <v>0</v>
      </c>
      <c r="K1148" s="40">
        <f t="shared" si="37"/>
        <v>3.8058991436726928E-3</v>
      </c>
      <c r="L1148" s="40">
        <f>1000*M1148/VLOOKUP(D1148,'Normalised Rates'!$A$7:$B$12,2,FALSE)</f>
        <v>3.8058991436726928E-3</v>
      </c>
      <c r="M1148" s="34">
        <v>5</v>
      </c>
    </row>
    <row r="1149" spans="1:13" ht="15" customHeight="1" x14ac:dyDescent="0.25">
      <c r="A1149" s="30" t="s">
        <v>146</v>
      </c>
      <c r="B1149" s="30" t="s">
        <v>75</v>
      </c>
      <c r="C1149" s="9" t="s">
        <v>67</v>
      </c>
      <c r="D1149" s="32">
        <v>2026</v>
      </c>
      <c r="E1149" s="35" t="s">
        <v>163</v>
      </c>
      <c r="F1149" s="33">
        <f t="shared" si="38"/>
        <v>407</v>
      </c>
      <c r="G1149" s="33">
        <f t="shared" si="38"/>
        <v>0</v>
      </c>
      <c r="H1149" s="33">
        <f t="shared" si="38"/>
        <v>0</v>
      </c>
      <c r="I1149" s="40">
        <f t="shared" si="37"/>
        <v>0.3098001902949572</v>
      </c>
      <c r="J1149" s="40">
        <f t="shared" si="37"/>
        <v>0</v>
      </c>
      <c r="K1149" s="40">
        <f t="shared" si="37"/>
        <v>0</v>
      </c>
      <c r="L1149" s="40">
        <f>1000*M1149/VLOOKUP(D1149,'Normalised Rates'!$A$7:$B$12,2,FALSE)</f>
        <v>0.3098001902949572</v>
      </c>
      <c r="M1149" s="34">
        <v>407</v>
      </c>
    </row>
    <row r="1150" spans="1:13" ht="15" customHeight="1" x14ac:dyDescent="0.25">
      <c r="A1150" s="30" t="s">
        <v>146</v>
      </c>
      <c r="B1150" s="30" t="s">
        <v>102</v>
      </c>
      <c r="C1150" s="9" t="s">
        <v>84</v>
      </c>
      <c r="D1150" s="32">
        <v>2022</v>
      </c>
      <c r="E1150" s="35" t="s">
        <v>163</v>
      </c>
      <c r="F1150" s="33">
        <f t="shared" si="38"/>
        <v>1</v>
      </c>
      <c r="G1150" s="33">
        <f t="shared" si="38"/>
        <v>0</v>
      </c>
      <c r="H1150" s="33">
        <f t="shared" si="38"/>
        <v>0</v>
      </c>
      <c r="I1150" s="40">
        <f t="shared" si="37"/>
        <v>5.3333333333333336E-4</v>
      </c>
      <c r="J1150" s="40">
        <f t="shared" si="37"/>
        <v>0</v>
      </c>
      <c r="K1150" s="40">
        <f t="shared" si="37"/>
        <v>0</v>
      </c>
      <c r="L1150" s="40">
        <f>1000*M1150/VLOOKUP(D1150,'Normalised Rates'!$A$7:$B$12,2,FALSE)</f>
        <v>5.3333333333333336E-4</v>
      </c>
      <c r="M1150" s="34">
        <v>1</v>
      </c>
    </row>
    <row r="1151" spans="1:13" ht="15" customHeight="1" x14ac:dyDescent="0.25">
      <c r="A1151" s="30" t="s">
        <v>146</v>
      </c>
      <c r="B1151" s="30" t="s">
        <v>102</v>
      </c>
      <c r="C1151" s="9" t="s">
        <v>84</v>
      </c>
      <c r="D1151" s="32">
        <v>2023</v>
      </c>
      <c r="E1151" s="35" t="s">
        <v>163</v>
      </c>
      <c r="F1151" s="33">
        <f t="shared" si="38"/>
        <v>1</v>
      </c>
      <c r="G1151" s="33">
        <f t="shared" si="38"/>
        <v>0</v>
      </c>
      <c r="H1151" s="33">
        <f t="shared" si="38"/>
        <v>0</v>
      </c>
      <c r="I1151" s="40">
        <f t="shared" si="37"/>
        <v>4.3744531933508313E-4</v>
      </c>
      <c r="J1151" s="40">
        <f t="shared" si="37"/>
        <v>0</v>
      </c>
      <c r="K1151" s="40">
        <f t="shared" si="37"/>
        <v>0</v>
      </c>
      <c r="L1151" s="40">
        <f>1000*M1151/VLOOKUP(D1151,'Normalised Rates'!$A$7:$B$12,2,FALSE)</f>
        <v>4.3744531933508313E-4</v>
      </c>
      <c r="M1151" s="34">
        <v>1</v>
      </c>
    </row>
    <row r="1152" spans="1:13" ht="15" customHeight="1" x14ac:dyDescent="0.25">
      <c r="A1152" s="30" t="s">
        <v>146</v>
      </c>
      <c r="B1152" s="30" t="s">
        <v>102</v>
      </c>
      <c r="C1152" s="9" t="s">
        <v>84</v>
      </c>
      <c r="D1152" s="32">
        <v>2024</v>
      </c>
      <c r="E1152" s="35" t="s">
        <v>163</v>
      </c>
      <c r="F1152" s="33">
        <f t="shared" si="38"/>
        <v>1</v>
      </c>
      <c r="G1152" s="33">
        <f t="shared" si="38"/>
        <v>0</v>
      </c>
      <c r="H1152" s="33">
        <f t="shared" si="38"/>
        <v>0</v>
      </c>
      <c r="I1152" s="40">
        <f t="shared" si="37"/>
        <v>3.7271710771524412E-4</v>
      </c>
      <c r="J1152" s="40">
        <f t="shared" si="37"/>
        <v>0</v>
      </c>
      <c r="K1152" s="40">
        <f t="shared" si="37"/>
        <v>0</v>
      </c>
      <c r="L1152" s="40">
        <f>1000*M1152/VLOOKUP(D1152,'Normalised Rates'!$A$7:$B$12,2,FALSE)</f>
        <v>3.7271710771524412E-4</v>
      </c>
      <c r="M1152" s="34">
        <v>1</v>
      </c>
    </row>
    <row r="1153" spans="1:13" ht="15" customHeight="1" x14ac:dyDescent="0.25">
      <c r="A1153" s="30" t="s">
        <v>146</v>
      </c>
      <c r="B1153" s="30" t="s">
        <v>102</v>
      </c>
      <c r="C1153" s="9" t="s">
        <v>84</v>
      </c>
      <c r="D1153" s="32">
        <v>2025</v>
      </c>
      <c r="E1153" s="33" t="s">
        <v>34</v>
      </c>
      <c r="F1153" s="33">
        <f t="shared" si="38"/>
        <v>0</v>
      </c>
      <c r="G1153" s="33">
        <f t="shared" si="38"/>
        <v>0</v>
      </c>
      <c r="H1153" s="33">
        <f t="shared" si="38"/>
        <v>1</v>
      </c>
      <c r="I1153" s="40">
        <f t="shared" si="37"/>
        <v>0</v>
      </c>
      <c r="J1153" s="40">
        <f t="shared" si="37"/>
        <v>0</v>
      </c>
      <c r="K1153" s="40">
        <f t="shared" si="37"/>
        <v>3.1715826197272439E-4</v>
      </c>
      <c r="L1153" s="40">
        <f>1000*M1153/VLOOKUP(D1153,'Normalised Rates'!$A$7:$B$12,2,FALSE)</f>
        <v>3.1715826197272439E-4</v>
      </c>
      <c r="M1153" s="34">
        <v>1</v>
      </c>
    </row>
    <row r="1154" spans="1:13" ht="15" customHeight="1" x14ac:dyDescent="0.25">
      <c r="A1154" s="30" t="s">
        <v>146</v>
      </c>
      <c r="B1154" s="30" t="s">
        <v>102</v>
      </c>
      <c r="C1154" s="9" t="s">
        <v>84</v>
      </c>
      <c r="D1154" s="32">
        <v>2025</v>
      </c>
      <c r="E1154" s="35" t="s">
        <v>163</v>
      </c>
      <c r="F1154" s="33">
        <f t="shared" si="38"/>
        <v>579</v>
      </c>
      <c r="G1154" s="33">
        <f t="shared" si="38"/>
        <v>0</v>
      </c>
      <c r="H1154" s="33">
        <f t="shared" si="38"/>
        <v>0</v>
      </c>
      <c r="I1154" s="40">
        <f t="shared" si="37"/>
        <v>0.18363463368220742</v>
      </c>
      <c r="J1154" s="40">
        <f t="shared" si="37"/>
        <v>0</v>
      </c>
      <c r="K1154" s="40">
        <f t="shared" si="37"/>
        <v>0</v>
      </c>
      <c r="L1154" s="40">
        <f>1000*M1154/VLOOKUP(D1154,'Normalised Rates'!$A$7:$B$12,2,FALSE)</f>
        <v>0.18363463368220742</v>
      </c>
      <c r="M1154" s="34">
        <v>579</v>
      </c>
    </row>
    <row r="1155" spans="1:13" ht="15" customHeight="1" x14ac:dyDescent="0.25">
      <c r="A1155" s="30" t="s">
        <v>146</v>
      </c>
      <c r="B1155" s="30" t="s">
        <v>102</v>
      </c>
      <c r="C1155" s="9" t="s">
        <v>84</v>
      </c>
      <c r="D1155" s="32">
        <v>2026</v>
      </c>
      <c r="E1155" s="35" t="s">
        <v>163</v>
      </c>
      <c r="F1155" s="33">
        <f t="shared" si="38"/>
        <v>359</v>
      </c>
      <c r="G1155" s="33">
        <f t="shared" si="38"/>
        <v>0</v>
      </c>
      <c r="H1155" s="33">
        <f t="shared" si="38"/>
        <v>0</v>
      </c>
      <c r="I1155" s="40">
        <f t="shared" si="37"/>
        <v>0.27326355851569933</v>
      </c>
      <c r="J1155" s="40">
        <f t="shared" si="37"/>
        <v>0</v>
      </c>
      <c r="K1155" s="40">
        <f t="shared" si="37"/>
        <v>0</v>
      </c>
      <c r="L1155" s="40">
        <f>1000*M1155/VLOOKUP(D1155,'Normalised Rates'!$A$7:$B$12,2,FALSE)</f>
        <v>0.27326355851569933</v>
      </c>
      <c r="M1155" s="34">
        <v>359</v>
      </c>
    </row>
    <row r="1156" spans="1:13" ht="15" customHeight="1" x14ac:dyDescent="0.25">
      <c r="A1156" s="30" t="s">
        <v>146</v>
      </c>
      <c r="B1156" s="30" t="s">
        <v>107</v>
      </c>
      <c r="C1156" s="9" t="s">
        <v>67</v>
      </c>
      <c r="D1156" s="32">
        <v>2021</v>
      </c>
      <c r="E1156" s="35" t="s">
        <v>163</v>
      </c>
      <c r="F1156" s="33">
        <f t="shared" si="38"/>
        <v>8</v>
      </c>
      <c r="G1156" s="33">
        <f t="shared" si="38"/>
        <v>0</v>
      </c>
      <c r="H1156" s="33">
        <f t="shared" si="38"/>
        <v>0</v>
      </c>
      <c r="I1156" s="40">
        <f t="shared" si="37"/>
        <v>5.018820577164366E-3</v>
      </c>
      <c r="J1156" s="40">
        <f t="shared" si="37"/>
        <v>0</v>
      </c>
      <c r="K1156" s="40">
        <f t="shared" si="37"/>
        <v>0</v>
      </c>
      <c r="L1156" s="40">
        <f>1000*M1156/VLOOKUP(D1156,'Normalised Rates'!$A$7:$B$12,2,FALSE)</f>
        <v>5.018820577164366E-3</v>
      </c>
      <c r="M1156" s="34">
        <v>8</v>
      </c>
    </row>
    <row r="1157" spans="1:13" ht="15" customHeight="1" x14ac:dyDescent="0.25">
      <c r="A1157" s="30" t="s">
        <v>146</v>
      </c>
      <c r="B1157" s="30" t="s">
        <v>107</v>
      </c>
      <c r="C1157" s="9" t="s">
        <v>67</v>
      </c>
      <c r="D1157" s="32">
        <v>2022</v>
      </c>
      <c r="E1157" s="35" t="s">
        <v>163</v>
      </c>
      <c r="F1157" s="33">
        <f t="shared" si="38"/>
        <v>9</v>
      </c>
      <c r="G1157" s="33">
        <f t="shared" si="38"/>
        <v>0</v>
      </c>
      <c r="H1157" s="33">
        <f t="shared" si="38"/>
        <v>0</v>
      </c>
      <c r="I1157" s="40">
        <f t="shared" si="37"/>
        <v>4.7999999999999996E-3</v>
      </c>
      <c r="J1157" s="40">
        <f t="shared" si="37"/>
        <v>0</v>
      </c>
      <c r="K1157" s="40">
        <f t="shared" si="37"/>
        <v>0</v>
      </c>
      <c r="L1157" s="40">
        <f>1000*M1157/VLOOKUP(D1157,'Normalised Rates'!$A$7:$B$12,2,FALSE)</f>
        <v>4.7999999999999996E-3</v>
      </c>
      <c r="M1157" s="34">
        <v>9</v>
      </c>
    </row>
    <row r="1158" spans="1:13" ht="15" customHeight="1" x14ac:dyDescent="0.25">
      <c r="A1158" s="30" t="s">
        <v>146</v>
      </c>
      <c r="B1158" s="30" t="s">
        <v>107</v>
      </c>
      <c r="C1158" s="9" t="s">
        <v>67</v>
      </c>
      <c r="D1158" s="32">
        <v>2023</v>
      </c>
      <c r="E1158" s="35" t="s">
        <v>163</v>
      </c>
      <c r="F1158" s="33">
        <f t="shared" si="38"/>
        <v>13</v>
      </c>
      <c r="G1158" s="33">
        <f t="shared" si="38"/>
        <v>0</v>
      </c>
      <c r="H1158" s="33">
        <f t="shared" si="38"/>
        <v>0</v>
      </c>
      <c r="I1158" s="40">
        <f t="shared" si="37"/>
        <v>5.6867891513560807E-3</v>
      </c>
      <c r="J1158" s="40">
        <f t="shared" si="37"/>
        <v>0</v>
      </c>
      <c r="K1158" s="40">
        <f t="shared" si="37"/>
        <v>0</v>
      </c>
      <c r="L1158" s="40">
        <f>1000*M1158/VLOOKUP(D1158,'Normalised Rates'!$A$7:$B$12,2,FALSE)</f>
        <v>5.6867891513560807E-3</v>
      </c>
      <c r="M1158" s="34">
        <v>13</v>
      </c>
    </row>
    <row r="1159" spans="1:13" ht="15" customHeight="1" x14ac:dyDescent="0.25">
      <c r="A1159" s="30" t="s">
        <v>146</v>
      </c>
      <c r="B1159" s="30" t="s">
        <v>107</v>
      </c>
      <c r="C1159" s="9" t="s">
        <v>67</v>
      </c>
      <c r="D1159" s="32">
        <v>2024</v>
      </c>
      <c r="E1159" s="33" t="s">
        <v>34</v>
      </c>
      <c r="F1159" s="33">
        <f t="shared" si="38"/>
        <v>0</v>
      </c>
      <c r="G1159" s="33">
        <f t="shared" si="38"/>
        <v>0</v>
      </c>
      <c r="H1159" s="33">
        <f t="shared" si="38"/>
        <v>1</v>
      </c>
      <c r="I1159" s="40">
        <f t="shared" ref="I1159:K1190" si="39">IF(_xlfn.CONCAT($E1159,"%")=I$5,$L1159,0)</f>
        <v>0</v>
      </c>
      <c r="J1159" s="40">
        <f t="shared" si="39"/>
        <v>0</v>
      </c>
      <c r="K1159" s="40">
        <f t="shared" si="39"/>
        <v>3.7271710771524412E-4</v>
      </c>
      <c r="L1159" s="40">
        <f>1000*M1159/VLOOKUP(D1159,'Normalised Rates'!$A$7:$B$12,2,FALSE)</f>
        <v>3.7271710771524412E-4</v>
      </c>
      <c r="M1159" s="34">
        <v>1</v>
      </c>
    </row>
    <row r="1160" spans="1:13" ht="15" customHeight="1" x14ac:dyDescent="0.25">
      <c r="A1160" s="30" t="s">
        <v>146</v>
      </c>
      <c r="B1160" s="30" t="s">
        <v>107</v>
      </c>
      <c r="C1160" s="9" t="s">
        <v>67</v>
      </c>
      <c r="D1160" s="32">
        <v>2024</v>
      </c>
      <c r="E1160" s="35" t="s">
        <v>163</v>
      </c>
      <c r="F1160" s="33">
        <f t="shared" si="38"/>
        <v>17</v>
      </c>
      <c r="G1160" s="33">
        <f t="shared" si="38"/>
        <v>0</v>
      </c>
      <c r="H1160" s="33">
        <f t="shared" si="38"/>
        <v>0</v>
      </c>
      <c r="I1160" s="40">
        <f t="shared" si="39"/>
        <v>6.3361908311591504E-3</v>
      </c>
      <c r="J1160" s="40">
        <f t="shared" si="39"/>
        <v>0</v>
      </c>
      <c r="K1160" s="40">
        <f t="shared" si="39"/>
        <v>0</v>
      </c>
      <c r="L1160" s="40">
        <f>1000*M1160/VLOOKUP(D1160,'Normalised Rates'!$A$7:$B$12,2,FALSE)</f>
        <v>6.3361908311591504E-3</v>
      </c>
      <c r="M1160" s="34">
        <v>17</v>
      </c>
    </row>
    <row r="1161" spans="1:13" ht="15" customHeight="1" x14ac:dyDescent="0.25">
      <c r="A1161" s="30" t="s">
        <v>146</v>
      </c>
      <c r="B1161" s="30" t="s">
        <v>107</v>
      </c>
      <c r="C1161" s="9" t="s">
        <v>67</v>
      </c>
      <c r="D1161" s="32">
        <v>2025</v>
      </c>
      <c r="E1161" s="33" t="s">
        <v>34</v>
      </c>
      <c r="F1161" s="33">
        <f t="shared" ref="F1161:H1192" si="40">IF($E1161=F$5,$M1161,0)</f>
        <v>0</v>
      </c>
      <c r="G1161" s="33">
        <f t="shared" si="40"/>
        <v>0</v>
      </c>
      <c r="H1161" s="33">
        <f t="shared" si="40"/>
        <v>5</v>
      </c>
      <c r="I1161" s="40">
        <f t="shared" si="39"/>
        <v>0</v>
      </c>
      <c r="J1161" s="40">
        <f t="shared" si="39"/>
        <v>0</v>
      </c>
      <c r="K1161" s="40">
        <f t="shared" si="39"/>
        <v>1.585791309863622E-3</v>
      </c>
      <c r="L1161" s="40">
        <f>1000*M1161/VLOOKUP(D1161,'Normalised Rates'!$A$7:$B$12,2,FALSE)</f>
        <v>1.585791309863622E-3</v>
      </c>
      <c r="M1161" s="34">
        <v>5</v>
      </c>
    </row>
    <row r="1162" spans="1:13" ht="15" customHeight="1" x14ac:dyDescent="0.25">
      <c r="A1162" s="30" t="s">
        <v>146</v>
      </c>
      <c r="B1162" s="30" t="s">
        <v>107</v>
      </c>
      <c r="C1162" s="9" t="s">
        <v>67</v>
      </c>
      <c r="D1162" s="32">
        <v>2025</v>
      </c>
      <c r="E1162" s="35" t="s">
        <v>163</v>
      </c>
      <c r="F1162" s="33">
        <f t="shared" si="40"/>
        <v>444</v>
      </c>
      <c r="G1162" s="33">
        <f t="shared" si="40"/>
        <v>0</v>
      </c>
      <c r="H1162" s="33">
        <f t="shared" si="40"/>
        <v>0</v>
      </c>
      <c r="I1162" s="40">
        <f t="shared" si="39"/>
        <v>0.14081826831588962</v>
      </c>
      <c r="J1162" s="40">
        <f t="shared" si="39"/>
        <v>0</v>
      </c>
      <c r="K1162" s="40">
        <f t="shared" si="39"/>
        <v>0</v>
      </c>
      <c r="L1162" s="40">
        <f>1000*M1162/VLOOKUP(D1162,'Normalised Rates'!$A$7:$B$12,2,FALSE)</f>
        <v>0.14081826831588962</v>
      </c>
      <c r="M1162" s="34">
        <v>444</v>
      </c>
    </row>
    <row r="1163" spans="1:13" ht="15" customHeight="1" x14ac:dyDescent="0.25">
      <c r="A1163" s="30" t="s">
        <v>146</v>
      </c>
      <c r="B1163" s="30" t="s">
        <v>107</v>
      </c>
      <c r="C1163" s="9" t="s">
        <v>67</v>
      </c>
      <c r="D1163" s="32">
        <v>2026</v>
      </c>
      <c r="E1163" s="33" t="s">
        <v>34</v>
      </c>
      <c r="F1163" s="33">
        <f t="shared" si="40"/>
        <v>0</v>
      </c>
      <c r="G1163" s="33">
        <f t="shared" si="40"/>
        <v>0</v>
      </c>
      <c r="H1163" s="33">
        <f t="shared" si="40"/>
        <v>2</v>
      </c>
      <c r="I1163" s="40">
        <f t="shared" si="39"/>
        <v>0</v>
      </c>
      <c r="J1163" s="40">
        <f t="shared" si="39"/>
        <v>0</v>
      </c>
      <c r="K1163" s="40">
        <f t="shared" si="39"/>
        <v>1.522359657469077E-3</v>
      </c>
      <c r="L1163" s="40">
        <f>1000*M1163/VLOOKUP(D1163,'Normalised Rates'!$A$7:$B$12,2,FALSE)</f>
        <v>1.522359657469077E-3</v>
      </c>
      <c r="M1163" s="34">
        <v>2</v>
      </c>
    </row>
    <row r="1164" spans="1:13" ht="15" customHeight="1" x14ac:dyDescent="0.25">
      <c r="A1164" s="30" t="s">
        <v>146</v>
      </c>
      <c r="B1164" s="30" t="s">
        <v>107</v>
      </c>
      <c r="C1164" s="9" t="s">
        <v>67</v>
      </c>
      <c r="D1164" s="32">
        <v>2026</v>
      </c>
      <c r="E1164" s="35" t="s">
        <v>163</v>
      </c>
      <c r="F1164" s="33">
        <f t="shared" si="40"/>
        <v>224</v>
      </c>
      <c r="G1164" s="33">
        <f t="shared" si="40"/>
        <v>0</v>
      </c>
      <c r="H1164" s="33">
        <f t="shared" si="40"/>
        <v>0</v>
      </c>
      <c r="I1164" s="40">
        <f t="shared" si="39"/>
        <v>0.17050428163653664</v>
      </c>
      <c r="J1164" s="40">
        <f t="shared" si="39"/>
        <v>0</v>
      </c>
      <c r="K1164" s="40">
        <f t="shared" si="39"/>
        <v>0</v>
      </c>
      <c r="L1164" s="40">
        <f>1000*M1164/VLOOKUP(D1164,'Normalised Rates'!$A$7:$B$12,2,FALSE)</f>
        <v>0.17050428163653664</v>
      </c>
      <c r="M1164" s="34">
        <v>224</v>
      </c>
    </row>
    <row r="1165" spans="1:13" ht="15" customHeight="1" x14ac:dyDescent="0.25">
      <c r="A1165" s="30" t="s">
        <v>146</v>
      </c>
      <c r="B1165" s="30" t="s">
        <v>83</v>
      </c>
      <c r="C1165" s="9" t="s">
        <v>84</v>
      </c>
      <c r="D1165" s="32">
        <v>2022</v>
      </c>
      <c r="E1165" s="35" t="s">
        <v>163</v>
      </c>
      <c r="F1165" s="33">
        <f t="shared" si="40"/>
        <v>1</v>
      </c>
      <c r="G1165" s="33">
        <f t="shared" si="40"/>
        <v>0</v>
      </c>
      <c r="H1165" s="33">
        <f t="shared" si="40"/>
        <v>0</v>
      </c>
      <c r="I1165" s="40">
        <f t="shared" si="39"/>
        <v>5.3333333333333336E-4</v>
      </c>
      <c r="J1165" s="40">
        <f t="shared" si="39"/>
        <v>0</v>
      </c>
      <c r="K1165" s="40">
        <f t="shared" si="39"/>
        <v>0</v>
      </c>
      <c r="L1165" s="40">
        <f>1000*M1165/VLOOKUP(D1165,'Normalised Rates'!$A$7:$B$12,2,FALSE)</f>
        <v>5.3333333333333336E-4</v>
      </c>
      <c r="M1165" s="34">
        <v>1</v>
      </c>
    </row>
    <row r="1166" spans="1:13" ht="15" customHeight="1" x14ac:dyDescent="0.25">
      <c r="A1166" s="30" t="s">
        <v>146</v>
      </c>
      <c r="B1166" s="30" t="s">
        <v>83</v>
      </c>
      <c r="C1166" s="9" t="s">
        <v>84</v>
      </c>
      <c r="D1166" s="32">
        <v>2023</v>
      </c>
      <c r="E1166" s="35" t="s">
        <v>163</v>
      </c>
      <c r="F1166" s="33">
        <f t="shared" si="40"/>
        <v>3</v>
      </c>
      <c r="G1166" s="33">
        <f t="shared" si="40"/>
        <v>0</v>
      </c>
      <c r="H1166" s="33">
        <f t="shared" si="40"/>
        <v>0</v>
      </c>
      <c r="I1166" s="40">
        <f t="shared" si="39"/>
        <v>1.3123359580052493E-3</v>
      </c>
      <c r="J1166" s="40">
        <f t="shared" si="39"/>
        <v>0</v>
      </c>
      <c r="K1166" s="40">
        <f t="shared" si="39"/>
        <v>0</v>
      </c>
      <c r="L1166" s="40">
        <f>1000*M1166/VLOOKUP(D1166,'Normalised Rates'!$A$7:$B$12,2,FALSE)</f>
        <v>1.3123359580052493E-3</v>
      </c>
      <c r="M1166" s="34">
        <v>3</v>
      </c>
    </row>
    <row r="1167" spans="1:13" ht="15" customHeight="1" x14ac:dyDescent="0.25">
      <c r="A1167" s="30" t="s">
        <v>146</v>
      </c>
      <c r="B1167" s="30" t="s">
        <v>83</v>
      </c>
      <c r="C1167" s="9" t="s">
        <v>84</v>
      </c>
      <c r="D1167" s="32">
        <v>2024</v>
      </c>
      <c r="E1167" s="35" t="s">
        <v>163</v>
      </c>
      <c r="F1167" s="33">
        <f t="shared" si="40"/>
        <v>5</v>
      </c>
      <c r="G1167" s="33">
        <f t="shared" si="40"/>
        <v>0</v>
      </c>
      <c r="H1167" s="33">
        <f t="shared" si="40"/>
        <v>0</v>
      </c>
      <c r="I1167" s="40">
        <f t="shared" si="39"/>
        <v>1.8635855385762206E-3</v>
      </c>
      <c r="J1167" s="40">
        <f t="shared" si="39"/>
        <v>0</v>
      </c>
      <c r="K1167" s="40">
        <f t="shared" si="39"/>
        <v>0</v>
      </c>
      <c r="L1167" s="40">
        <f>1000*M1167/VLOOKUP(D1167,'Normalised Rates'!$A$7:$B$12,2,FALSE)</f>
        <v>1.8635855385762206E-3</v>
      </c>
      <c r="M1167" s="34">
        <v>5</v>
      </c>
    </row>
    <row r="1168" spans="1:13" ht="15" customHeight="1" x14ac:dyDescent="0.25">
      <c r="A1168" s="30" t="s">
        <v>146</v>
      </c>
      <c r="B1168" s="30" t="s">
        <v>83</v>
      </c>
      <c r="C1168" s="9" t="s">
        <v>84</v>
      </c>
      <c r="D1168" s="32">
        <v>2025</v>
      </c>
      <c r="E1168" s="35" t="s">
        <v>163</v>
      </c>
      <c r="F1168" s="33">
        <f t="shared" si="40"/>
        <v>455</v>
      </c>
      <c r="G1168" s="33">
        <f t="shared" si="40"/>
        <v>0</v>
      </c>
      <c r="H1168" s="33">
        <f t="shared" si="40"/>
        <v>0</v>
      </c>
      <c r="I1168" s="40">
        <f t="shared" si="39"/>
        <v>0.1443070091975896</v>
      </c>
      <c r="J1168" s="40">
        <f t="shared" si="39"/>
        <v>0</v>
      </c>
      <c r="K1168" s="40">
        <f t="shared" si="39"/>
        <v>0</v>
      </c>
      <c r="L1168" s="40">
        <f>1000*M1168/VLOOKUP(D1168,'Normalised Rates'!$A$7:$B$12,2,FALSE)</f>
        <v>0.1443070091975896</v>
      </c>
      <c r="M1168" s="34">
        <v>455</v>
      </c>
    </row>
    <row r="1169" spans="1:13" ht="15" customHeight="1" x14ac:dyDescent="0.25">
      <c r="A1169" s="30" t="s">
        <v>146</v>
      </c>
      <c r="B1169" s="30" t="s">
        <v>83</v>
      </c>
      <c r="C1169" s="9" t="s">
        <v>84</v>
      </c>
      <c r="D1169" s="32">
        <v>2026</v>
      </c>
      <c r="E1169" s="35" t="s">
        <v>163</v>
      </c>
      <c r="F1169" s="33">
        <f t="shared" si="40"/>
        <v>214</v>
      </c>
      <c r="G1169" s="33">
        <f t="shared" si="40"/>
        <v>0</v>
      </c>
      <c r="H1169" s="33">
        <f t="shared" si="40"/>
        <v>0</v>
      </c>
      <c r="I1169" s="40">
        <f t="shared" si="39"/>
        <v>0.16289248334919124</v>
      </c>
      <c r="J1169" s="40">
        <f t="shared" si="39"/>
        <v>0</v>
      </c>
      <c r="K1169" s="40">
        <f t="shared" si="39"/>
        <v>0</v>
      </c>
      <c r="L1169" s="40">
        <f>1000*M1169/VLOOKUP(D1169,'Normalised Rates'!$A$7:$B$12,2,FALSE)</f>
        <v>0.16289248334919124</v>
      </c>
      <c r="M1169" s="34">
        <v>214</v>
      </c>
    </row>
    <row r="1170" spans="1:13" ht="15" customHeight="1" x14ac:dyDescent="0.25">
      <c r="A1170" s="30" t="s">
        <v>146</v>
      </c>
      <c r="B1170" s="30" t="s">
        <v>113</v>
      </c>
      <c r="C1170" s="9" t="s">
        <v>84</v>
      </c>
      <c r="D1170" s="32">
        <v>2021</v>
      </c>
      <c r="E1170" s="35" t="s">
        <v>163</v>
      </c>
      <c r="F1170" s="33">
        <f t="shared" si="40"/>
        <v>2</v>
      </c>
      <c r="G1170" s="33">
        <f t="shared" si="40"/>
        <v>0</v>
      </c>
      <c r="H1170" s="33">
        <f t="shared" si="40"/>
        <v>0</v>
      </c>
      <c r="I1170" s="40">
        <f t="shared" si="39"/>
        <v>1.2547051442910915E-3</v>
      </c>
      <c r="J1170" s="40">
        <f t="shared" si="39"/>
        <v>0</v>
      </c>
      <c r="K1170" s="40">
        <f t="shared" si="39"/>
        <v>0</v>
      </c>
      <c r="L1170" s="40">
        <f>1000*M1170/VLOOKUP(D1170,'Normalised Rates'!$A$7:$B$12,2,FALSE)</f>
        <v>1.2547051442910915E-3</v>
      </c>
      <c r="M1170" s="34">
        <v>2</v>
      </c>
    </row>
    <row r="1171" spans="1:13" ht="15" customHeight="1" x14ac:dyDescent="0.25">
      <c r="A1171" s="30" t="s">
        <v>146</v>
      </c>
      <c r="B1171" s="30" t="s">
        <v>113</v>
      </c>
      <c r="C1171" s="9" t="s">
        <v>84</v>
      </c>
      <c r="D1171" s="32">
        <v>2022</v>
      </c>
      <c r="E1171" s="35" t="s">
        <v>163</v>
      </c>
      <c r="F1171" s="33">
        <f t="shared" si="40"/>
        <v>2</v>
      </c>
      <c r="G1171" s="33">
        <f t="shared" si="40"/>
        <v>0</v>
      </c>
      <c r="H1171" s="33">
        <f t="shared" si="40"/>
        <v>0</v>
      </c>
      <c r="I1171" s="40">
        <f t="shared" si="39"/>
        <v>1.0666666666666667E-3</v>
      </c>
      <c r="J1171" s="40">
        <f t="shared" si="39"/>
        <v>0</v>
      </c>
      <c r="K1171" s="40">
        <f t="shared" si="39"/>
        <v>0</v>
      </c>
      <c r="L1171" s="40">
        <f>1000*M1171/VLOOKUP(D1171,'Normalised Rates'!$A$7:$B$12,2,FALSE)</f>
        <v>1.0666666666666667E-3</v>
      </c>
      <c r="M1171" s="34">
        <v>2</v>
      </c>
    </row>
    <row r="1172" spans="1:13" ht="15" customHeight="1" x14ac:dyDescent="0.25">
      <c r="A1172" s="30" t="s">
        <v>146</v>
      </c>
      <c r="B1172" s="30" t="s">
        <v>113</v>
      </c>
      <c r="C1172" s="9" t="s">
        <v>84</v>
      </c>
      <c r="D1172" s="32">
        <v>2023</v>
      </c>
      <c r="E1172" s="35" t="s">
        <v>163</v>
      </c>
      <c r="F1172" s="33">
        <f t="shared" si="40"/>
        <v>27</v>
      </c>
      <c r="G1172" s="33">
        <f t="shared" si="40"/>
        <v>0</v>
      </c>
      <c r="H1172" s="33">
        <f t="shared" si="40"/>
        <v>0</v>
      </c>
      <c r="I1172" s="40">
        <f t="shared" si="39"/>
        <v>1.1811023622047244E-2</v>
      </c>
      <c r="J1172" s="40">
        <f t="shared" si="39"/>
        <v>0</v>
      </c>
      <c r="K1172" s="40">
        <f t="shared" si="39"/>
        <v>0</v>
      </c>
      <c r="L1172" s="40">
        <f>1000*M1172/VLOOKUP(D1172,'Normalised Rates'!$A$7:$B$12,2,FALSE)</f>
        <v>1.1811023622047244E-2</v>
      </c>
      <c r="M1172" s="34">
        <v>27</v>
      </c>
    </row>
    <row r="1173" spans="1:13" ht="15" customHeight="1" x14ac:dyDescent="0.25">
      <c r="A1173" s="30" t="s">
        <v>146</v>
      </c>
      <c r="B1173" s="30" t="s">
        <v>113</v>
      </c>
      <c r="C1173" s="9" t="s">
        <v>84</v>
      </c>
      <c r="D1173" s="32">
        <v>2024</v>
      </c>
      <c r="E1173" s="35" t="s">
        <v>163</v>
      </c>
      <c r="F1173" s="33">
        <f t="shared" si="40"/>
        <v>7</v>
      </c>
      <c r="G1173" s="33">
        <f t="shared" si="40"/>
        <v>0</v>
      </c>
      <c r="H1173" s="33">
        <f t="shared" si="40"/>
        <v>0</v>
      </c>
      <c r="I1173" s="40">
        <f t="shared" si="39"/>
        <v>2.6090197540067088E-3</v>
      </c>
      <c r="J1173" s="40">
        <f t="shared" si="39"/>
        <v>0</v>
      </c>
      <c r="K1173" s="40">
        <f t="shared" si="39"/>
        <v>0</v>
      </c>
      <c r="L1173" s="40">
        <f>1000*M1173/VLOOKUP(D1173,'Normalised Rates'!$A$7:$B$12,2,FALSE)</f>
        <v>2.6090197540067088E-3</v>
      </c>
      <c r="M1173" s="34">
        <v>7</v>
      </c>
    </row>
    <row r="1174" spans="1:13" ht="15" customHeight="1" x14ac:dyDescent="0.25">
      <c r="A1174" s="30" t="s">
        <v>146</v>
      </c>
      <c r="B1174" s="30" t="s">
        <v>113</v>
      </c>
      <c r="C1174" s="9" t="s">
        <v>84</v>
      </c>
      <c r="D1174" s="32">
        <v>2025</v>
      </c>
      <c r="E1174" s="33" t="s">
        <v>34</v>
      </c>
      <c r="F1174" s="33">
        <f t="shared" si="40"/>
        <v>0</v>
      </c>
      <c r="G1174" s="33">
        <f t="shared" si="40"/>
        <v>0</v>
      </c>
      <c r="H1174" s="33">
        <f t="shared" si="40"/>
        <v>3</v>
      </c>
      <c r="I1174" s="40">
        <f t="shared" si="39"/>
        <v>0</v>
      </c>
      <c r="J1174" s="40">
        <f t="shared" si="39"/>
        <v>0</v>
      </c>
      <c r="K1174" s="40">
        <f t="shared" si="39"/>
        <v>9.5147478591817321E-4</v>
      </c>
      <c r="L1174" s="40">
        <f>1000*M1174/VLOOKUP(D1174,'Normalised Rates'!$A$7:$B$12,2,FALSE)</f>
        <v>9.5147478591817321E-4</v>
      </c>
      <c r="M1174" s="34">
        <v>3</v>
      </c>
    </row>
    <row r="1175" spans="1:13" ht="15" customHeight="1" x14ac:dyDescent="0.25">
      <c r="A1175" s="30" t="s">
        <v>146</v>
      </c>
      <c r="B1175" s="30" t="s">
        <v>113</v>
      </c>
      <c r="C1175" s="9" t="s">
        <v>84</v>
      </c>
      <c r="D1175" s="32">
        <v>2025</v>
      </c>
      <c r="E1175" s="35" t="s">
        <v>163</v>
      </c>
      <c r="F1175" s="33">
        <f t="shared" si="40"/>
        <v>287</v>
      </c>
      <c r="G1175" s="33">
        <f t="shared" si="40"/>
        <v>0</v>
      </c>
      <c r="H1175" s="33">
        <f t="shared" si="40"/>
        <v>0</v>
      </c>
      <c r="I1175" s="40">
        <f t="shared" si="39"/>
        <v>9.1024421186171905E-2</v>
      </c>
      <c r="J1175" s="40">
        <f t="shared" si="39"/>
        <v>0</v>
      </c>
      <c r="K1175" s="40">
        <f t="shared" si="39"/>
        <v>0</v>
      </c>
      <c r="L1175" s="40">
        <f>1000*M1175/VLOOKUP(D1175,'Normalised Rates'!$A$7:$B$12,2,FALSE)</f>
        <v>9.1024421186171905E-2</v>
      </c>
      <c r="M1175" s="34">
        <v>287</v>
      </c>
    </row>
    <row r="1176" spans="1:13" ht="15" customHeight="1" x14ac:dyDescent="0.25">
      <c r="A1176" s="30" t="s">
        <v>146</v>
      </c>
      <c r="B1176" s="30" t="s">
        <v>113</v>
      </c>
      <c r="C1176" s="9" t="s">
        <v>84</v>
      </c>
      <c r="D1176" s="32">
        <v>2026</v>
      </c>
      <c r="E1176" s="35" t="s">
        <v>163</v>
      </c>
      <c r="F1176" s="33">
        <f t="shared" si="40"/>
        <v>76</v>
      </c>
      <c r="G1176" s="33">
        <f t="shared" si="40"/>
        <v>0</v>
      </c>
      <c r="H1176" s="33">
        <f t="shared" si="40"/>
        <v>0</v>
      </c>
      <c r="I1176" s="40">
        <f t="shared" si="39"/>
        <v>5.7849666983824925E-2</v>
      </c>
      <c r="J1176" s="40">
        <f t="shared" si="39"/>
        <v>0</v>
      </c>
      <c r="K1176" s="40">
        <f t="shared" si="39"/>
        <v>0</v>
      </c>
      <c r="L1176" s="40">
        <f>1000*M1176/VLOOKUP(D1176,'Normalised Rates'!$A$7:$B$12,2,FALSE)</f>
        <v>5.7849666983824925E-2</v>
      </c>
      <c r="M1176" s="34">
        <v>76</v>
      </c>
    </row>
    <row r="1177" spans="1:13" ht="15" customHeight="1" x14ac:dyDescent="0.25">
      <c r="A1177" s="30" t="s">
        <v>146</v>
      </c>
      <c r="B1177" s="30" t="s">
        <v>90</v>
      </c>
      <c r="C1177" s="9" t="s">
        <v>67</v>
      </c>
      <c r="D1177" s="32">
        <v>2021</v>
      </c>
      <c r="E1177" s="33" t="s">
        <v>34</v>
      </c>
      <c r="F1177" s="33">
        <f t="shared" si="40"/>
        <v>0</v>
      </c>
      <c r="G1177" s="33">
        <f t="shared" si="40"/>
        <v>0</v>
      </c>
      <c r="H1177" s="33">
        <f t="shared" si="40"/>
        <v>1</v>
      </c>
      <c r="I1177" s="40">
        <f t="shared" si="39"/>
        <v>0</v>
      </c>
      <c r="J1177" s="40">
        <f t="shared" si="39"/>
        <v>0</v>
      </c>
      <c r="K1177" s="40">
        <f t="shared" si="39"/>
        <v>6.2735257214554575E-4</v>
      </c>
      <c r="L1177" s="40">
        <f>1000*M1177/VLOOKUP(D1177,'Normalised Rates'!$A$7:$B$12,2,FALSE)</f>
        <v>6.2735257214554575E-4</v>
      </c>
      <c r="M1177" s="34">
        <v>1</v>
      </c>
    </row>
    <row r="1178" spans="1:13" ht="15" customHeight="1" x14ac:dyDescent="0.25">
      <c r="A1178" s="30" t="s">
        <v>146</v>
      </c>
      <c r="B1178" s="30" t="s">
        <v>90</v>
      </c>
      <c r="C1178" s="9" t="s">
        <v>67</v>
      </c>
      <c r="D1178" s="32">
        <v>2021</v>
      </c>
      <c r="E1178" s="35" t="s">
        <v>163</v>
      </c>
      <c r="F1178" s="33">
        <f t="shared" si="40"/>
        <v>15</v>
      </c>
      <c r="G1178" s="33">
        <f t="shared" si="40"/>
        <v>0</v>
      </c>
      <c r="H1178" s="33">
        <f t="shared" si="40"/>
        <v>0</v>
      </c>
      <c r="I1178" s="40">
        <f t="shared" si="39"/>
        <v>9.4102885821831864E-3</v>
      </c>
      <c r="J1178" s="40">
        <f t="shared" si="39"/>
        <v>0</v>
      </c>
      <c r="K1178" s="40">
        <f t="shared" si="39"/>
        <v>0</v>
      </c>
      <c r="L1178" s="40">
        <f>1000*M1178/VLOOKUP(D1178,'Normalised Rates'!$A$7:$B$12,2,FALSE)</f>
        <v>9.4102885821831864E-3</v>
      </c>
      <c r="M1178" s="34">
        <v>15</v>
      </c>
    </row>
    <row r="1179" spans="1:13" ht="15" customHeight="1" x14ac:dyDescent="0.25">
      <c r="A1179" s="30" t="s">
        <v>146</v>
      </c>
      <c r="B1179" s="30" t="s">
        <v>90</v>
      </c>
      <c r="C1179" s="9" t="s">
        <v>67</v>
      </c>
      <c r="D1179" s="32">
        <v>2022</v>
      </c>
      <c r="E1179" s="35" t="s">
        <v>163</v>
      </c>
      <c r="F1179" s="33">
        <f t="shared" si="40"/>
        <v>13</v>
      </c>
      <c r="G1179" s="33">
        <f t="shared" si="40"/>
        <v>0</v>
      </c>
      <c r="H1179" s="33">
        <f t="shared" si="40"/>
        <v>0</v>
      </c>
      <c r="I1179" s="40">
        <f t="shared" si="39"/>
        <v>6.933333333333333E-3</v>
      </c>
      <c r="J1179" s="40">
        <f t="shared" si="39"/>
        <v>0</v>
      </c>
      <c r="K1179" s="40">
        <f t="shared" si="39"/>
        <v>0</v>
      </c>
      <c r="L1179" s="40">
        <f>1000*M1179/VLOOKUP(D1179,'Normalised Rates'!$A$7:$B$12,2,FALSE)</f>
        <v>6.933333333333333E-3</v>
      </c>
      <c r="M1179" s="34">
        <v>13</v>
      </c>
    </row>
    <row r="1180" spans="1:13" ht="15" customHeight="1" x14ac:dyDescent="0.25">
      <c r="A1180" s="30" t="s">
        <v>146</v>
      </c>
      <c r="B1180" s="30" t="s">
        <v>90</v>
      </c>
      <c r="C1180" s="9" t="s">
        <v>67</v>
      </c>
      <c r="D1180" s="32">
        <v>2023</v>
      </c>
      <c r="E1180" s="33" t="s">
        <v>34</v>
      </c>
      <c r="F1180" s="33">
        <f t="shared" si="40"/>
        <v>0</v>
      </c>
      <c r="G1180" s="33">
        <f t="shared" si="40"/>
        <v>0</v>
      </c>
      <c r="H1180" s="33">
        <f t="shared" si="40"/>
        <v>1</v>
      </c>
      <c r="I1180" s="40">
        <f t="shared" si="39"/>
        <v>0</v>
      </c>
      <c r="J1180" s="40">
        <f t="shared" si="39"/>
        <v>0</v>
      </c>
      <c r="K1180" s="40">
        <f t="shared" si="39"/>
        <v>4.3744531933508313E-4</v>
      </c>
      <c r="L1180" s="40">
        <f>1000*M1180/VLOOKUP(D1180,'Normalised Rates'!$A$7:$B$12,2,FALSE)</f>
        <v>4.3744531933508313E-4</v>
      </c>
      <c r="M1180" s="34">
        <v>1</v>
      </c>
    </row>
    <row r="1181" spans="1:13" ht="15" customHeight="1" x14ac:dyDescent="0.25">
      <c r="A1181" s="30" t="s">
        <v>146</v>
      </c>
      <c r="B1181" s="30" t="s">
        <v>90</v>
      </c>
      <c r="C1181" s="9" t="s">
        <v>67</v>
      </c>
      <c r="D1181" s="32">
        <v>2023</v>
      </c>
      <c r="E1181" s="35" t="s">
        <v>163</v>
      </c>
      <c r="F1181" s="33">
        <f t="shared" si="40"/>
        <v>13</v>
      </c>
      <c r="G1181" s="33">
        <f t="shared" si="40"/>
        <v>0</v>
      </c>
      <c r="H1181" s="33">
        <f t="shared" si="40"/>
        <v>0</v>
      </c>
      <c r="I1181" s="40">
        <f t="shared" si="39"/>
        <v>5.6867891513560807E-3</v>
      </c>
      <c r="J1181" s="40">
        <f t="shared" si="39"/>
        <v>0</v>
      </c>
      <c r="K1181" s="40">
        <f t="shared" si="39"/>
        <v>0</v>
      </c>
      <c r="L1181" s="40">
        <f>1000*M1181/VLOOKUP(D1181,'Normalised Rates'!$A$7:$B$12,2,FALSE)</f>
        <v>5.6867891513560807E-3</v>
      </c>
      <c r="M1181" s="34">
        <v>13</v>
      </c>
    </row>
    <row r="1182" spans="1:13" ht="15" customHeight="1" x14ac:dyDescent="0.25">
      <c r="A1182" s="30" t="s">
        <v>146</v>
      </c>
      <c r="B1182" s="30" t="s">
        <v>90</v>
      </c>
      <c r="C1182" s="9" t="s">
        <v>67</v>
      </c>
      <c r="D1182" s="32">
        <v>2024</v>
      </c>
      <c r="E1182" s="35" t="s">
        <v>163</v>
      </c>
      <c r="F1182" s="33">
        <f t="shared" si="40"/>
        <v>21</v>
      </c>
      <c r="G1182" s="33">
        <f t="shared" si="40"/>
        <v>0</v>
      </c>
      <c r="H1182" s="33">
        <f t="shared" si="40"/>
        <v>0</v>
      </c>
      <c r="I1182" s="40">
        <f t="shared" si="39"/>
        <v>7.8270592620201269E-3</v>
      </c>
      <c r="J1182" s="40">
        <f t="shared" si="39"/>
        <v>0</v>
      </c>
      <c r="K1182" s="40">
        <f t="shared" si="39"/>
        <v>0</v>
      </c>
      <c r="L1182" s="40">
        <f>1000*M1182/VLOOKUP(D1182,'Normalised Rates'!$A$7:$B$12,2,FALSE)</f>
        <v>7.8270592620201269E-3</v>
      </c>
      <c r="M1182" s="34">
        <v>21</v>
      </c>
    </row>
    <row r="1183" spans="1:13" ht="15" customHeight="1" x14ac:dyDescent="0.25">
      <c r="A1183" s="30" t="s">
        <v>146</v>
      </c>
      <c r="B1183" s="30" t="s">
        <v>90</v>
      </c>
      <c r="C1183" s="9" t="s">
        <v>67</v>
      </c>
      <c r="D1183" s="32">
        <v>2025</v>
      </c>
      <c r="E1183" s="33" t="s">
        <v>34</v>
      </c>
      <c r="F1183" s="33">
        <f t="shared" si="40"/>
        <v>0</v>
      </c>
      <c r="G1183" s="33">
        <f t="shared" si="40"/>
        <v>0</v>
      </c>
      <c r="H1183" s="33">
        <f t="shared" si="40"/>
        <v>3</v>
      </c>
      <c r="I1183" s="40">
        <f t="shared" si="39"/>
        <v>0</v>
      </c>
      <c r="J1183" s="40">
        <f t="shared" si="39"/>
        <v>0</v>
      </c>
      <c r="K1183" s="40">
        <f t="shared" si="39"/>
        <v>9.5147478591817321E-4</v>
      </c>
      <c r="L1183" s="40">
        <f>1000*M1183/VLOOKUP(D1183,'Normalised Rates'!$A$7:$B$12,2,FALSE)</f>
        <v>9.5147478591817321E-4</v>
      </c>
      <c r="M1183" s="34">
        <v>3</v>
      </c>
    </row>
    <row r="1184" spans="1:13" ht="15" customHeight="1" x14ac:dyDescent="0.25">
      <c r="A1184" s="30" t="s">
        <v>146</v>
      </c>
      <c r="B1184" s="30" t="s">
        <v>90</v>
      </c>
      <c r="C1184" s="9" t="s">
        <v>67</v>
      </c>
      <c r="D1184" s="32">
        <v>2025</v>
      </c>
      <c r="E1184" s="35" t="s">
        <v>163</v>
      </c>
      <c r="F1184" s="33">
        <f t="shared" si="40"/>
        <v>234</v>
      </c>
      <c r="G1184" s="33">
        <f t="shared" si="40"/>
        <v>0</v>
      </c>
      <c r="H1184" s="33">
        <f t="shared" si="40"/>
        <v>0</v>
      </c>
      <c r="I1184" s="40">
        <f t="shared" si="39"/>
        <v>7.4215033301617508E-2</v>
      </c>
      <c r="J1184" s="40">
        <f t="shared" si="39"/>
        <v>0</v>
      </c>
      <c r="K1184" s="40">
        <f t="shared" si="39"/>
        <v>0</v>
      </c>
      <c r="L1184" s="40">
        <f>1000*M1184/VLOOKUP(D1184,'Normalised Rates'!$A$7:$B$12,2,FALSE)</f>
        <v>7.4215033301617508E-2</v>
      </c>
      <c r="M1184" s="34">
        <v>234</v>
      </c>
    </row>
    <row r="1185" spans="1:13" ht="15" customHeight="1" x14ac:dyDescent="0.25">
      <c r="A1185" s="30" t="s">
        <v>146</v>
      </c>
      <c r="B1185" s="30" t="s">
        <v>90</v>
      </c>
      <c r="C1185" s="9" t="s">
        <v>67</v>
      </c>
      <c r="D1185" s="32">
        <v>2026</v>
      </c>
      <c r="E1185" s="33" t="s">
        <v>34</v>
      </c>
      <c r="F1185" s="33">
        <f t="shared" si="40"/>
        <v>0</v>
      </c>
      <c r="G1185" s="33">
        <f t="shared" si="40"/>
        <v>0</v>
      </c>
      <c r="H1185" s="33">
        <f t="shared" si="40"/>
        <v>1</v>
      </c>
      <c r="I1185" s="40">
        <f t="shared" si="39"/>
        <v>0</v>
      </c>
      <c r="J1185" s="40">
        <f t="shared" si="39"/>
        <v>0</v>
      </c>
      <c r="K1185" s="40">
        <f t="shared" si="39"/>
        <v>7.6117982873453852E-4</v>
      </c>
      <c r="L1185" s="40">
        <f>1000*M1185/VLOOKUP(D1185,'Normalised Rates'!$A$7:$B$12,2,FALSE)</f>
        <v>7.6117982873453852E-4</v>
      </c>
      <c r="M1185" s="34">
        <v>1</v>
      </c>
    </row>
    <row r="1186" spans="1:13" ht="15" customHeight="1" x14ac:dyDescent="0.25">
      <c r="A1186" s="30" t="s">
        <v>146</v>
      </c>
      <c r="B1186" s="30" t="s">
        <v>90</v>
      </c>
      <c r="C1186" s="9" t="s">
        <v>67</v>
      </c>
      <c r="D1186" s="32">
        <v>2026</v>
      </c>
      <c r="E1186" s="35" t="s">
        <v>163</v>
      </c>
      <c r="F1186" s="33">
        <f t="shared" si="40"/>
        <v>91</v>
      </c>
      <c r="G1186" s="33">
        <f t="shared" si="40"/>
        <v>0</v>
      </c>
      <c r="H1186" s="33">
        <f t="shared" si="40"/>
        <v>0</v>
      </c>
      <c r="I1186" s="40">
        <f t="shared" si="39"/>
        <v>6.9267364414843005E-2</v>
      </c>
      <c r="J1186" s="40">
        <f t="shared" si="39"/>
        <v>0</v>
      </c>
      <c r="K1186" s="40">
        <f t="shared" si="39"/>
        <v>0</v>
      </c>
      <c r="L1186" s="40">
        <f>1000*M1186/VLOOKUP(D1186,'Normalised Rates'!$A$7:$B$12,2,FALSE)</f>
        <v>6.9267364414843005E-2</v>
      </c>
      <c r="M1186" s="34">
        <v>91</v>
      </c>
    </row>
    <row r="1187" spans="1:13" ht="15" customHeight="1" x14ac:dyDescent="0.25">
      <c r="A1187" s="30" t="s">
        <v>146</v>
      </c>
      <c r="B1187" s="30" t="s">
        <v>115</v>
      </c>
      <c r="C1187" s="9" t="s">
        <v>84</v>
      </c>
      <c r="D1187" s="32">
        <v>2021</v>
      </c>
      <c r="E1187" s="35" t="s">
        <v>163</v>
      </c>
      <c r="F1187" s="33">
        <f t="shared" si="40"/>
        <v>4</v>
      </c>
      <c r="G1187" s="33">
        <f t="shared" si="40"/>
        <v>0</v>
      </c>
      <c r="H1187" s="33">
        <f t="shared" si="40"/>
        <v>0</v>
      </c>
      <c r="I1187" s="40">
        <f t="shared" si="39"/>
        <v>2.509410288582183E-3</v>
      </c>
      <c r="J1187" s="40">
        <f t="shared" si="39"/>
        <v>0</v>
      </c>
      <c r="K1187" s="40">
        <f t="shared" si="39"/>
        <v>0</v>
      </c>
      <c r="L1187" s="40">
        <f>1000*M1187/VLOOKUP(D1187,'Normalised Rates'!$A$7:$B$12,2,FALSE)</f>
        <v>2.509410288582183E-3</v>
      </c>
      <c r="M1187" s="34">
        <v>4</v>
      </c>
    </row>
    <row r="1188" spans="1:13" ht="15" customHeight="1" x14ac:dyDescent="0.25">
      <c r="A1188" s="30" t="s">
        <v>146</v>
      </c>
      <c r="B1188" s="30" t="s">
        <v>115</v>
      </c>
      <c r="C1188" s="9" t="s">
        <v>84</v>
      </c>
      <c r="D1188" s="32">
        <v>2022</v>
      </c>
      <c r="E1188" s="35" t="s">
        <v>163</v>
      </c>
      <c r="F1188" s="33">
        <f t="shared" si="40"/>
        <v>3</v>
      </c>
      <c r="G1188" s="33">
        <f t="shared" si="40"/>
        <v>0</v>
      </c>
      <c r="H1188" s="33">
        <f t="shared" si="40"/>
        <v>0</v>
      </c>
      <c r="I1188" s="40">
        <f t="shared" si="39"/>
        <v>1.6000000000000001E-3</v>
      </c>
      <c r="J1188" s="40">
        <f t="shared" si="39"/>
        <v>0</v>
      </c>
      <c r="K1188" s="40">
        <f t="shared" si="39"/>
        <v>0</v>
      </c>
      <c r="L1188" s="40">
        <f>1000*M1188/VLOOKUP(D1188,'Normalised Rates'!$A$7:$B$12,2,FALSE)</f>
        <v>1.6000000000000001E-3</v>
      </c>
      <c r="M1188" s="34">
        <v>3</v>
      </c>
    </row>
    <row r="1189" spans="1:13" ht="15" customHeight="1" x14ac:dyDescent="0.25">
      <c r="A1189" s="30" t="s">
        <v>146</v>
      </c>
      <c r="B1189" s="30" t="s">
        <v>115</v>
      </c>
      <c r="C1189" s="9" t="s">
        <v>84</v>
      </c>
      <c r="D1189" s="32">
        <v>2023</v>
      </c>
      <c r="E1189" s="35" t="s">
        <v>163</v>
      </c>
      <c r="F1189" s="33">
        <f t="shared" si="40"/>
        <v>25</v>
      </c>
      <c r="G1189" s="33">
        <f t="shared" si="40"/>
        <v>0</v>
      </c>
      <c r="H1189" s="33">
        <f t="shared" si="40"/>
        <v>0</v>
      </c>
      <c r="I1189" s="40">
        <f t="shared" si="39"/>
        <v>1.0936132983377077E-2</v>
      </c>
      <c r="J1189" s="40">
        <f t="shared" si="39"/>
        <v>0</v>
      </c>
      <c r="K1189" s="40">
        <f t="shared" si="39"/>
        <v>0</v>
      </c>
      <c r="L1189" s="40">
        <f>1000*M1189/VLOOKUP(D1189,'Normalised Rates'!$A$7:$B$12,2,FALSE)</f>
        <v>1.0936132983377077E-2</v>
      </c>
      <c r="M1189" s="34">
        <v>25</v>
      </c>
    </row>
    <row r="1190" spans="1:13" ht="15" customHeight="1" x14ac:dyDescent="0.25">
      <c r="A1190" s="30" t="s">
        <v>146</v>
      </c>
      <c r="B1190" s="30" t="s">
        <v>115</v>
      </c>
      <c r="C1190" s="9" t="s">
        <v>84</v>
      </c>
      <c r="D1190" s="32">
        <v>2024</v>
      </c>
      <c r="E1190" s="35" t="s">
        <v>163</v>
      </c>
      <c r="F1190" s="33">
        <f t="shared" si="40"/>
        <v>9</v>
      </c>
      <c r="G1190" s="33">
        <f t="shared" si="40"/>
        <v>0</v>
      </c>
      <c r="H1190" s="33">
        <f t="shared" si="40"/>
        <v>0</v>
      </c>
      <c r="I1190" s="40">
        <f t="shared" si="39"/>
        <v>3.354453969437197E-3</v>
      </c>
      <c r="J1190" s="40">
        <f t="shared" si="39"/>
        <v>0</v>
      </c>
      <c r="K1190" s="40">
        <f t="shared" si="39"/>
        <v>0</v>
      </c>
      <c r="L1190" s="40">
        <f>1000*M1190/VLOOKUP(D1190,'Normalised Rates'!$A$7:$B$12,2,FALSE)</f>
        <v>3.354453969437197E-3</v>
      </c>
      <c r="M1190" s="34">
        <v>9</v>
      </c>
    </row>
    <row r="1191" spans="1:13" ht="15" customHeight="1" x14ac:dyDescent="0.25">
      <c r="A1191" s="30" t="s">
        <v>146</v>
      </c>
      <c r="B1191" s="30" t="s">
        <v>115</v>
      </c>
      <c r="C1191" s="9" t="s">
        <v>84</v>
      </c>
      <c r="D1191" s="32">
        <v>2025</v>
      </c>
      <c r="E1191" s="33" t="s">
        <v>34</v>
      </c>
      <c r="F1191" s="33">
        <f t="shared" si="40"/>
        <v>0</v>
      </c>
      <c r="G1191" s="33">
        <f t="shared" si="40"/>
        <v>0</v>
      </c>
      <c r="H1191" s="33">
        <f t="shared" si="40"/>
        <v>2</v>
      </c>
      <c r="I1191" s="40">
        <f t="shared" ref="I1191:K1222" si="41">IF(_xlfn.CONCAT($E1191,"%")=I$5,$L1191,0)</f>
        <v>0</v>
      </c>
      <c r="J1191" s="40">
        <f t="shared" si="41"/>
        <v>0</v>
      </c>
      <c r="K1191" s="40">
        <f t="shared" si="41"/>
        <v>6.3431652394544877E-4</v>
      </c>
      <c r="L1191" s="40">
        <f>1000*M1191/VLOOKUP(D1191,'Normalised Rates'!$A$7:$B$12,2,FALSE)</f>
        <v>6.3431652394544877E-4</v>
      </c>
      <c r="M1191" s="34">
        <v>2</v>
      </c>
    </row>
    <row r="1192" spans="1:13" ht="15" customHeight="1" x14ac:dyDescent="0.25">
      <c r="A1192" s="30" t="s">
        <v>146</v>
      </c>
      <c r="B1192" s="30" t="s">
        <v>115</v>
      </c>
      <c r="C1192" s="9" t="s">
        <v>84</v>
      </c>
      <c r="D1192" s="32">
        <v>2025</v>
      </c>
      <c r="E1192" s="35" t="s">
        <v>163</v>
      </c>
      <c r="F1192" s="33">
        <f t="shared" si="40"/>
        <v>208</v>
      </c>
      <c r="G1192" s="33">
        <f t="shared" si="40"/>
        <v>0</v>
      </c>
      <c r="H1192" s="33">
        <f t="shared" si="40"/>
        <v>0</v>
      </c>
      <c r="I1192" s="40">
        <f t="shared" si="41"/>
        <v>6.596891849032667E-2</v>
      </c>
      <c r="J1192" s="40">
        <f t="shared" si="41"/>
        <v>0</v>
      </c>
      <c r="K1192" s="40">
        <f t="shared" si="41"/>
        <v>0</v>
      </c>
      <c r="L1192" s="40">
        <f>1000*M1192/VLOOKUP(D1192,'Normalised Rates'!$A$7:$B$12,2,FALSE)</f>
        <v>6.596891849032667E-2</v>
      </c>
      <c r="M1192" s="34">
        <v>208</v>
      </c>
    </row>
    <row r="1193" spans="1:13" ht="15" customHeight="1" x14ac:dyDescent="0.25">
      <c r="A1193" s="30" t="s">
        <v>146</v>
      </c>
      <c r="B1193" s="30" t="s">
        <v>115</v>
      </c>
      <c r="C1193" s="9" t="s">
        <v>84</v>
      </c>
      <c r="D1193" s="32">
        <v>2026</v>
      </c>
      <c r="E1193" s="35" t="s">
        <v>163</v>
      </c>
      <c r="F1193" s="33">
        <f t="shared" ref="F1193:H1224" si="42">IF($E1193=F$5,$M1193,0)</f>
        <v>43</v>
      </c>
      <c r="G1193" s="33">
        <f t="shared" si="42"/>
        <v>0</v>
      </c>
      <c r="H1193" s="33">
        <f t="shared" si="42"/>
        <v>0</v>
      </c>
      <c r="I1193" s="40">
        <f t="shared" si="41"/>
        <v>3.2730732635585159E-2</v>
      </c>
      <c r="J1193" s="40">
        <f t="shared" si="41"/>
        <v>0</v>
      </c>
      <c r="K1193" s="40">
        <f t="shared" si="41"/>
        <v>0</v>
      </c>
      <c r="L1193" s="40">
        <f>1000*M1193/VLOOKUP(D1193,'Normalised Rates'!$A$7:$B$12,2,FALSE)</f>
        <v>3.2730732635585159E-2</v>
      </c>
      <c r="M1193" s="34">
        <v>43</v>
      </c>
    </row>
    <row r="1194" spans="1:13" ht="15" customHeight="1" x14ac:dyDescent="0.25">
      <c r="A1194" s="30" t="s">
        <v>146</v>
      </c>
      <c r="B1194" s="30" t="s">
        <v>109</v>
      </c>
      <c r="C1194" s="9" t="s">
        <v>67</v>
      </c>
      <c r="D1194" s="32">
        <v>2021</v>
      </c>
      <c r="E1194" s="35" t="s">
        <v>163</v>
      </c>
      <c r="F1194" s="33">
        <f t="shared" si="42"/>
        <v>6</v>
      </c>
      <c r="G1194" s="33">
        <f t="shared" si="42"/>
        <v>0</v>
      </c>
      <c r="H1194" s="33">
        <f t="shared" si="42"/>
        <v>0</v>
      </c>
      <c r="I1194" s="40">
        <f t="shared" si="41"/>
        <v>3.7641154328732747E-3</v>
      </c>
      <c r="J1194" s="40">
        <f t="shared" si="41"/>
        <v>0</v>
      </c>
      <c r="K1194" s="40">
        <f t="shared" si="41"/>
        <v>0</v>
      </c>
      <c r="L1194" s="40">
        <f>1000*M1194/VLOOKUP(D1194,'Normalised Rates'!$A$7:$B$12,2,FALSE)</f>
        <v>3.7641154328732747E-3</v>
      </c>
      <c r="M1194" s="34">
        <v>6</v>
      </c>
    </row>
    <row r="1195" spans="1:13" ht="15" customHeight="1" x14ac:dyDescent="0.25">
      <c r="A1195" s="30" t="s">
        <v>146</v>
      </c>
      <c r="B1195" s="30" t="s">
        <v>109</v>
      </c>
      <c r="C1195" s="9" t="s">
        <v>67</v>
      </c>
      <c r="D1195" s="32">
        <v>2022</v>
      </c>
      <c r="E1195" s="35" t="s">
        <v>163</v>
      </c>
      <c r="F1195" s="33">
        <f t="shared" si="42"/>
        <v>6</v>
      </c>
      <c r="G1195" s="33">
        <f t="shared" si="42"/>
        <v>0</v>
      </c>
      <c r="H1195" s="33">
        <f t="shared" si="42"/>
        <v>0</v>
      </c>
      <c r="I1195" s="40">
        <f t="shared" si="41"/>
        <v>3.2000000000000002E-3</v>
      </c>
      <c r="J1195" s="40">
        <f t="shared" si="41"/>
        <v>0</v>
      </c>
      <c r="K1195" s="40">
        <f t="shared" si="41"/>
        <v>0</v>
      </c>
      <c r="L1195" s="40">
        <f>1000*M1195/VLOOKUP(D1195,'Normalised Rates'!$A$7:$B$12,2,FALSE)</f>
        <v>3.2000000000000002E-3</v>
      </c>
      <c r="M1195" s="34">
        <v>6</v>
      </c>
    </row>
    <row r="1196" spans="1:13" ht="15" customHeight="1" x14ac:dyDescent="0.25">
      <c r="A1196" s="30" t="s">
        <v>146</v>
      </c>
      <c r="B1196" s="30" t="s">
        <v>109</v>
      </c>
      <c r="C1196" s="9" t="s">
        <v>67</v>
      </c>
      <c r="D1196" s="32">
        <v>2023</v>
      </c>
      <c r="E1196" s="35" t="s">
        <v>163</v>
      </c>
      <c r="F1196" s="33">
        <f t="shared" si="42"/>
        <v>5</v>
      </c>
      <c r="G1196" s="33">
        <f t="shared" si="42"/>
        <v>0</v>
      </c>
      <c r="H1196" s="33">
        <f t="shared" si="42"/>
        <v>0</v>
      </c>
      <c r="I1196" s="40">
        <f t="shared" si="41"/>
        <v>2.1872265966754157E-3</v>
      </c>
      <c r="J1196" s="40">
        <f t="shared" si="41"/>
        <v>0</v>
      </c>
      <c r="K1196" s="40">
        <f t="shared" si="41"/>
        <v>0</v>
      </c>
      <c r="L1196" s="40">
        <f>1000*M1196/VLOOKUP(D1196,'Normalised Rates'!$A$7:$B$12,2,FALSE)</f>
        <v>2.1872265966754157E-3</v>
      </c>
      <c r="M1196" s="34">
        <v>5</v>
      </c>
    </row>
    <row r="1197" spans="1:13" ht="15" customHeight="1" x14ac:dyDescent="0.25">
      <c r="A1197" s="30" t="s">
        <v>146</v>
      </c>
      <c r="B1197" s="30" t="s">
        <v>109</v>
      </c>
      <c r="C1197" s="9" t="s">
        <v>67</v>
      </c>
      <c r="D1197" s="32">
        <v>2024</v>
      </c>
      <c r="E1197" s="35" t="s">
        <v>163</v>
      </c>
      <c r="F1197" s="33">
        <f t="shared" si="42"/>
        <v>7</v>
      </c>
      <c r="G1197" s="33">
        <f t="shared" si="42"/>
        <v>0</v>
      </c>
      <c r="H1197" s="33">
        <f t="shared" si="42"/>
        <v>0</v>
      </c>
      <c r="I1197" s="40">
        <f t="shared" si="41"/>
        <v>2.6090197540067088E-3</v>
      </c>
      <c r="J1197" s="40">
        <f t="shared" si="41"/>
        <v>0</v>
      </c>
      <c r="K1197" s="40">
        <f t="shared" si="41"/>
        <v>0</v>
      </c>
      <c r="L1197" s="40">
        <f>1000*M1197/VLOOKUP(D1197,'Normalised Rates'!$A$7:$B$12,2,FALSE)</f>
        <v>2.6090197540067088E-3</v>
      </c>
      <c r="M1197" s="34">
        <v>7</v>
      </c>
    </row>
    <row r="1198" spans="1:13" ht="15" customHeight="1" x14ac:dyDescent="0.25">
      <c r="A1198" s="30" t="s">
        <v>146</v>
      </c>
      <c r="B1198" s="30" t="s">
        <v>109</v>
      </c>
      <c r="C1198" s="9" t="s">
        <v>67</v>
      </c>
      <c r="D1198" s="32">
        <v>2025</v>
      </c>
      <c r="E1198" s="33" t="s">
        <v>34</v>
      </c>
      <c r="F1198" s="33">
        <f t="shared" si="42"/>
        <v>0</v>
      </c>
      <c r="G1198" s="33">
        <f t="shared" si="42"/>
        <v>0</v>
      </c>
      <c r="H1198" s="33">
        <f t="shared" si="42"/>
        <v>1</v>
      </c>
      <c r="I1198" s="40">
        <f t="shared" si="41"/>
        <v>0</v>
      </c>
      <c r="J1198" s="40">
        <f t="shared" si="41"/>
        <v>0</v>
      </c>
      <c r="K1198" s="40">
        <f t="shared" si="41"/>
        <v>3.1715826197272439E-4</v>
      </c>
      <c r="L1198" s="40">
        <f>1000*M1198/VLOOKUP(D1198,'Normalised Rates'!$A$7:$B$12,2,FALSE)</f>
        <v>3.1715826197272439E-4</v>
      </c>
      <c r="M1198" s="34">
        <v>1</v>
      </c>
    </row>
    <row r="1199" spans="1:13" ht="15" customHeight="1" x14ac:dyDescent="0.25">
      <c r="A1199" s="30" t="s">
        <v>146</v>
      </c>
      <c r="B1199" s="30" t="s">
        <v>109</v>
      </c>
      <c r="C1199" s="9" t="s">
        <v>67</v>
      </c>
      <c r="D1199" s="32">
        <v>2025</v>
      </c>
      <c r="E1199" s="35" t="s">
        <v>163</v>
      </c>
      <c r="F1199" s="33">
        <f t="shared" si="42"/>
        <v>181</v>
      </c>
      <c r="G1199" s="33">
        <f t="shared" si="42"/>
        <v>0</v>
      </c>
      <c r="H1199" s="33">
        <f t="shared" si="42"/>
        <v>0</v>
      </c>
      <c r="I1199" s="40">
        <f t="shared" si="41"/>
        <v>5.7405645417063111E-2</v>
      </c>
      <c r="J1199" s="40">
        <f t="shared" si="41"/>
        <v>0</v>
      </c>
      <c r="K1199" s="40">
        <f t="shared" si="41"/>
        <v>0</v>
      </c>
      <c r="L1199" s="40">
        <f>1000*M1199/VLOOKUP(D1199,'Normalised Rates'!$A$7:$B$12,2,FALSE)</f>
        <v>5.7405645417063111E-2</v>
      </c>
      <c r="M1199" s="34">
        <v>181</v>
      </c>
    </row>
    <row r="1200" spans="1:13" ht="15" customHeight="1" x14ac:dyDescent="0.25">
      <c r="A1200" s="30" t="s">
        <v>146</v>
      </c>
      <c r="B1200" s="30" t="s">
        <v>109</v>
      </c>
      <c r="C1200" s="9" t="s">
        <v>67</v>
      </c>
      <c r="D1200" s="32">
        <v>2026</v>
      </c>
      <c r="E1200" s="35" t="s">
        <v>163</v>
      </c>
      <c r="F1200" s="33">
        <f t="shared" si="42"/>
        <v>82</v>
      </c>
      <c r="G1200" s="33">
        <f t="shared" si="42"/>
        <v>0</v>
      </c>
      <c r="H1200" s="33">
        <f t="shared" si="42"/>
        <v>0</v>
      </c>
      <c r="I1200" s="40">
        <f t="shared" si="41"/>
        <v>6.2416745956232159E-2</v>
      </c>
      <c r="J1200" s="40">
        <f t="shared" si="41"/>
        <v>0</v>
      </c>
      <c r="K1200" s="40">
        <f t="shared" si="41"/>
        <v>0</v>
      </c>
      <c r="L1200" s="40">
        <f>1000*M1200/VLOOKUP(D1200,'Normalised Rates'!$A$7:$B$12,2,FALSE)</f>
        <v>6.2416745956232159E-2</v>
      </c>
      <c r="M1200" s="34">
        <v>82</v>
      </c>
    </row>
    <row r="1201" spans="1:13" ht="15" customHeight="1" x14ac:dyDescent="0.25">
      <c r="A1201" s="30" t="s">
        <v>146</v>
      </c>
      <c r="B1201" s="30" t="s">
        <v>79</v>
      </c>
      <c r="C1201" s="9" t="s">
        <v>67</v>
      </c>
      <c r="D1201" s="32">
        <v>2021</v>
      </c>
      <c r="E1201" s="33" t="s">
        <v>34</v>
      </c>
      <c r="F1201" s="33">
        <f t="shared" si="42"/>
        <v>0</v>
      </c>
      <c r="G1201" s="33">
        <f t="shared" si="42"/>
        <v>0</v>
      </c>
      <c r="H1201" s="33">
        <f t="shared" si="42"/>
        <v>6</v>
      </c>
      <c r="I1201" s="40">
        <f t="shared" si="41"/>
        <v>0</v>
      </c>
      <c r="J1201" s="40">
        <f t="shared" si="41"/>
        <v>0</v>
      </c>
      <c r="K1201" s="40">
        <f t="shared" si="41"/>
        <v>3.7641154328732747E-3</v>
      </c>
      <c r="L1201" s="40">
        <f>1000*M1201/VLOOKUP(D1201,'Normalised Rates'!$A$7:$B$12,2,FALSE)</f>
        <v>3.7641154328732747E-3</v>
      </c>
      <c r="M1201" s="34">
        <v>6</v>
      </c>
    </row>
    <row r="1202" spans="1:13" ht="15" customHeight="1" x14ac:dyDescent="0.25">
      <c r="A1202" s="30" t="s">
        <v>146</v>
      </c>
      <c r="B1202" s="30" t="s">
        <v>79</v>
      </c>
      <c r="C1202" s="9" t="s">
        <v>67</v>
      </c>
      <c r="D1202" s="32">
        <v>2021</v>
      </c>
      <c r="E1202" s="35" t="s">
        <v>163</v>
      </c>
      <c r="F1202" s="33">
        <f t="shared" si="42"/>
        <v>16</v>
      </c>
      <c r="G1202" s="33">
        <f t="shared" si="42"/>
        <v>0</v>
      </c>
      <c r="H1202" s="33">
        <f t="shared" si="42"/>
        <v>0</v>
      </c>
      <c r="I1202" s="40">
        <f t="shared" si="41"/>
        <v>1.0037641154328732E-2</v>
      </c>
      <c r="J1202" s="40">
        <f t="shared" si="41"/>
        <v>0</v>
      </c>
      <c r="K1202" s="40">
        <f t="shared" si="41"/>
        <v>0</v>
      </c>
      <c r="L1202" s="40">
        <f>1000*M1202/VLOOKUP(D1202,'Normalised Rates'!$A$7:$B$12,2,FALSE)</f>
        <v>1.0037641154328732E-2</v>
      </c>
      <c r="M1202" s="34">
        <v>16</v>
      </c>
    </row>
    <row r="1203" spans="1:13" ht="15" customHeight="1" x14ac:dyDescent="0.25">
      <c r="A1203" s="30" t="s">
        <v>146</v>
      </c>
      <c r="B1203" s="30" t="s">
        <v>79</v>
      </c>
      <c r="C1203" s="9" t="s">
        <v>67</v>
      </c>
      <c r="D1203" s="32">
        <v>2022</v>
      </c>
      <c r="E1203" s="33" t="s">
        <v>34</v>
      </c>
      <c r="F1203" s="33">
        <f t="shared" si="42"/>
        <v>0</v>
      </c>
      <c r="G1203" s="33">
        <f t="shared" si="42"/>
        <v>0</v>
      </c>
      <c r="H1203" s="33">
        <f t="shared" si="42"/>
        <v>2</v>
      </c>
      <c r="I1203" s="40">
        <f t="shared" si="41"/>
        <v>0</v>
      </c>
      <c r="J1203" s="40">
        <f t="shared" si="41"/>
        <v>0</v>
      </c>
      <c r="K1203" s="40">
        <f t="shared" si="41"/>
        <v>1.0666666666666667E-3</v>
      </c>
      <c r="L1203" s="40">
        <f>1000*M1203/VLOOKUP(D1203,'Normalised Rates'!$A$7:$B$12,2,FALSE)</f>
        <v>1.0666666666666667E-3</v>
      </c>
      <c r="M1203" s="34">
        <v>2</v>
      </c>
    </row>
    <row r="1204" spans="1:13" ht="15" customHeight="1" x14ac:dyDescent="0.25">
      <c r="A1204" s="30" t="s">
        <v>146</v>
      </c>
      <c r="B1204" s="30" t="s">
        <v>79</v>
      </c>
      <c r="C1204" s="9" t="s">
        <v>67</v>
      </c>
      <c r="D1204" s="32">
        <v>2022</v>
      </c>
      <c r="E1204" s="35" t="s">
        <v>163</v>
      </c>
      <c r="F1204" s="33">
        <f t="shared" si="42"/>
        <v>26</v>
      </c>
      <c r="G1204" s="33">
        <f t="shared" si="42"/>
        <v>0</v>
      </c>
      <c r="H1204" s="33">
        <f t="shared" si="42"/>
        <v>0</v>
      </c>
      <c r="I1204" s="40">
        <f t="shared" si="41"/>
        <v>1.3866666666666666E-2</v>
      </c>
      <c r="J1204" s="40">
        <f t="shared" si="41"/>
        <v>0</v>
      </c>
      <c r="K1204" s="40">
        <f t="shared" si="41"/>
        <v>0</v>
      </c>
      <c r="L1204" s="40">
        <f>1000*M1204/VLOOKUP(D1204,'Normalised Rates'!$A$7:$B$12,2,FALSE)</f>
        <v>1.3866666666666666E-2</v>
      </c>
      <c r="M1204" s="34">
        <v>26</v>
      </c>
    </row>
    <row r="1205" spans="1:13" ht="15" customHeight="1" x14ac:dyDescent="0.25">
      <c r="A1205" s="30" t="s">
        <v>146</v>
      </c>
      <c r="B1205" s="30" t="s">
        <v>79</v>
      </c>
      <c r="C1205" s="9" t="s">
        <v>67</v>
      </c>
      <c r="D1205" s="32">
        <v>2023</v>
      </c>
      <c r="E1205" s="33" t="s">
        <v>34</v>
      </c>
      <c r="F1205" s="33">
        <f t="shared" si="42"/>
        <v>0</v>
      </c>
      <c r="G1205" s="33">
        <f t="shared" si="42"/>
        <v>0</v>
      </c>
      <c r="H1205" s="33">
        <f t="shared" si="42"/>
        <v>4</v>
      </c>
      <c r="I1205" s="40">
        <f t="shared" si="41"/>
        <v>0</v>
      </c>
      <c r="J1205" s="40">
        <f t="shared" si="41"/>
        <v>0</v>
      </c>
      <c r="K1205" s="40">
        <f t="shared" si="41"/>
        <v>1.7497812773403325E-3</v>
      </c>
      <c r="L1205" s="40">
        <f>1000*M1205/VLOOKUP(D1205,'Normalised Rates'!$A$7:$B$12,2,FALSE)</f>
        <v>1.7497812773403325E-3</v>
      </c>
      <c r="M1205" s="34">
        <v>4</v>
      </c>
    </row>
    <row r="1206" spans="1:13" ht="15" customHeight="1" x14ac:dyDescent="0.25">
      <c r="A1206" s="30" t="s">
        <v>146</v>
      </c>
      <c r="B1206" s="30" t="s">
        <v>79</v>
      </c>
      <c r="C1206" s="9" t="s">
        <v>67</v>
      </c>
      <c r="D1206" s="32">
        <v>2023</v>
      </c>
      <c r="E1206" s="35" t="s">
        <v>163</v>
      </c>
      <c r="F1206" s="33">
        <f t="shared" si="42"/>
        <v>32</v>
      </c>
      <c r="G1206" s="33">
        <f t="shared" si="42"/>
        <v>0</v>
      </c>
      <c r="H1206" s="33">
        <f t="shared" si="42"/>
        <v>0</v>
      </c>
      <c r="I1206" s="40">
        <f t="shared" si="41"/>
        <v>1.399825021872266E-2</v>
      </c>
      <c r="J1206" s="40">
        <f t="shared" si="41"/>
        <v>0</v>
      </c>
      <c r="K1206" s="40">
        <f t="shared" si="41"/>
        <v>0</v>
      </c>
      <c r="L1206" s="40">
        <f>1000*M1206/VLOOKUP(D1206,'Normalised Rates'!$A$7:$B$12,2,FALSE)</f>
        <v>1.399825021872266E-2</v>
      </c>
      <c r="M1206" s="34">
        <v>32</v>
      </c>
    </row>
    <row r="1207" spans="1:13" ht="15" customHeight="1" x14ac:dyDescent="0.25">
      <c r="A1207" s="30" t="s">
        <v>146</v>
      </c>
      <c r="B1207" s="30" t="s">
        <v>79</v>
      </c>
      <c r="C1207" s="9" t="s">
        <v>67</v>
      </c>
      <c r="D1207" s="32">
        <v>2024</v>
      </c>
      <c r="E1207" s="33" t="s">
        <v>34</v>
      </c>
      <c r="F1207" s="33">
        <f t="shared" si="42"/>
        <v>0</v>
      </c>
      <c r="G1207" s="33">
        <f t="shared" si="42"/>
        <v>0</v>
      </c>
      <c r="H1207" s="33">
        <f t="shared" si="42"/>
        <v>2</v>
      </c>
      <c r="I1207" s="40">
        <f t="shared" si="41"/>
        <v>0</v>
      </c>
      <c r="J1207" s="40">
        <f t="shared" si="41"/>
        <v>0</v>
      </c>
      <c r="K1207" s="40">
        <f t="shared" si="41"/>
        <v>7.4543421543048823E-4</v>
      </c>
      <c r="L1207" s="40">
        <f>1000*M1207/VLOOKUP(D1207,'Normalised Rates'!$A$7:$B$12,2,FALSE)</f>
        <v>7.4543421543048823E-4</v>
      </c>
      <c r="M1207" s="34">
        <v>2</v>
      </c>
    </row>
    <row r="1208" spans="1:13" ht="15" customHeight="1" x14ac:dyDescent="0.25">
      <c r="A1208" s="30" t="s">
        <v>146</v>
      </c>
      <c r="B1208" s="30" t="s">
        <v>79</v>
      </c>
      <c r="C1208" s="9" t="s">
        <v>67</v>
      </c>
      <c r="D1208" s="32">
        <v>2024</v>
      </c>
      <c r="E1208" s="35" t="s">
        <v>163</v>
      </c>
      <c r="F1208" s="33">
        <f t="shared" si="42"/>
        <v>67</v>
      </c>
      <c r="G1208" s="33">
        <f t="shared" si="42"/>
        <v>0</v>
      </c>
      <c r="H1208" s="33">
        <f t="shared" si="42"/>
        <v>0</v>
      </c>
      <c r="I1208" s="40">
        <f t="shared" si="41"/>
        <v>2.4972046216921357E-2</v>
      </c>
      <c r="J1208" s="40">
        <f t="shared" si="41"/>
        <v>0</v>
      </c>
      <c r="K1208" s="40">
        <f t="shared" si="41"/>
        <v>0</v>
      </c>
      <c r="L1208" s="40">
        <f>1000*M1208/VLOOKUP(D1208,'Normalised Rates'!$A$7:$B$12,2,FALSE)</f>
        <v>2.4972046216921357E-2</v>
      </c>
      <c r="M1208" s="34">
        <v>67</v>
      </c>
    </row>
    <row r="1209" spans="1:13" ht="15" customHeight="1" x14ac:dyDescent="0.25">
      <c r="A1209" s="30" t="s">
        <v>146</v>
      </c>
      <c r="B1209" s="30" t="s">
        <v>79</v>
      </c>
      <c r="C1209" s="9" t="s">
        <v>67</v>
      </c>
      <c r="D1209" s="32">
        <v>2025</v>
      </c>
      <c r="E1209" s="33" t="s">
        <v>34</v>
      </c>
      <c r="F1209" s="33">
        <f t="shared" si="42"/>
        <v>0</v>
      </c>
      <c r="G1209" s="33">
        <f t="shared" si="42"/>
        <v>0</v>
      </c>
      <c r="H1209" s="33">
        <f t="shared" si="42"/>
        <v>2</v>
      </c>
      <c r="I1209" s="40">
        <f t="shared" si="41"/>
        <v>0</v>
      </c>
      <c r="J1209" s="40">
        <f t="shared" si="41"/>
        <v>0</v>
      </c>
      <c r="K1209" s="40">
        <f t="shared" si="41"/>
        <v>6.3431652394544877E-4</v>
      </c>
      <c r="L1209" s="40">
        <f>1000*M1209/VLOOKUP(D1209,'Normalised Rates'!$A$7:$B$12,2,FALSE)</f>
        <v>6.3431652394544877E-4</v>
      </c>
      <c r="M1209" s="34">
        <v>2</v>
      </c>
    </row>
    <row r="1210" spans="1:13" ht="15" customHeight="1" x14ac:dyDescent="0.25">
      <c r="A1210" s="30" t="s">
        <v>146</v>
      </c>
      <c r="B1210" s="30" t="s">
        <v>79</v>
      </c>
      <c r="C1210" s="9" t="s">
        <v>67</v>
      </c>
      <c r="D1210" s="32">
        <v>2025</v>
      </c>
      <c r="E1210" s="35" t="s">
        <v>163</v>
      </c>
      <c r="F1210" s="33">
        <f t="shared" si="42"/>
        <v>64</v>
      </c>
      <c r="G1210" s="33">
        <f t="shared" si="42"/>
        <v>0</v>
      </c>
      <c r="H1210" s="33">
        <f t="shared" si="42"/>
        <v>0</v>
      </c>
      <c r="I1210" s="40">
        <f t="shared" si="41"/>
        <v>2.0298128766254361E-2</v>
      </c>
      <c r="J1210" s="40">
        <f t="shared" si="41"/>
        <v>0</v>
      </c>
      <c r="K1210" s="40">
        <f t="shared" si="41"/>
        <v>0</v>
      </c>
      <c r="L1210" s="40">
        <f>1000*M1210/VLOOKUP(D1210,'Normalised Rates'!$A$7:$B$12,2,FALSE)</f>
        <v>2.0298128766254361E-2</v>
      </c>
      <c r="M1210" s="34">
        <v>64</v>
      </c>
    </row>
    <row r="1211" spans="1:13" ht="15" customHeight="1" x14ac:dyDescent="0.25">
      <c r="A1211" s="30" t="s">
        <v>146</v>
      </c>
      <c r="B1211" s="30" t="s">
        <v>79</v>
      </c>
      <c r="C1211" s="9" t="s">
        <v>67</v>
      </c>
      <c r="D1211" s="32">
        <v>2026</v>
      </c>
      <c r="E1211" s="33" t="s">
        <v>34</v>
      </c>
      <c r="F1211" s="33">
        <f t="shared" si="42"/>
        <v>0</v>
      </c>
      <c r="G1211" s="33">
        <f t="shared" si="42"/>
        <v>0</v>
      </c>
      <c r="H1211" s="33">
        <f t="shared" si="42"/>
        <v>2</v>
      </c>
      <c r="I1211" s="40">
        <f t="shared" si="41"/>
        <v>0</v>
      </c>
      <c r="J1211" s="40">
        <f t="shared" si="41"/>
        <v>0</v>
      </c>
      <c r="K1211" s="40">
        <f t="shared" si="41"/>
        <v>1.522359657469077E-3</v>
      </c>
      <c r="L1211" s="40">
        <f>1000*M1211/VLOOKUP(D1211,'Normalised Rates'!$A$7:$B$12,2,FALSE)</f>
        <v>1.522359657469077E-3</v>
      </c>
      <c r="M1211" s="34">
        <v>2</v>
      </c>
    </row>
    <row r="1212" spans="1:13" ht="15" customHeight="1" x14ac:dyDescent="0.25">
      <c r="A1212" s="30" t="s">
        <v>146</v>
      </c>
      <c r="B1212" s="30" t="s">
        <v>79</v>
      </c>
      <c r="C1212" s="9" t="s">
        <v>67</v>
      </c>
      <c r="D1212" s="32">
        <v>2026</v>
      </c>
      <c r="E1212" s="35" t="s">
        <v>163</v>
      </c>
      <c r="F1212" s="33">
        <f t="shared" si="42"/>
        <v>47</v>
      </c>
      <c r="G1212" s="33">
        <f t="shared" si="42"/>
        <v>0</v>
      </c>
      <c r="H1212" s="33">
        <f t="shared" si="42"/>
        <v>0</v>
      </c>
      <c r="I1212" s="40">
        <f t="shared" si="41"/>
        <v>3.5775451950523313E-2</v>
      </c>
      <c r="J1212" s="40">
        <f t="shared" si="41"/>
        <v>0</v>
      </c>
      <c r="K1212" s="40">
        <f t="shared" si="41"/>
        <v>0</v>
      </c>
      <c r="L1212" s="40">
        <f>1000*M1212/VLOOKUP(D1212,'Normalised Rates'!$A$7:$B$12,2,FALSE)</f>
        <v>3.5775451950523313E-2</v>
      </c>
      <c r="M1212" s="34">
        <v>47</v>
      </c>
    </row>
    <row r="1213" spans="1:13" ht="15" customHeight="1" x14ac:dyDescent="0.25">
      <c r="A1213" s="30" t="s">
        <v>146</v>
      </c>
      <c r="B1213" s="30" t="s">
        <v>121</v>
      </c>
      <c r="C1213" s="9" t="s">
        <v>67</v>
      </c>
      <c r="D1213" s="32">
        <v>2021</v>
      </c>
      <c r="E1213" s="35" t="s">
        <v>163</v>
      </c>
      <c r="F1213" s="33">
        <f t="shared" si="42"/>
        <v>4</v>
      </c>
      <c r="G1213" s="33">
        <f t="shared" si="42"/>
        <v>0</v>
      </c>
      <c r="H1213" s="33">
        <f t="shared" si="42"/>
        <v>0</v>
      </c>
      <c r="I1213" s="40">
        <f t="shared" si="41"/>
        <v>2.509410288582183E-3</v>
      </c>
      <c r="J1213" s="40">
        <f t="shared" si="41"/>
        <v>0</v>
      </c>
      <c r="K1213" s="40">
        <f t="shared" si="41"/>
        <v>0</v>
      </c>
      <c r="L1213" s="40">
        <f>1000*M1213/VLOOKUP(D1213,'Normalised Rates'!$A$7:$B$12,2,FALSE)</f>
        <v>2.509410288582183E-3</v>
      </c>
      <c r="M1213" s="34">
        <v>4</v>
      </c>
    </row>
    <row r="1214" spans="1:13" ht="15" customHeight="1" x14ac:dyDescent="0.25">
      <c r="A1214" s="30" t="s">
        <v>146</v>
      </c>
      <c r="B1214" s="30" t="s">
        <v>121</v>
      </c>
      <c r="C1214" s="9" t="s">
        <v>67</v>
      </c>
      <c r="D1214" s="32">
        <v>2022</v>
      </c>
      <c r="E1214" s="35" t="s">
        <v>163</v>
      </c>
      <c r="F1214" s="33">
        <f t="shared" si="42"/>
        <v>4</v>
      </c>
      <c r="G1214" s="33">
        <f t="shared" si="42"/>
        <v>0</v>
      </c>
      <c r="H1214" s="33">
        <f t="shared" si="42"/>
        <v>0</v>
      </c>
      <c r="I1214" s="40">
        <f t="shared" si="41"/>
        <v>2.1333333333333334E-3</v>
      </c>
      <c r="J1214" s="40">
        <f t="shared" si="41"/>
        <v>0</v>
      </c>
      <c r="K1214" s="40">
        <f t="shared" si="41"/>
        <v>0</v>
      </c>
      <c r="L1214" s="40">
        <f>1000*M1214/VLOOKUP(D1214,'Normalised Rates'!$A$7:$B$12,2,FALSE)</f>
        <v>2.1333333333333334E-3</v>
      </c>
      <c r="M1214" s="34">
        <v>4</v>
      </c>
    </row>
    <row r="1215" spans="1:13" ht="15" customHeight="1" x14ac:dyDescent="0.25">
      <c r="A1215" s="30" t="s">
        <v>146</v>
      </c>
      <c r="B1215" s="30" t="s">
        <v>121</v>
      </c>
      <c r="C1215" s="9" t="s">
        <v>67</v>
      </c>
      <c r="D1215" s="32">
        <v>2023</v>
      </c>
      <c r="E1215" s="35" t="s">
        <v>163</v>
      </c>
      <c r="F1215" s="33">
        <f t="shared" si="42"/>
        <v>5</v>
      </c>
      <c r="G1215" s="33">
        <f t="shared" si="42"/>
        <v>0</v>
      </c>
      <c r="H1215" s="33">
        <f t="shared" si="42"/>
        <v>0</v>
      </c>
      <c r="I1215" s="40">
        <f t="shared" si="41"/>
        <v>2.1872265966754157E-3</v>
      </c>
      <c r="J1215" s="40">
        <f t="shared" si="41"/>
        <v>0</v>
      </c>
      <c r="K1215" s="40">
        <f t="shared" si="41"/>
        <v>0</v>
      </c>
      <c r="L1215" s="40">
        <f>1000*M1215/VLOOKUP(D1215,'Normalised Rates'!$A$7:$B$12,2,FALSE)</f>
        <v>2.1872265966754157E-3</v>
      </c>
      <c r="M1215" s="34">
        <v>5</v>
      </c>
    </row>
    <row r="1216" spans="1:13" ht="15" customHeight="1" x14ac:dyDescent="0.25">
      <c r="A1216" s="30" t="s">
        <v>146</v>
      </c>
      <c r="B1216" s="30" t="s">
        <v>121</v>
      </c>
      <c r="C1216" s="9" t="s">
        <v>67</v>
      </c>
      <c r="D1216" s="32">
        <v>2024</v>
      </c>
      <c r="E1216" s="35" t="s">
        <v>163</v>
      </c>
      <c r="F1216" s="33">
        <f t="shared" si="42"/>
        <v>4</v>
      </c>
      <c r="G1216" s="33">
        <f t="shared" si="42"/>
        <v>0</v>
      </c>
      <c r="H1216" s="33">
        <f t="shared" si="42"/>
        <v>0</v>
      </c>
      <c r="I1216" s="40">
        <f t="shared" si="41"/>
        <v>1.4908684308609765E-3</v>
      </c>
      <c r="J1216" s="40">
        <f t="shared" si="41"/>
        <v>0</v>
      </c>
      <c r="K1216" s="40">
        <f t="shared" si="41"/>
        <v>0</v>
      </c>
      <c r="L1216" s="40">
        <f>1000*M1216/VLOOKUP(D1216,'Normalised Rates'!$A$7:$B$12,2,FALSE)</f>
        <v>1.4908684308609765E-3</v>
      </c>
      <c r="M1216" s="34">
        <v>4</v>
      </c>
    </row>
    <row r="1217" spans="1:13" ht="15" customHeight="1" x14ac:dyDescent="0.25">
      <c r="A1217" s="30" t="s">
        <v>146</v>
      </c>
      <c r="B1217" s="30" t="s">
        <v>121</v>
      </c>
      <c r="C1217" s="9" t="s">
        <v>67</v>
      </c>
      <c r="D1217" s="32">
        <v>2025</v>
      </c>
      <c r="E1217" s="35" t="s">
        <v>163</v>
      </c>
      <c r="F1217" s="33">
        <f t="shared" si="42"/>
        <v>110</v>
      </c>
      <c r="G1217" s="33">
        <f t="shared" si="42"/>
        <v>0</v>
      </c>
      <c r="H1217" s="33">
        <f t="shared" si="42"/>
        <v>0</v>
      </c>
      <c r="I1217" s="40">
        <f t="shared" si="41"/>
        <v>3.4887408816999685E-2</v>
      </c>
      <c r="J1217" s="40">
        <f t="shared" si="41"/>
        <v>0</v>
      </c>
      <c r="K1217" s="40">
        <f t="shared" si="41"/>
        <v>0</v>
      </c>
      <c r="L1217" s="40">
        <f>1000*M1217/VLOOKUP(D1217,'Normalised Rates'!$A$7:$B$12,2,FALSE)</f>
        <v>3.4887408816999685E-2</v>
      </c>
      <c r="M1217" s="34">
        <v>110</v>
      </c>
    </row>
    <row r="1218" spans="1:13" ht="15" customHeight="1" x14ac:dyDescent="0.25">
      <c r="A1218" s="30" t="s">
        <v>146</v>
      </c>
      <c r="B1218" s="30" t="s">
        <v>121</v>
      </c>
      <c r="C1218" s="9" t="s">
        <v>67</v>
      </c>
      <c r="D1218" s="32">
        <v>2026</v>
      </c>
      <c r="E1218" s="35" t="s">
        <v>163</v>
      </c>
      <c r="F1218" s="33">
        <f t="shared" si="42"/>
        <v>45</v>
      </c>
      <c r="G1218" s="33">
        <f t="shared" si="42"/>
        <v>0</v>
      </c>
      <c r="H1218" s="33">
        <f t="shared" si="42"/>
        <v>0</v>
      </c>
      <c r="I1218" s="40">
        <f t="shared" si="41"/>
        <v>3.4253092293054233E-2</v>
      </c>
      <c r="J1218" s="40">
        <f t="shared" si="41"/>
        <v>0</v>
      </c>
      <c r="K1218" s="40">
        <f t="shared" si="41"/>
        <v>0</v>
      </c>
      <c r="L1218" s="40">
        <f>1000*M1218/VLOOKUP(D1218,'Normalised Rates'!$A$7:$B$12,2,FALSE)</f>
        <v>3.4253092293054233E-2</v>
      </c>
      <c r="M1218" s="34">
        <v>45</v>
      </c>
    </row>
    <row r="1219" spans="1:13" ht="15" customHeight="1" x14ac:dyDescent="0.25">
      <c r="A1219" s="30" t="s">
        <v>146</v>
      </c>
      <c r="B1219" s="30" t="s">
        <v>96</v>
      </c>
      <c r="C1219" s="9" t="s">
        <v>67</v>
      </c>
      <c r="D1219" s="32">
        <v>2023</v>
      </c>
      <c r="E1219" s="33" t="s">
        <v>34</v>
      </c>
      <c r="F1219" s="33">
        <f t="shared" si="42"/>
        <v>0</v>
      </c>
      <c r="G1219" s="33">
        <f t="shared" si="42"/>
        <v>0</v>
      </c>
      <c r="H1219" s="33">
        <f t="shared" si="42"/>
        <v>1</v>
      </c>
      <c r="I1219" s="40">
        <f t="shared" si="41"/>
        <v>0</v>
      </c>
      <c r="J1219" s="40">
        <f t="shared" si="41"/>
        <v>0</v>
      </c>
      <c r="K1219" s="40">
        <f t="shared" si="41"/>
        <v>4.3744531933508313E-4</v>
      </c>
      <c r="L1219" s="40">
        <f>1000*M1219/VLOOKUP(D1219,'Normalised Rates'!$A$7:$B$12,2,FALSE)</f>
        <v>4.3744531933508313E-4</v>
      </c>
      <c r="M1219" s="34">
        <v>1</v>
      </c>
    </row>
    <row r="1220" spans="1:13" ht="15" customHeight="1" x14ac:dyDescent="0.25">
      <c r="A1220" s="30" t="s">
        <v>146</v>
      </c>
      <c r="B1220" s="30" t="s">
        <v>96</v>
      </c>
      <c r="C1220" s="9" t="s">
        <v>67</v>
      </c>
      <c r="D1220" s="32">
        <v>2023</v>
      </c>
      <c r="E1220" s="35" t="s">
        <v>163</v>
      </c>
      <c r="F1220" s="33">
        <f t="shared" si="42"/>
        <v>8</v>
      </c>
      <c r="G1220" s="33">
        <f t="shared" si="42"/>
        <v>0</v>
      </c>
      <c r="H1220" s="33">
        <f t="shared" si="42"/>
        <v>0</v>
      </c>
      <c r="I1220" s="40">
        <f t="shared" si="41"/>
        <v>3.499562554680665E-3</v>
      </c>
      <c r="J1220" s="40">
        <f t="shared" si="41"/>
        <v>0</v>
      </c>
      <c r="K1220" s="40">
        <f t="shared" si="41"/>
        <v>0</v>
      </c>
      <c r="L1220" s="40">
        <f>1000*M1220/VLOOKUP(D1220,'Normalised Rates'!$A$7:$B$12,2,FALSE)</f>
        <v>3.499562554680665E-3</v>
      </c>
      <c r="M1220" s="34">
        <v>8</v>
      </c>
    </row>
    <row r="1221" spans="1:13" ht="15" customHeight="1" x14ac:dyDescent="0.25">
      <c r="A1221" s="30" t="s">
        <v>146</v>
      </c>
      <c r="B1221" s="30" t="s">
        <v>96</v>
      </c>
      <c r="C1221" s="9" t="s">
        <v>67</v>
      </c>
      <c r="D1221" s="32">
        <v>2024</v>
      </c>
      <c r="E1221" s="33" t="s">
        <v>34</v>
      </c>
      <c r="F1221" s="33">
        <f t="shared" si="42"/>
        <v>0</v>
      </c>
      <c r="G1221" s="33">
        <f t="shared" si="42"/>
        <v>0</v>
      </c>
      <c r="H1221" s="33">
        <f t="shared" si="42"/>
        <v>1</v>
      </c>
      <c r="I1221" s="40">
        <f t="shared" si="41"/>
        <v>0</v>
      </c>
      <c r="J1221" s="40">
        <f t="shared" si="41"/>
        <v>0</v>
      </c>
      <c r="K1221" s="40">
        <f t="shared" si="41"/>
        <v>3.7271710771524412E-4</v>
      </c>
      <c r="L1221" s="40">
        <f>1000*M1221/VLOOKUP(D1221,'Normalised Rates'!$A$7:$B$12,2,FALSE)</f>
        <v>3.7271710771524412E-4</v>
      </c>
      <c r="M1221" s="34">
        <v>1</v>
      </c>
    </row>
    <row r="1222" spans="1:13" ht="15" customHeight="1" x14ac:dyDescent="0.25">
      <c r="A1222" s="30" t="s">
        <v>146</v>
      </c>
      <c r="B1222" s="30" t="s">
        <v>96</v>
      </c>
      <c r="C1222" s="9" t="s">
        <v>67</v>
      </c>
      <c r="D1222" s="32">
        <v>2024</v>
      </c>
      <c r="E1222" s="35" t="s">
        <v>163</v>
      </c>
      <c r="F1222" s="33">
        <f t="shared" si="42"/>
        <v>29</v>
      </c>
      <c r="G1222" s="33">
        <f t="shared" si="42"/>
        <v>0</v>
      </c>
      <c r="H1222" s="33">
        <f t="shared" si="42"/>
        <v>0</v>
      </c>
      <c r="I1222" s="40">
        <f t="shared" si="41"/>
        <v>1.080879612374208E-2</v>
      </c>
      <c r="J1222" s="40">
        <f t="shared" si="41"/>
        <v>0</v>
      </c>
      <c r="K1222" s="40">
        <f t="shared" si="41"/>
        <v>0</v>
      </c>
      <c r="L1222" s="40">
        <f>1000*M1222/VLOOKUP(D1222,'Normalised Rates'!$A$7:$B$12,2,FALSE)</f>
        <v>1.080879612374208E-2</v>
      </c>
      <c r="M1222" s="34">
        <v>29</v>
      </c>
    </row>
    <row r="1223" spans="1:13" ht="15" customHeight="1" x14ac:dyDescent="0.25">
      <c r="A1223" s="30" t="s">
        <v>146</v>
      </c>
      <c r="B1223" s="30" t="s">
        <v>96</v>
      </c>
      <c r="C1223" s="9" t="s">
        <v>67</v>
      </c>
      <c r="D1223" s="32">
        <v>2025</v>
      </c>
      <c r="E1223" s="33" t="s">
        <v>34</v>
      </c>
      <c r="F1223" s="33">
        <f t="shared" si="42"/>
        <v>0</v>
      </c>
      <c r="G1223" s="33">
        <f t="shared" si="42"/>
        <v>0</v>
      </c>
      <c r="H1223" s="33">
        <f t="shared" si="42"/>
        <v>1</v>
      </c>
      <c r="I1223" s="40">
        <f t="shared" ref="I1223:K1254" si="43">IF(_xlfn.CONCAT($E1223,"%")=I$5,$L1223,0)</f>
        <v>0</v>
      </c>
      <c r="J1223" s="40">
        <f t="shared" si="43"/>
        <v>0</v>
      </c>
      <c r="K1223" s="40">
        <f t="shared" si="43"/>
        <v>3.1715826197272439E-4</v>
      </c>
      <c r="L1223" s="40">
        <f>1000*M1223/VLOOKUP(D1223,'Normalised Rates'!$A$7:$B$12,2,FALSE)</f>
        <v>3.1715826197272439E-4</v>
      </c>
      <c r="M1223" s="34">
        <v>1</v>
      </c>
    </row>
    <row r="1224" spans="1:13" ht="15" customHeight="1" x14ac:dyDescent="0.25">
      <c r="A1224" s="30" t="s">
        <v>146</v>
      </c>
      <c r="B1224" s="30" t="s">
        <v>96</v>
      </c>
      <c r="C1224" s="9" t="s">
        <v>67</v>
      </c>
      <c r="D1224" s="32">
        <v>2025</v>
      </c>
      <c r="E1224" s="35" t="s">
        <v>163</v>
      </c>
      <c r="F1224" s="33">
        <f t="shared" si="42"/>
        <v>22</v>
      </c>
      <c r="G1224" s="33">
        <f t="shared" si="42"/>
        <v>0</v>
      </c>
      <c r="H1224" s="33">
        <f t="shared" si="42"/>
        <v>0</v>
      </c>
      <c r="I1224" s="40">
        <f t="shared" si="43"/>
        <v>6.9774817633999368E-3</v>
      </c>
      <c r="J1224" s="40">
        <f t="shared" si="43"/>
        <v>0</v>
      </c>
      <c r="K1224" s="40">
        <f t="shared" si="43"/>
        <v>0</v>
      </c>
      <c r="L1224" s="40">
        <f>1000*M1224/VLOOKUP(D1224,'Normalised Rates'!$A$7:$B$12,2,FALSE)</f>
        <v>6.9774817633999368E-3</v>
      </c>
      <c r="M1224" s="34">
        <v>22</v>
      </c>
    </row>
    <row r="1225" spans="1:13" ht="15" customHeight="1" x14ac:dyDescent="0.25">
      <c r="A1225" s="30" t="s">
        <v>146</v>
      </c>
      <c r="B1225" s="30" t="s">
        <v>96</v>
      </c>
      <c r="C1225" s="9" t="s">
        <v>67</v>
      </c>
      <c r="D1225" s="32">
        <v>2026</v>
      </c>
      <c r="E1225" s="35" t="s">
        <v>163</v>
      </c>
      <c r="F1225" s="33">
        <f t="shared" ref="F1225:H1256" si="44">IF($E1225=F$5,$M1225,0)</f>
        <v>9</v>
      </c>
      <c r="G1225" s="33">
        <f t="shared" si="44"/>
        <v>0</v>
      </c>
      <c r="H1225" s="33">
        <f t="shared" si="44"/>
        <v>0</v>
      </c>
      <c r="I1225" s="40">
        <f t="shared" si="43"/>
        <v>6.8506184586108465E-3</v>
      </c>
      <c r="J1225" s="40">
        <f t="shared" si="43"/>
        <v>0</v>
      </c>
      <c r="K1225" s="40">
        <f t="shared" si="43"/>
        <v>0</v>
      </c>
      <c r="L1225" s="40">
        <f>1000*M1225/VLOOKUP(D1225,'Normalised Rates'!$A$7:$B$12,2,FALSE)</f>
        <v>6.8506184586108465E-3</v>
      </c>
      <c r="M1225" s="34">
        <v>9</v>
      </c>
    </row>
    <row r="1226" spans="1:13" ht="15" customHeight="1" x14ac:dyDescent="0.25">
      <c r="A1226" s="30" t="s">
        <v>146</v>
      </c>
      <c r="B1226" s="30" t="s">
        <v>69</v>
      </c>
      <c r="C1226" s="9" t="s">
        <v>67</v>
      </c>
      <c r="D1226" s="32">
        <v>2021</v>
      </c>
      <c r="E1226" s="35" t="s">
        <v>163</v>
      </c>
      <c r="F1226" s="33">
        <f t="shared" si="44"/>
        <v>6</v>
      </c>
      <c r="G1226" s="33">
        <f t="shared" si="44"/>
        <v>0</v>
      </c>
      <c r="H1226" s="33">
        <f t="shared" si="44"/>
        <v>0</v>
      </c>
      <c r="I1226" s="40">
        <f t="shared" si="43"/>
        <v>3.7641154328732747E-3</v>
      </c>
      <c r="J1226" s="40">
        <f t="shared" si="43"/>
        <v>0</v>
      </c>
      <c r="K1226" s="40">
        <f t="shared" si="43"/>
        <v>0</v>
      </c>
      <c r="L1226" s="40">
        <f>1000*M1226/VLOOKUP(D1226,'Normalised Rates'!$A$7:$B$12,2,FALSE)</f>
        <v>3.7641154328732747E-3</v>
      </c>
      <c r="M1226" s="34">
        <v>6</v>
      </c>
    </row>
    <row r="1227" spans="1:13" ht="15" customHeight="1" x14ac:dyDescent="0.25">
      <c r="A1227" s="30" t="s">
        <v>146</v>
      </c>
      <c r="B1227" s="30" t="s">
        <v>69</v>
      </c>
      <c r="C1227" s="9" t="s">
        <v>67</v>
      </c>
      <c r="D1227" s="32">
        <v>2022</v>
      </c>
      <c r="E1227" s="35" t="s">
        <v>163</v>
      </c>
      <c r="F1227" s="33">
        <f t="shared" si="44"/>
        <v>2</v>
      </c>
      <c r="G1227" s="33">
        <f t="shared" si="44"/>
        <v>0</v>
      </c>
      <c r="H1227" s="33">
        <f t="shared" si="44"/>
        <v>0</v>
      </c>
      <c r="I1227" s="40">
        <f t="shared" si="43"/>
        <v>1.0666666666666667E-3</v>
      </c>
      <c r="J1227" s="40">
        <f t="shared" si="43"/>
        <v>0</v>
      </c>
      <c r="K1227" s="40">
        <f t="shared" si="43"/>
        <v>0</v>
      </c>
      <c r="L1227" s="40">
        <f>1000*M1227/VLOOKUP(D1227,'Normalised Rates'!$A$7:$B$12,2,FALSE)</f>
        <v>1.0666666666666667E-3</v>
      </c>
      <c r="M1227" s="34">
        <v>2</v>
      </c>
    </row>
    <row r="1228" spans="1:13" ht="15" customHeight="1" x14ac:dyDescent="0.25">
      <c r="A1228" s="30" t="s">
        <v>146</v>
      </c>
      <c r="B1228" s="30" t="s">
        <v>69</v>
      </c>
      <c r="C1228" s="9" t="s">
        <v>67</v>
      </c>
      <c r="D1228" s="32">
        <v>2023</v>
      </c>
      <c r="E1228" s="35" t="s">
        <v>163</v>
      </c>
      <c r="F1228" s="33">
        <f t="shared" si="44"/>
        <v>7</v>
      </c>
      <c r="G1228" s="33">
        <f t="shared" si="44"/>
        <v>0</v>
      </c>
      <c r="H1228" s="33">
        <f t="shared" si="44"/>
        <v>0</v>
      </c>
      <c r="I1228" s="40">
        <f t="shared" si="43"/>
        <v>3.0621172353455816E-3</v>
      </c>
      <c r="J1228" s="40">
        <f t="shared" si="43"/>
        <v>0</v>
      </c>
      <c r="K1228" s="40">
        <f t="shared" si="43"/>
        <v>0</v>
      </c>
      <c r="L1228" s="40">
        <f>1000*M1228/VLOOKUP(D1228,'Normalised Rates'!$A$7:$B$12,2,FALSE)</f>
        <v>3.0621172353455816E-3</v>
      </c>
      <c r="M1228" s="34">
        <v>7</v>
      </c>
    </row>
    <row r="1229" spans="1:13" ht="15" customHeight="1" x14ac:dyDescent="0.25">
      <c r="A1229" s="30" t="s">
        <v>146</v>
      </c>
      <c r="B1229" s="30" t="s">
        <v>69</v>
      </c>
      <c r="C1229" s="9" t="s">
        <v>67</v>
      </c>
      <c r="D1229" s="32">
        <v>2024</v>
      </c>
      <c r="E1229" s="33" t="s">
        <v>34</v>
      </c>
      <c r="F1229" s="33">
        <f t="shared" si="44"/>
        <v>0</v>
      </c>
      <c r="G1229" s="33">
        <f t="shared" si="44"/>
        <v>0</v>
      </c>
      <c r="H1229" s="33">
        <f t="shared" si="44"/>
        <v>1</v>
      </c>
      <c r="I1229" s="40">
        <f t="shared" si="43"/>
        <v>0</v>
      </c>
      <c r="J1229" s="40">
        <f t="shared" si="43"/>
        <v>0</v>
      </c>
      <c r="K1229" s="40">
        <f t="shared" si="43"/>
        <v>3.7271710771524412E-4</v>
      </c>
      <c r="L1229" s="40">
        <f>1000*M1229/VLOOKUP(D1229,'Normalised Rates'!$A$7:$B$12,2,FALSE)</f>
        <v>3.7271710771524412E-4</v>
      </c>
      <c r="M1229" s="34">
        <v>1</v>
      </c>
    </row>
    <row r="1230" spans="1:13" ht="15" customHeight="1" x14ac:dyDescent="0.25">
      <c r="A1230" s="30" t="s">
        <v>146</v>
      </c>
      <c r="B1230" s="30" t="s">
        <v>69</v>
      </c>
      <c r="C1230" s="9" t="s">
        <v>67</v>
      </c>
      <c r="D1230" s="32">
        <v>2024</v>
      </c>
      <c r="E1230" s="35" t="s">
        <v>163</v>
      </c>
      <c r="F1230" s="33">
        <f t="shared" si="44"/>
        <v>6</v>
      </c>
      <c r="G1230" s="33">
        <f t="shared" si="44"/>
        <v>0</v>
      </c>
      <c r="H1230" s="33">
        <f t="shared" si="44"/>
        <v>0</v>
      </c>
      <c r="I1230" s="40">
        <f t="shared" si="43"/>
        <v>2.2363026462914647E-3</v>
      </c>
      <c r="J1230" s="40">
        <f t="shared" si="43"/>
        <v>0</v>
      </c>
      <c r="K1230" s="40">
        <f t="shared" si="43"/>
        <v>0</v>
      </c>
      <c r="L1230" s="40">
        <f>1000*M1230/VLOOKUP(D1230,'Normalised Rates'!$A$7:$B$12,2,FALSE)</f>
        <v>2.2363026462914647E-3</v>
      </c>
      <c r="M1230" s="34">
        <v>6</v>
      </c>
    </row>
    <row r="1231" spans="1:13" ht="15" customHeight="1" x14ac:dyDescent="0.25">
      <c r="A1231" s="30" t="s">
        <v>146</v>
      </c>
      <c r="B1231" s="30" t="s">
        <v>69</v>
      </c>
      <c r="C1231" s="9" t="s">
        <v>67</v>
      </c>
      <c r="D1231" s="32">
        <v>2025</v>
      </c>
      <c r="E1231" s="35" t="s">
        <v>163</v>
      </c>
      <c r="F1231" s="33">
        <f t="shared" si="44"/>
        <v>17</v>
      </c>
      <c r="G1231" s="33">
        <f t="shared" si="44"/>
        <v>0</v>
      </c>
      <c r="H1231" s="33">
        <f t="shared" si="44"/>
        <v>0</v>
      </c>
      <c r="I1231" s="40">
        <f t="shared" si="43"/>
        <v>5.3916904535363146E-3</v>
      </c>
      <c r="J1231" s="40">
        <f t="shared" si="43"/>
        <v>0</v>
      </c>
      <c r="K1231" s="40">
        <f t="shared" si="43"/>
        <v>0</v>
      </c>
      <c r="L1231" s="40">
        <f>1000*M1231/VLOOKUP(D1231,'Normalised Rates'!$A$7:$B$12,2,FALSE)</f>
        <v>5.3916904535363146E-3</v>
      </c>
      <c r="M1231" s="34">
        <v>17</v>
      </c>
    </row>
    <row r="1232" spans="1:13" ht="15" customHeight="1" x14ac:dyDescent="0.25">
      <c r="A1232" s="30" t="s">
        <v>146</v>
      </c>
      <c r="B1232" s="30" t="s">
        <v>69</v>
      </c>
      <c r="C1232" s="9" t="s">
        <v>67</v>
      </c>
      <c r="D1232" s="32">
        <v>2026</v>
      </c>
      <c r="E1232" s="33" t="s">
        <v>34</v>
      </c>
      <c r="F1232" s="33">
        <f t="shared" si="44"/>
        <v>0</v>
      </c>
      <c r="G1232" s="33">
        <f t="shared" si="44"/>
        <v>0</v>
      </c>
      <c r="H1232" s="33">
        <f t="shared" si="44"/>
        <v>2</v>
      </c>
      <c r="I1232" s="40">
        <f t="shared" si="43"/>
        <v>0</v>
      </c>
      <c r="J1232" s="40">
        <f t="shared" si="43"/>
        <v>0</v>
      </c>
      <c r="K1232" s="40">
        <f t="shared" si="43"/>
        <v>1.522359657469077E-3</v>
      </c>
      <c r="L1232" s="40">
        <f>1000*M1232/VLOOKUP(D1232,'Normalised Rates'!$A$7:$B$12,2,FALSE)</f>
        <v>1.522359657469077E-3</v>
      </c>
      <c r="M1232" s="34">
        <v>2</v>
      </c>
    </row>
    <row r="1233" spans="1:13" ht="15" customHeight="1" x14ac:dyDescent="0.25">
      <c r="A1233" s="30" t="s">
        <v>146</v>
      </c>
      <c r="B1233" s="30" t="s">
        <v>69</v>
      </c>
      <c r="C1233" s="9" t="s">
        <v>67</v>
      </c>
      <c r="D1233" s="32">
        <v>2026</v>
      </c>
      <c r="E1233" s="35" t="s">
        <v>163</v>
      </c>
      <c r="F1233" s="33">
        <f t="shared" si="44"/>
        <v>11</v>
      </c>
      <c r="G1233" s="33">
        <f t="shared" si="44"/>
        <v>0</v>
      </c>
      <c r="H1233" s="33">
        <f t="shared" si="44"/>
        <v>0</v>
      </c>
      <c r="I1233" s="40">
        <f t="shared" si="43"/>
        <v>8.3729781160799231E-3</v>
      </c>
      <c r="J1233" s="40">
        <f t="shared" si="43"/>
        <v>0</v>
      </c>
      <c r="K1233" s="40">
        <f t="shared" si="43"/>
        <v>0</v>
      </c>
      <c r="L1233" s="40">
        <f>1000*M1233/VLOOKUP(D1233,'Normalised Rates'!$A$7:$B$12,2,FALSE)</f>
        <v>8.3729781160799231E-3</v>
      </c>
      <c r="M1233" s="34">
        <v>11</v>
      </c>
    </row>
    <row r="1234" spans="1:13" ht="15" customHeight="1" x14ac:dyDescent="0.25">
      <c r="A1234" s="30" t="s">
        <v>146</v>
      </c>
      <c r="B1234" s="30" t="s">
        <v>119</v>
      </c>
      <c r="C1234" s="9" t="s">
        <v>84</v>
      </c>
      <c r="D1234" s="32">
        <v>2023</v>
      </c>
      <c r="E1234" s="35" t="s">
        <v>163</v>
      </c>
      <c r="F1234" s="33">
        <f t="shared" si="44"/>
        <v>1</v>
      </c>
      <c r="G1234" s="33">
        <f t="shared" si="44"/>
        <v>0</v>
      </c>
      <c r="H1234" s="33">
        <f t="shared" si="44"/>
        <v>0</v>
      </c>
      <c r="I1234" s="40">
        <f t="shared" si="43"/>
        <v>4.3744531933508313E-4</v>
      </c>
      <c r="J1234" s="40">
        <f t="shared" si="43"/>
        <v>0</v>
      </c>
      <c r="K1234" s="40">
        <f t="shared" si="43"/>
        <v>0</v>
      </c>
      <c r="L1234" s="40">
        <f>1000*M1234/VLOOKUP(D1234,'Normalised Rates'!$A$7:$B$12,2,FALSE)</f>
        <v>4.3744531933508313E-4</v>
      </c>
      <c r="M1234" s="34">
        <v>1</v>
      </c>
    </row>
    <row r="1235" spans="1:13" ht="15" customHeight="1" x14ac:dyDescent="0.25">
      <c r="A1235" s="30" t="s">
        <v>146</v>
      </c>
      <c r="B1235" s="30" t="s">
        <v>119</v>
      </c>
      <c r="C1235" s="9" t="s">
        <v>84</v>
      </c>
      <c r="D1235" s="32">
        <v>2025</v>
      </c>
      <c r="E1235" s="35" t="s">
        <v>163</v>
      </c>
      <c r="F1235" s="33">
        <f t="shared" si="44"/>
        <v>26</v>
      </c>
      <c r="G1235" s="33">
        <f t="shared" si="44"/>
        <v>0</v>
      </c>
      <c r="H1235" s="33">
        <f t="shared" si="44"/>
        <v>0</v>
      </c>
      <c r="I1235" s="40">
        <f t="shared" si="43"/>
        <v>8.2461148112908337E-3</v>
      </c>
      <c r="J1235" s="40">
        <f t="shared" si="43"/>
        <v>0</v>
      </c>
      <c r="K1235" s="40">
        <f t="shared" si="43"/>
        <v>0</v>
      </c>
      <c r="L1235" s="40">
        <f>1000*M1235/VLOOKUP(D1235,'Normalised Rates'!$A$7:$B$12,2,FALSE)</f>
        <v>8.2461148112908337E-3</v>
      </c>
      <c r="M1235" s="34">
        <v>26</v>
      </c>
    </row>
    <row r="1236" spans="1:13" ht="15" customHeight="1" x14ac:dyDescent="0.25">
      <c r="A1236" s="30" t="s">
        <v>146</v>
      </c>
      <c r="B1236" s="30" t="s">
        <v>119</v>
      </c>
      <c r="C1236" s="9" t="s">
        <v>84</v>
      </c>
      <c r="D1236" s="32">
        <v>2026</v>
      </c>
      <c r="E1236" s="35" t="s">
        <v>163</v>
      </c>
      <c r="F1236" s="33">
        <f t="shared" si="44"/>
        <v>10</v>
      </c>
      <c r="G1236" s="33">
        <f t="shared" si="44"/>
        <v>0</v>
      </c>
      <c r="H1236" s="33">
        <f t="shared" si="44"/>
        <v>0</v>
      </c>
      <c r="I1236" s="40">
        <f t="shared" si="43"/>
        <v>7.6117982873453857E-3</v>
      </c>
      <c r="J1236" s="40">
        <f t="shared" si="43"/>
        <v>0</v>
      </c>
      <c r="K1236" s="40">
        <f t="shared" si="43"/>
        <v>0</v>
      </c>
      <c r="L1236" s="40">
        <f>1000*M1236/VLOOKUP(D1236,'Normalised Rates'!$A$7:$B$12,2,FALSE)</f>
        <v>7.6117982873453857E-3</v>
      </c>
      <c r="M1236" s="34">
        <v>10</v>
      </c>
    </row>
    <row r="1237" spans="1:13" ht="15" customHeight="1" x14ac:dyDescent="0.25">
      <c r="A1237" s="30" t="s">
        <v>146</v>
      </c>
      <c r="B1237" s="30" t="s">
        <v>77</v>
      </c>
      <c r="C1237" s="9" t="s">
        <v>64</v>
      </c>
      <c r="D1237" s="32">
        <v>2021</v>
      </c>
      <c r="E1237" s="35" t="s">
        <v>163</v>
      </c>
      <c r="F1237" s="33">
        <f t="shared" si="44"/>
        <v>2</v>
      </c>
      <c r="G1237" s="33">
        <f t="shared" si="44"/>
        <v>0</v>
      </c>
      <c r="H1237" s="33">
        <f t="shared" si="44"/>
        <v>0</v>
      </c>
      <c r="I1237" s="40">
        <f t="shared" si="43"/>
        <v>1.2547051442910915E-3</v>
      </c>
      <c r="J1237" s="40">
        <f t="shared" si="43"/>
        <v>0</v>
      </c>
      <c r="K1237" s="40">
        <f t="shared" si="43"/>
        <v>0</v>
      </c>
      <c r="L1237" s="40">
        <f>1000*M1237/VLOOKUP(D1237,'Normalised Rates'!$A$7:$B$12,2,FALSE)</f>
        <v>1.2547051442910915E-3</v>
      </c>
      <c r="M1237" s="34">
        <v>2</v>
      </c>
    </row>
    <row r="1238" spans="1:13" ht="15" customHeight="1" x14ac:dyDescent="0.25">
      <c r="A1238" s="30" t="s">
        <v>146</v>
      </c>
      <c r="B1238" s="30" t="s">
        <v>77</v>
      </c>
      <c r="C1238" s="9" t="s">
        <v>64</v>
      </c>
      <c r="D1238" s="32">
        <v>2025</v>
      </c>
      <c r="E1238" s="35" t="s">
        <v>163</v>
      </c>
      <c r="F1238" s="33">
        <f t="shared" si="44"/>
        <v>22</v>
      </c>
      <c r="G1238" s="33">
        <f t="shared" si="44"/>
        <v>0</v>
      </c>
      <c r="H1238" s="33">
        <f t="shared" si="44"/>
        <v>0</v>
      </c>
      <c r="I1238" s="40">
        <f t="shared" si="43"/>
        <v>6.9774817633999368E-3</v>
      </c>
      <c r="J1238" s="40">
        <f t="shared" si="43"/>
        <v>0</v>
      </c>
      <c r="K1238" s="40">
        <f t="shared" si="43"/>
        <v>0</v>
      </c>
      <c r="L1238" s="40">
        <f>1000*M1238/VLOOKUP(D1238,'Normalised Rates'!$A$7:$B$12,2,FALSE)</f>
        <v>6.9774817633999368E-3</v>
      </c>
      <c r="M1238" s="34">
        <v>22</v>
      </c>
    </row>
    <row r="1239" spans="1:13" ht="15" customHeight="1" x14ac:dyDescent="0.25">
      <c r="A1239" s="30" t="s">
        <v>146</v>
      </c>
      <c r="B1239" s="30" t="s">
        <v>77</v>
      </c>
      <c r="C1239" s="9" t="s">
        <v>64</v>
      </c>
      <c r="D1239" s="32">
        <v>2026</v>
      </c>
      <c r="E1239" s="35" t="s">
        <v>163</v>
      </c>
      <c r="F1239" s="33">
        <f t="shared" si="44"/>
        <v>6</v>
      </c>
      <c r="G1239" s="33">
        <f t="shared" si="44"/>
        <v>0</v>
      </c>
      <c r="H1239" s="33">
        <f t="shared" si="44"/>
        <v>0</v>
      </c>
      <c r="I1239" s="40">
        <f t="shared" si="43"/>
        <v>4.5670789724072316E-3</v>
      </c>
      <c r="J1239" s="40">
        <f t="shared" si="43"/>
        <v>0</v>
      </c>
      <c r="K1239" s="40">
        <f t="shared" si="43"/>
        <v>0</v>
      </c>
      <c r="L1239" s="40">
        <f>1000*M1239/VLOOKUP(D1239,'Normalised Rates'!$A$7:$B$12,2,FALSE)</f>
        <v>4.5670789724072316E-3</v>
      </c>
      <c r="M1239" s="34">
        <v>6</v>
      </c>
    </row>
    <row r="1240" spans="1:13" ht="15" customHeight="1" x14ac:dyDescent="0.25">
      <c r="A1240" s="30" t="s">
        <v>146</v>
      </c>
      <c r="B1240" s="30" t="s">
        <v>92</v>
      </c>
      <c r="C1240" s="9" t="s">
        <v>84</v>
      </c>
      <c r="D1240" s="32">
        <v>2022</v>
      </c>
      <c r="E1240" s="33" t="s">
        <v>34</v>
      </c>
      <c r="F1240" s="33">
        <f t="shared" si="44"/>
        <v>0</v>
      </c>
      <c r="G1240" s="33">
        <f t="shared" si="44"/>
        <v>0</v>
      </c>
      <c r="H1240" s="33">
        <f t="shared" si="44"/>
        <v>1</v>
      </c>
      <c r="I1240" s="40">
        <f t="shared" si="43"/>
        <v>0</v>
      </c>
      <c r="J1240" s="40">
        <f t="shared" si="43"/>
        <v>0</v>
      </c>
      <c r="K1240" s="40">
        <f t="shared" si="43"/>
        <v>5.3333333333333336E-4</v>
      </c>
      <c r="L1240" s="40">
        <f>1000*M1240/VLOOKUP(D1240,'Normalised Rates'!$A$7:$B$12,2,FALSE)</f>
        <v>5.3333333333333336E-4</v>
      </c>
      <c r="M1240" s="34">
        <v>1</v>
      </c>
    </row>
    <row r="1241" spans="1:13" ht="15" customHeight="1" x14ac:dyDescent="0.25">
      <c r="A1241" s="30" t="s">
        <v>146</v>
      </c>
      <c r="B1241" s="30" t="s">
        <v>92</v>
      </c>
      <c r="C1241" s="9" t="s">
        <v>84</v>
      </c>
      <c r="D1241" s="32">
        <v>2022</v>
      </c>
      <c r="E1241" s="35" t="s">
        <v>163</v>
      </c>
      <c r="F1241" s="33">
        <f t="shared" si="44"/>
        <v>1</v>
      </c>
      <c r="G1241" s="33">
        <f t="shared" si="44"/>
        <v>0</v>
      </c>
      <c r="H1241" s="33">
        <f t="shared" si="44"/>
        <v>0</v>
      </c>
      <c r="I1241" s="40">
        <f t="shared" si="43"/>
        <v>5.3333333333333336E-4</v>
      </c>
      <c r="J1241" s="40">
        <f t="shared" si="43"/>
        <v>0</v>
      </c>
      <c r="K1241" s="40">
        <f t="shared" si="43"/>
        <v>0</v>
      </c>
      <c r="L1241" s="40">
        <f>1000*M1241/VLOOKUP(D1241,'Normalised Rates'!$A$7:$B$12,2,FALSE)</f>
        <v>5.3333333333333336E-4</v>
      </c>
      <c r="M1241" s="34">
        <v>1</v>
      </c>
    </row>
    <row r="1242" spans="1:13" ht="15" customHeight="1" x14ac:dyDescent="0.25">
      <c r="A1242" s="30" t="s">
        <v>146</v>
      </c>
      <c r="B1242" s="30" t="s">
        <v>92</v>
      </c>
      <c r="C1242" s="9" t="s">
        <v>84</v>
      </c>
      <c r="D1242" s="32">
        <v>2023</v>
      </c>
      <c r="E1242" s="35" t="s">
        <v>163</v>
      </c>
      <c r="F1242" s="33">
        <f t="shared" si="44"/>
        <v>5</v>
      </c>
      <c r="G1242" s="33">
        <f t="shared" si="44"/>
        <v>0</v>
      </c>
      <c r="H1242" s="33">
        <f t="shared" si="44"/>
        <v>0</v>
      </c>
      <c r="I1242" s="40">
        <f t="shared" si="43"/>
        <v>2.1872265966754157E-3</v>
      </c>
      <c r="J1242" s="40">
        <f t="shared" si="43"/>
        <v>0</v>
      </c>
      <c r="K1242" s="40">
        <f t="shared" si="43"/>
        <v>0</v>
      </c>
      <c r="L1242" s="40">
        <f>1000*M1242/VLOOKUP(D1242,'Normalised Rates'!$A$7:$B$12,2,FALSE)</f>
        <v>2.1872265966754157E-3</v>
      </c>
      <c r="M1242" s="34">
        <v>5</v>
      </c>
    </row>
    <row r="1243" spans="1:13" ht="15" customHeight="1" x14ac:dyDescent="0.25">
      <c r="A1243" s="30" t="s">
        <v>146</v>
      </c>
      <c r="B1243" s="30" t="s">
        <v>92</v>
      </c>
      <c r="C1243" s="9" t="s">
        <v>84</v>
      </c>
      <c r="D1243" s="32">
        <v>2024</v>
      </c>
      <c r="E1243" s="35" t="s">
        <v>163</v>
      </c>
      <c r="F1243" s="33">
        <f t="shared" si="44"/>
        <v>2</v>
      </c>
      <c r="G1243" s="33">
        <f t="shared" si="44"/>
        <v>0</v>
      </c>
      <c r="H1243" s="33">
        <f t="shared" si="44"/>
        <v>0</v>
      </c>
      <c r="I1243" s="40">
        <f t="shared" si="43"/>
        <v>7.4543421543048823E-4</v>
      </c>
      <c r="J1243" s="40">
        <f t="shared" si="43"/>
        <v>0</v>
      </c>
      <c r="K1243" s="40">
        <f t="shared" si="43"/>
        <v>0</v>
      </c>
      <c r="L1243" s="40">
        <f>1000*M1243/VLOOKUP(D1243,'Normalised Rates'!$A$7:$B$12,2,FALSE)</f>
        <v>7.4543421543048823E-4</v>
      </c>
      <c r="M1243" s="34">
        <v>2</v>
      </c>
    </row>
    <row r="1244" spans="1:13" ht="15" customHeight="1" x14ac:dyDescent="0.25">
      <c r="A1244" s="30" t="s">
        <v>146</v>
      </c>
      <c r="B1244" s="30" t="s">
        <v>92</v>
      </c>
      <c r="C1244" s="9" t="s">
        <v>84</v>
      </c>
      <c r="D1244" s="32">
        <v>2025</v>
      </c>
      <c r="E1244" s="33" t="s">
        <v>34</v>
      </c>
      <c r="F1244" s="33">
        <f t="shared" si="44"/>
        <v>0</v>
      </c>
      <c r="G1244" s="33">
        <f t="shared" si="44"/>
        <v>0</v>
      </c>
      <c r="H1244" s="33">
        <f t="shared" si="44"/>
        <v>1</v>
      </c>
      <c r="I1244" s="40">
        <f t="shared" si="43"/>
        <v>0</v>
      </c>
      <c r="J1244" s="40">
        <f t="shared" si="43"/>
        <v>0</v>
      </c>
      <c r="K1244" s="40">
        <f t="shared" si="43"/>
        <v>3.1715826197272439E-4</v>
      </c>
      <c r="L1244" s="40">
        <f>1000*M1244/VLOOKUP(D1244,'Normalised Rates'!$A$7:$B$12,2,FALSE)</f>
        <v>3.1715826197272439E-4</v>
      </c>
      <c r="M1244" s="34">
        <v>1</v>
      </c>
    </row>
    <row r="1245" spans="1:13" ht="15" customHeight="1" x14ac:dyDescent="0.25">
      <c r="A1245" s="30" t="s">
        <v>146</v>
      </c>
      <c r="B1245" s="30" t="s">
        <v>92</v>
      </c>
      <c r="C1245" s="9" t="s">
        <v>84</v>
      </c>
      <c r="D1245" s="32">
        <v>2025</v>
      </c>
      <c r="E1245" s="35" t="s">
        <v>163</v>
      </c>
      <c r="F1245" s="33">
        <f t="shared" si="44"/>
        <v>6</v>
      </c>
      <c r="G1245" s="33">
        <f t="shared" si="44"/>
        <v>0</v>
      </c>
      <c r="H1245" s="33">
        <f t="shared" si="44"/>
        <v>0</v>
      </c>
      <c r="I1245" s="40">
        <f t="shared" si="43"/>
        <v>1.9029495718363464E-3</v>
      </c>
      <c r="J1245" s="40">
        <f t="shared" si="43"/>
        <v>0</v>
      </c>
      <c r="K1245" s="40">
        <f t="shared" si="43"/>
        <v>0</v>
      </c>
      <c r="L1245" s="40">
        <f>1000*M1245/VLOOKUP(D1245,'Normalised Rates'!$A$7:$B$12,2,FALSE)</f>
        <v>1.9029495718363464E-3</v>
      </c>
      <c r="M1245" s="34">
        <v>6</v>
      </c>
    </row>
    <row r="1246" spans="1:13" ht="15" customHeight="1" x14ac:dyDescent="0.25">
      <c r="A1246" s="30" t="s">
        <v>146</v>
      </c>
      <c r="B1246" s="30" t="s">
        <v>92</v>
      </c>
      <c r="C1246" s="9" t="s">
        <v>84</v>
      </c>
      <c r="D1246" s="32">
        <v>2026</v>
      </c>
      <c r="E1246" s="35" t="s">
        <v>163</v>
      </c>
      <c r="F1246" s="33">
        <f t="shared" si="44"/>
        <v>10</v>
      </c>
      <c r="G1246" s="33">
        <f t="shared" si="44"/>
        <v>0</v>
      </c>
      <c r="H1246" s="33">
        <f t="shared" si="44"/>
        <v>0</v>
      </c>
      <c r="I1246" s="40">
        <f t="shared" si="43"/>
        <v>7.6117982873453857E-3</v>
      </c>
      <c r="J1246" s="40">
        <f t="shared" si="43"/>
        <v>0</v>
      </c>
      <c r="K1246" s="40">
        <f t="shared" si="43"/>
        <v>0</v>
      </c>
      <c r="L1246" s="40">
        <f>1000*M1246/VLOOKUP(D1246,'Normalised Rates'!$A$7:$B$12,2,FALSE)</f>
        <v>7.6117982873453857E-3</v>
      </c>
      <c r="M1246" s="34">
        <v>10</v>
      </c>
    </row>
    <row r="1247" spans="1:13" ht="15" customHeight="1" x14ac:dyDescent="0.25">
      <c r="A1247" s="30" t="s">
        <v>146</v>
      </c>
      <c r="B1247" s="30" t="s">
        <v>63</v>
      </c>
      <c r="C1247" s="9" t="s">
        <v>64</v>
      </c>
      <c r="D1247" s="32">
        <v>2025</v>
      </c>
      <c r="E1247" s="33" t="s">
        <v>34</v>
      </c>
      <c r="F1247" s="33">
        <f t="shared" si="44"/>
        <v>0</v>
      </c>
      <c r="G1247" s="33">
        <f t="shared" si="44"/>
        <v>0</v>
      </c>
      <c r="H1247" s="33">
        <f t="shared" si="44"/>
        <v>2</v>
      </c>
      <c r="I1247" s="40">
        <f t="shared" si="43"/>
        <v>0</v>
      </c>
      <c r="J1247" s="40">
        <f t="shared" si="43"/>
        <v>0</v>
      </c>
      <c r="K1247" s="40">
        <f t="shared" si="43"/>
        <v>6.3431652394544877E-4</v>
      </c>
      <c r="L1247" s="40">
        <f>1000*M1247/VLOOKUP(D1247,'Normalised Rates'!$A$7:$B$12,2,FALSE)</f>
        <v>6.3431652394544877E-4</v>
      </c>
      <c r="M1247" s="34">
        <v>2</v>
      </c>
    </row>
    <row r="1248" spans="1:13" ht="15" customHeight="1" x14ac:dyDescent="0.25">
      <c r="A1248" s="30" t="s">
        <v>146</v>
      </c>
      <c r="B1248" s="30" t="s">
        <v>63</v>
      </c>
      <c r="C1248" s="9" t="s">
        <v>64</v>
      </c>
      <c r="D1248" s="32">
        <v>2025</v>
      </c>
      <c r="E1248" s="35" t="s">
        <v>163</v>
      </c>
      <c r="F1248" s="33">
        <f t="shared" si="44"/>
        <v>4</v>
      </c>
      <c r="G1248" s="33">
        <f t="shared" si="44"/>
        <v>0</v>
      </c>
      <c r="H1248" s="33">
        <f t="shared" si="44"/>
        <v>0</v>
      </c>
      <c r="I1248" s="40">
        <f t="shared" si="43"/>
        <v>1.2686330478908975E-3</v>
      </c>
      <c r="J1248" s="40">
        <f t="shared" si="43"/>
        <v>0</v>
      </c>
      <c r="K1248" s="40">
        <f t="shared" si="43"/>
        <v>0</v>
      </c>
      <c r="L1248" s="40">
        <f>1000*M1248/VLOOKUP(D1248,'Normalised Rates'!$A$7:$B$12,2,FALSE)</f>
        <v>1.2686330478908975E-3</v>
      </c>
      <c r="M1248" s="34">
        <v>4</v>
      </c>
    </row>
    <row r="1249" spans="1:13" ht="15" customHeight="1" x14ac:dyDescent="0.25">
      <c r="A1249" s="30" t="s">
        <v>146</v>
      </c>
      <c r="B1249" s="30" t="s">
        <v>63</v>
      </c>
      <c r="C1249" s="9" t="s">
        <v>64</v>
      </c>
      <c r="D1249" s="32">
        <v>2026</v>
      </c>
      <c r="E1249" s="35" t="s">
        <v>163</v>
      </c>
      <c r="F1249" s="33">
        <f t="shared" si="44"/>
        <v>19</v>
      </c>
      <c r="G1249" s="33">
        <f t="shared" si="44"/>
        <v>0</v>
      </c>
      <c r="H1249" s="33">
        <f t="shared" si="44"/>
        <v>0</v>
      </c>
      <c r="I1249" s="40">
        <f t="shared" si="43"/>
        <v>1.4462416745956231E-2</v>
      </c>
      <c r="J1249" s="40">
        <f t="shared" si="43"/>
        <v>0</v>
      </c>
      <c r="K1249" s="40">
        <f t="shared" si="43"/>
        <v>0</v>
      </c>
      <c r="L1249" s="40">
        <f>1000*M1249/VLOOKUP(D1249,'Normalised Rates'!$A$7:$B$12,2,FALSE)</f>
        <v>1.4462416745956231E-2</v>
      </c>
      <c r="M1249" s="34">
        <v>19</v>
      </c>
    </row>
    <row r="1250" spans="1:13" ht="15" customHeight="1" x14ac:dyDescent="0.25">
      <c r="A1250" s="30" t="s">
        <v>146</v>
      </c>
      <c r="B1250" s="30" t="s">
        <v>111</v>
      </c>
      <c r="C1250" s="9" t="s">
        <v>105</v>
      </c>
      <c r="D1250" s="32">
        <v>2024</v>
      </c>
      <c r="E1250" s="35" t="s">
        <v>163</v>
      </c>
      <c r="F1250" s="33">
        <f t="shared" si="44"/>
        <v>3</v>
      </c>
      <c r="G1250" s="33">
        <f t="shared" si="44"/>
        <v>0</v>
      </c>
      <c r="H1250" s="33">
        <f t="shared" si="44"/>
        <v>0</v>
      </c>
      <c r="I1250" s="40">
        <f t="shared" si="43"/>
        <v>1.1181513231457323E-3</v>
      </c>
      <c r="J1250" s="40">
        <f t="shared" si="43"/>
        <v>0</v>
      </c>
      <c r="K1250" s="40">
        <f t="shared" si="43"/>
        <v>0</v>
      </c>
      <c r="L1250" s="40">
        <f>1000*M1250/VLOOKUP(D1250,'Normalised Rates'!$A$7:$B$12,2,FALSE)</f>
        <v>1.1181513231457323E-3</v>
      </c>
      <c r="M1250" s="34">
        <v>3</v>
      </c>
    </row>
    <row r="1251" spans="1:13" ht="15" customHeight="1" x14ac:dyDescent="0.25">
      <c r="A1251" s="30" t="s">
        <v>146</v>
      </c>
      <c r="B1251" s="30" t="s">
        <v>111</v>
      </c>
      <c r="C1251" s="9" t="s">
        <v>105</v>
      </c>
      <c r="D1251" s="32">
        <v>2025</v>
      </c>
      <c r="E1251" s="35" t="s">
        <v>163</v>
      </c>
      <c r="F1251" s="33">
        <f t="shared" si="44"/>
        <v>6</v>
      </c>
      <c r="G1251" s="33">
        <f t="shared" si="44"/>
        <v>0</v>
      </c>
      <c r="H1251" s="33">
        <f t="shared" si="44"/>
        <v>0</v>
      </c>
      <c r="I1251" s="40">
        <f t="shared" si="43"/>
        <v>1.9029495718363464E-3</v>
      </c>
      <c r="J1251" s="40">
        <f t="shared" si="43"/>
        <v>0</v>
      </c>
      <c r="K1251" s="40">
        <f t="shared" si="43"/>
        <v>0</v>
      </c>
      <c r="L1251" s="40">
        <f>1000*M1251/VLOOKUP(D1251,'Normalised Rates'!$A$7:$B$12,2,FALSE)</f>
        <v>1.9029495718363464E-3</v>
      </c>
      <c r="M1251" s="34">
        <v>6</v>
      </c>
    </row>
    <row r="1252" spans="1:13" ht="15" customHeight="1" x14ac:dyDescent="0.25">
      <c r="A1252" s="30" t="s">
        <v>146</v>
      </c>
      <c r="B1252" s="30" t="s">
        <v>71</v>
      </c>
      <c r="C1252" s="9" t="s">
        <v>64</v>
      </c>
      <c r="D1252" s="32">
        <v>2024</v>
      </c>
      <c r="E1252" s="35" t="s">
        <v>163</v>
      </c>
      <c r="F1252" s="33">
        <f t="shared" si="44"/>
        <v>1</v>
      </c>
      <c r="G1252" s="33">
        <f t="shared" si="44"/>
        <v>0</v>
      </c>
      <c r="H1252" s="33">
        <f t="shared" si="44"/>
        <v>0</v>
      </c>
      <c r="I1252" s="40">
        <f t="shared" si="43"/>
        <v>3.7271710771524412E-4</v>
      </c>
      <c r="J1252" s="40">
        <f t="shared" si="43"/>
        <v>0</v>
      </c>
      <c r="K1252" s="40">
        <f t="shared" si="43"/>
        <v>0</v>
      </c>
      <c r="L1252" s="40">
        <f>1000*M1252/VLOOKUP(D1252,'Normalised Rates'!$A$7:$B$12,2,FALSE)</f>
        <v>3.7271710771524412E-4</v>
      </c>
      <c r="M1252" s="34">
        <v>1</v>
      </c>
    </row>
    <row r="1253" spans="1:13" ht="15" customHeight="1" x14ac:dyDescent="0.25">
      <c r="A1253" s="30" t="s">
        <v>146</v>
      </c>
      <c r="B1253" s="30" t="s">
        <v>71</v>
      </c>
      <c r="C1253" s="9" t="s">
        <v>64</v>
      </c>
      <c r="D1253" s="32">
        <v>2026</v>
      </c>
      <c r="E1253" s="35" t="s">
        <v>163</v>
      </c>
      <c r="F1253" s="33">
        <f t="shared" si="44"/>
        <v>7</v>
      </c>
      <c r="G1253" s="33">
        <f t="shared" si="44"/>
        <v>0</v>
      </c>
      <c r="H1253" s="33">
        <f t="shared" si="44"/>
        <v>0</v>
      </c>
      <c r="I1253" s="40">
        <f t="shared" si="43"/>
        <v>5.3282588011417699E-3</v>
      </c>
      <c r="J1253" s="40">
        <f t="shared" si="43"/>
        <v>0</v>
      </c>
      <c r="K1253" s="40">
        <f t="shared" si="43"/>
        <v>0</v>
      </c>
      <c r="L1253" s="40">
        <f>1000*M1253/VLOOKUP(D1253,'Normalised Rates'!$A$7:$B$12,2,FALSE)</f>
        <v>5.3282588011417699E-3</v>
      </c>
      <c r="M1253" s="34">
        <v>7</v>
      </c>
    </row>
    <row r="1254" spans="1:13" ht="15" customHeight="1" x14ac:dyDescent="0.25">
      <c r="A1254" s="30" t="s">
        <v>146</v>
      </c>
      <c r="B1254" s="30" t="s">
        <v>125</v>
      </c>
      <c r="C1254" s="9" t="s">
        <v>67</v>
      </c>
      <c r="D1254" s="32">
        <v>2023</v>
      </c>
      <c r="E1254" s="35" t="s">
        <v>163</v>
      </c>
      <c r="F1254" s="33">
        <f t="shared" si="44"/>
        <v>2</v>
      </c>
      <c r="G1254" s="33">
        <f t="shared" si="44"/>
        <v>0</v>
      </c>
      <c r="H1254" s="33">
        <f t="shared" si="44"/>
        <v>0</v>
      </c>
      <c r="I1254" s="40">
        <f t="shared" si="43"/>
        <v>8.7489063867016625E-4</v>
      </c>
      <c r="J1254" s="40">
        <f t="shared" si="43"/>
        <v>0</v>
      </c>
      <c r="K1254" s="40">
        <f t="shared" si="43"/>
        <v>0</v>
      </c>
      <c r="L1254" s="40">
        <f>1000*M1254/VLOOKUP(D1254,'Normalised Rates'!$A$7:$B$12,2,FALSE)</f>
        <v>8.7489063867016625E-4</v>
      </c>
      <c r="M1254" s="34">
        <v>2</v>
      </c>
    </row>
    <row r="1255" spans="1:13" ht="15" customHeight="1" x14ac:dyDescent="0.25">
      <c r="A1255" s="30" t="s">
        <v>146</v>
      </c>
      <c r="B1255" s="30" t="s">
        <v>125</v>
      </c>
      <c r="C1255" s="9" t="s">
        <v>67</v>
      </c>
      <c r="D1255" s="32">
        <v>2025</v>
      </c>
      <c r="E1255" s="35" t="s">
        <v>163</v>
      </c>
      <c r="F1255" s="33">
        <f t="shared" si="44"/>
        <v>3</v>
      </c>
      <c r="G1255" s="33">
        <f t="shared" si="44"/>
        <v>0</v>
      </c>
      <c r="H1255" s="33">
        <f t="shared" si="44"/>
        <v>0</v>
      </c>
      <c r="I1255" s="40">
        <f t="shared" ref="I1255:K1273" si="45">IF(_xlfn.CONCAT($E1255,"%")=I$5,$L1255,0)</f>
        <v>9.5147478591817321E-4</v>
      </c>
      <c r="J1255" s="40">
        <f t="shared" si="45"/>
        <v>0</v>
      </c>
      <c r="K1255" s="40">
        <f t="shared" si="45"/>
        <v>0</v>
      </c>
      <c r="L1255" s="40">
        <f>1000*M1255/VLOOKUP(D1255,'Normalised Rates'!$A$7:$B$12,2,FALSE)</f>
        <v>9.5147478591817321E-4</v>
      </c>
      <c r="M1255" s="34">
        <v>3</v>
      </c>
    </row>
    <row r="1256" spans="1:13" ht="15" customHeight="1" x14ac:dyDescent="0.25">
      <c r="A1256" s="30" t="s">
        <v>146</v>
      </c>
      <c r="B1256" s="30" t="s">
        <v>125</v>
      </c>
      <c r="C1256" s="9" t="s">
        <v>67</v>
      </c>
      <c r="D1256" s="32">
        <v>2026</v>
      </c>
      <c r="E1256" s="35" t="s">
        <v>163</v>
      </c>
      <c r="F1256" s="33">
        <f t="shared" si="44"/>
        <v>2</v>
      </c>
      <c r="G1256" s="33">
        <f t="shared" si="44"/>
        <v>0</v>
      </c>
      <c r="H1256" s="33">
        <f t="shared" si="44"/>
        <v>0</v>
      </c>
      <c r="I1256" s="40">
        <f t="shared" si="45"/>
        <v>1.522359657469077E-3</v>
      </c>
      <c r="J1256" s="40">
        <f t="shared" si="45"/>
        <v>0</v>
      </c>
      <c r="K1256" s="40">
        <f t="shared" si="45"/>
        <v>0</v>
      </c>
      <c r="L1256" s="40">
        <f>1000*M1256/VLOOKUP(D1256,'Normalised Rates'!$A$7:$B$12,2,FALSE)</f>
        <v>1.522359657469077E-3</v>
      </c>
      <c r="M1256" s="34">
        <v>2</v>
      </c>
    </row>
    <row r="1257" spans="1:13" ht="15" customHeight="1" x14ac:dyDescent="0.25">
      <c r="A1257" s="30" t="s">
        <v>146</v>
      </c>
      <c r="B1257" s="30" t="s">
        <v>117</v>
      </c>
      <c r="C1257" s="9" t="s">
        <v>64</v>
      </c>
      <c r="D1257" s="32">
        <v>2023</v>
      </c>
      <c r="E1257" s="35" t="s">
        <v>163</v>
      </c>
      <c r="F1257" s="33">
        <f t="shared" ref="F1257:H1273" si="46">IF($E1257=F$5,$M1257,0)</f>
        <v>1</v>
      </c>
      <c r="G1257" s="33">
        <f t="shared" si="46"/>
        <v>0</v>
      </c>
      <c r="H1257" s="33">
        <f t="shared" si="46"/>
        <v>0</v>
      </c>
      <c r="I1257" s="40">
        <f t="shared" si="45"/>
        <v>4.3744531933508313E-4</v>
      </c>
      <c r="J1257" s="40">
        <f t="shared" si="45"/>
        <v>0</v>
      </c>
      <c r="K1257" s="40">
        <f t="shared" si="45"/>
        <v>0</v>
      </c>
      <c r="L1257" s="40">
        <f>1000*M1257/VLOOKUP(D1257,'Normalised Rates'!$A$7:$B$12,2,FALSE)</f>
        <v>4.3744531933508313E-4</v>
      </c>
      <c r="M1257" s="34">
        <v>1</v>
      </c>
    </row>
    <row r="1258" spans="1:13" ht="15" customHeight="1" x14ac:dyDescent="0.25">
      <c r="A1258" s="30" t="s">
        <v>146</v>
      </c>
      <c r="B1258" s="30" t="s">
        <v>117</v>
      </c>
      <c r="C1258" s="9" t="s">
        <v>64</v>
      </c>
      <c r="D1258" s="32">
        <v>2025</v>
      </c>
      <c r="E1258" s="35" t="s">
        <v>163</v>
      </c>
      <c r="F1258" s="33">
        <f t="shared" si="46"/>
        <v>4</v>
      </c>
      <c r="G1258" s="33">
        <f t="shared" si="46"/>
        <v>0</v>
      </c>
      <c r="H1258" s="33">
        <f t="shared" si="46"/>
        <v>0</v>
      </c>
      <c r="I1258" s="40">
        <f t="shared" si="45"/>
        <v>1.2686330478908975E-3</v>
      </c>
      <c r="J1258" s="40">
        <f t="shared" si="45"/>
        <v>0</v>
      </c>
      <c r="K1258" s="40">
        <f t="shared" si="45"/>
        <v>0</v>
      </c>
      <c r="L1258" s="40">
        <f>1000*M1258/VLOOKUP(D1258,'Normalised Rates'!$A$7:$B$12,2,FALSE)</f>
        <v>1.2686330478908975E-3</v>
      </c>
      <c r="M1258" s="34">
        <v>4</v>
      </c>
    </row>
    <row r="1259" spans="1:13" ht="15" customHeight="1" x14ac:dyDescent="0.25">
      <c r="A1259" s="30" t="s">
        <v>146</v>
      </c>
      <c r="B1259" s="30" t="s">
        <v>117</v>
      </c>
      <c r="C1259" s="9" t="s">
        <v>64</v>
      </c>
      <c r="D1259" s="32">
        <v>2026</v>
      </c>
      <c r="E1259" s="35" t="s">
        <v>163</v>
      </c>
      <c r="F1259" s="33">
        <f t="shared" si="46"/>
        <v>2</v>
      </c>
      <c r="G1259" s="33">
        <f t="shared" si="46"/>
        <v>0</v>
      </c>
      <c r="H1259" s="33">
        <f t="shared" si="46"/>
        <v>0</v>
      </c>
      <c r="I1259" s="40">
        <f t="shared" si="45"/>
        <v>1.522359657469077E-3</v>
      </c>
      <c r="J1259" s="40">
        <f t="shared" si="45"/>
        <v>0</v>
      </c>
      <c r="K1259" s="40">
        <f t="shared" si="45"/>
        <v>0</v>
      </c>
      <c r="L1259" s="40">
        <f>1000*M1259/VLOOKUP(D1259,'Normalised Rates'!$A$7:$B$12,2,FALSE)</f>
        <v>1.522359657469077E-3</v>
      </c>
      <c r="M1259" s="34">
        <v>2</v>
      </c>
    </row>
    <row r="1260" spans="1:13" ht="15" customHeight="1" x14ac:dyDescent="0.25">
      <c r="A1260" s="30" t="s">
        <v>146</v>
      </c>
      <c r="B1260" s="30" t="s">
        <v>123</v>
      </c>
      <c r="C1260" s="9" t="s">
        <v>84</v>
      </c>
      <c r="D1260" s="32">
        <v>2025</v>
      </c>
      <c r="E1260" s="35" t="s">
        <v>163</v>
      </c>
      <c r="F1260" s="33">
        <f t="shared" si="46"/>
        <v>2</v>
      </c>
      <c r="G1260" s="33">
        <f t="shared" si="46"/>
        <v>0</v>
      </c>
      <c r="H1260" s="33">
        <f t="shared" si="46"/>
        <v>0</v>
      </c>
      <c r="I1260" s="40">
        <f t="shared" si="45"/>
        <v>6.3431652394544877E-4</v>
      </c>
      <c r="J1260" s="40">
        <f t="shared" si="45"/>
        <v>0</v>
      </c>
      <c r="K1260" s="40">
        <f t="shared" si="45"/>
        <v>0</v>
      </c>
      <c r="L1260" s="40">
        <f>1000*M1260/VLOOKUP(D1260,'Normalised Rates'!$A$7:$B$12,2,FALSE)</f>
        <v>6.3431652394544877E-4</v>
      </c>
      <c r="M1260" s="34">
        <v>2</v>
      </c>
    </row>
    <row r="1261" spans="1:13" ht="15" customHeight="1" x14ac:dyDescent="0.25">
      <c r="A1261" s="30" t="s">
        <v>146</v>
      </c>
      <c r="B1261" s="30" t="s">
        <v>123</v>
      </c>
      <c r="C1261" s="9" t="s">
        <v>84</v>
      </c>
      <c r="D1261" s="32">
        <v>2026</v>
      </c>
      <c r="E1261" s="35" t="s">
        <v>163</v>
      </c>
      <c r="F1261" s="33">
        <f t="shared" si="46"/>
        <v>5</v>
      </c>
      <c r="G1261" s="33">
        <f t="shared" si="46"/>
        <v>0</v>
      </c>
      <c r="H1261" s="33">
        <f t="shared" si="46"/>
        <v>0</v>
      </c>
      <c r="I1261" s="40">
        <f t="shared" si="45"/>
        <v>3.8058991436726928E-3</v>
      </c>
      <c r="J1261" s="40">
        <f t="shared" si="45"/>
        <v>0</v>
      </c>
      <c r="K1261" s="40">
        <f t="shared" si="45"/>
        <v>0</v>
      </c>
      <c r="L1261" s="40">
        <f>1000*M1261/VLOOKUP(D1261,'Normalised Rates'!$A$7:$B$12,2,FALSE)</f>
        <v>3.8058991436726928E-3</v>
      </c>
      <c r="M1261" s="34">
        <v>5</v>
      </c>
    </row>
    <row r="1262" spans="1:13" ht="15" customHeight="1" x14ac:dyDescent="0.25">
      <c r="A1262" s="30" t="s">
        <v>146</v>
      </c>
      <c r="B1262" s="30" t="s">
        <v>66</v>
      </c>
      <c r="C1262" s="9" t="s">
        <v>67</v>
      </c>
      <c r="D1262" s="32">
        <v>2023</v>
      </c>
      <c r="E1262" s="35" t="s">
        <v>163</v>
      </c>
      <c r="F1262" s="33">
        <f t="shared" si="46"/>
        <v>1</v>
      </c>
      <c r="G1262" s="33">
        <f t="shared" si="46"/>
        <v>0</v>
      </c>
      <c r="H1262" s="33">
        <f t="shared" si="46"/>
        <v>0</v>
      </c>
      <c r="I1262" s="40">
        <f t="shared" si="45"/>
        <v>4.3744531933508313E-4</v>
      </c>
      <c r="J1262" s="40">
        <f t="shared" si="45"/>
        <v>0</v>
      </c>
      <c r="K1262" s="40">
        <f t="shared" si="45"/>
        <v>0</v>
      </c>
      <c r="L1262" s="40">
        <f>1000*M1262/VLOOKUP(D1262,'Normalised Rates'!$A$7:$B$12,2,FALSE)</f>
        <v>4.3744531933508313E-4</v>
      </c>
      <c r="M1262" s="34">
        <v>1</v>
      </c>
    </row>
    <row r="1263" spans="1:13" ht="15" customHeight="1" x14ac:dyDescent="0.25">
      <c r="A1263" s="30" t="s">
        <v>146</v>
      </c>
      <c r="B1263" s="30" t="s">
        <v>66</v>
      </c>
      <c r="C1263" s="9" t="s">
        <v>67</v>
      </c>
      <c r="D1263" s="32">
        <v>2024</v>
      </c>
      <c r="E1263" s="35" t="s">
        <v>163</v>
      </c>
      <c r="F1263" s="33">
        <f t="shared" si="46"/>
        <v>1</v>
      </c>
      <c r="G1263" s="33">
        <f t="shared" si="46"/>
        <v>0</v>
      </c>
      <c r="H1263" s="33">
        <f t="shared" si="46"/>
        <v>0</v>
      </c>
      <c r="I1263" s="40">
        <f t="shared" si="45"/>
        <v>3.7271710771524412E-4</v>
      </c>
      <c r="J1263" s="40">
        <f t="shared" si="45"/>
        <v>0</v>
      </c>
      <c r="K1263" s="40">
        <f t="shared" si="45"/>
        <v>0</v>
      </c>
      <c r="L1263" s="40">
        <f>1000*M1263/VLOOKUP(D1263,'Normalised Rates'!$A$7:$B$12,2,FALSE)</f>
        <v>3.7271710771524412E-4</v>
      </c>
      <c r="M1263" s="34">
        <v>1</v>
      </c>
    </row>
    <row r="1264" spans="1:13" ht="15" customHeight="1" x14ac:dyDescent="0.25">
      <c r="A1264" s="30" t="s">
        <v>146</v>
      </c>
      <c r="B1264" s="30" t="s">
        <v>66</v>
      </c>
      <c r="C1264" s="9" t="s">
        <v>67</v>
      </c>
      <c r="D1264" s="32">
        <v>2025</v>
      </c>
      <c r="E1264" s="35" t="s">
        <v>163</v>
      </c>
      <c r="F1264" s="33">
        <f t="shared" si="46"/>
        <v>3</v>
      </c>
      <c r="G1264" s="33">
        <f t="shared" si="46"/>
        <v>0</v>
      </c>
      <c r="H1264" s="33">
        <f t="shared" si="46"/>
        <v>0</v>
      </c>
      <c r="I1264" s="40">
        <f t="shared" si="45"/>
        <v>9.5147478591817321E-4</v>
      </c>
      <c r="J1264" s="40">
        <f t="shared" si="45"/>
        <v>0</v>
      </c>
      <c r="K1264" s="40">
        <f t="shared" si="45"/>
        <v>0</v>
      </c>
      <c r="L1264" s="40">
        <f>1000*M1264/VLOOKUP(D1264,'Normalised Rates'!$A$7:$B$12,2,FALSE)</f>
        <v>9.5147478591817321E-4</v>
      </c>
      <c r="M1264" s="34">
        <v>3</v>
      </c>
    </row>
    <row r="1265" spans="1:13" ht="15" customHeight="1" x14ac:dyDescent="0.25">
      <c r="A1265" s="30" t="s">
        <v>146</v>
      </c>
      <c r="B1265" s="30" t="s">
        <v>66</v>
      </c>
      <c r="C1265" s="9" t="s">
        <v>67</v>
      </c>
      <c r="D1265" s="32">
        <v>2026</v>
      </c>
      <c r="E1265" s="35" t="s">
        <v>163</v>
      </c>
      <c r="F1265" s="33">
        <f t="shared" si="46"/>
        <v>1</v>
      </c>
      <c r="G1265" s="33">
        <f t="shared" si="46"/>
        <v>0</v>
      </c>
      <c r="H1265" s="33">
        <f t="shared" si="46"/>
        <v>0</v>
      </c>
      <c r="I1265" s="40">
        <f t="shared" si="45"/>
        <v>7.6117982873453852E-4</v>
      </c>
      <c r="J1265" s="40">
        <f t="shared" si="45"/>
        <v>0</v>
      </c>
      <c r="K1265" s="40">
        <f t="shared" si="45"/>
        <v>0</v>
      </c>
      <c r="L1265" s="40">
        <f>1000*M1265/VLOOKUP(D1265,'Normalised Rates'!$A$7:$B$12,2,FALSE)</f>
        <v>7.6117982873453852E-4</v>
      </c>
      <c r="M1265" s="34">
        <v>1</v>
      </c>
    </row>
    <row r="1266" spans="1:13" ht="15" customHeight="1" x14ac:dyDescent="0.25">
      <c r="A1266" s="30" t="s">
        <v>146</v>
      </c>
      <c r="B1266" s="30" t="s">
        <v>127</v>
      </c>
      <c r="C1266" s="9" t="s">
        <v>67</v>
      </c>
      <c r="D1266" s="32">
        <v>2021</v>
      </c>
      <c r="E1266" s="35" t="s">
        <v>163</v>
      </c>
      <c r="F1266" s="33">
        <f t="shared" si="46"/>
        <v>1</v>
      </c>
      <c r="G1266" s="33">
        <f t="shared" si="46"/>
        <v>0</v>
      </c>
      <c r="H1266" s="33">
        <f t="shared" si="46"/>
        <v>0</v>
      </c>
      <c r="I1266" s="40">
        <f t="shared" si="45"/>
        <v>6.2735257214554575E-4</v>
      </c>
      <c r="J1266" s="40">
        <f t="shared" si="45"/>
        <v>0</v>
      </c>
      <c r="K1266" s="40">
        <f t="shared" si="45"/>
        <v>0</v>
      </c>
      <c r="L1266" s="40">
        <f>1000*M1266/VLOOKUP(D1266,'Normalised Rates'!$A$7:$B$12,2,FALSE)</f>
        <v>6.2735257214554575E-4</v>
      </c>
      <c r="M1266" s="34">
        <v>1</v>
      </c>
    </row>
    <row r="1267" spans="1:13" ht="15" customHeight="1" x14ac:dyDescent="0.25">
      <c r="A1267" s="30" t="s">
        <v>146</v>
      </c>
      <c r="B1267" s="30" t="s">
        <v>127</v>
      </c>
      <c r="C1267" s="9" t="s">
        <v>67</v>
      </c>
      <c r="D1267" s="32">
        <v>2022</v>
      </c>
      <c r="E1267" s="35" t="s">
        <v>163</v>
      </c>
      <c r="F1267" s="33">
        <f t="shared" si="46"/>
        <v>1</v>
      </c>
      <c r="G1267" s="33">
        <f t="shared" si="46"/>
        <v>0</v>
      </c>
      <c r="H1267" s="33">
        <f t="shared" si="46"/>
        <v>0</v>
      </c>
      <c r="I1267" s="40">
        <f t="shared" si="45"/>
        <v>5.3333333333333336E-4</v>
      </c>
      <c r="J1267" s="40">
        <f t="shared" si="45"/>
        <v>0</v>
      </c>
      <c r="K1267" s="40">
        <f t="shared" si="45"/>
        <v>0</v>
      </c>
      <c r="L1267" s="40">
        <f>1000*M1267/VLOOKUP(D1267,'Normalised Rates'!$A$7:$B$12,2,FALSE)</f>
        <v>5.3333333333333336E-4</v>
      </c>
      <c r="M1267" s="34">
        <v>1</v>
      </c>
    </row>
    <row r="1268" spans="1:13" ht="15" customHeight="1" x14ac:dyDescent="0.25">
      <c r="A1268" s="30" t="s">
        <v>146</v>
      </c>
      <c r="B1268" s="30" t="s">
        <v>127</v>
      </c>
      <c r="C1268" s="9" t="s">
        <v>67</v>
      </c>
      <c r="D1268" s="32">
        <v>2023</v>
      </c>
      <c r="E1268" s="35" t="s">
        <v>163</v>
      </c>
      <c r="F1268" s="33">
        <f t="shared" si="46"/>
        <v>3</v>
      </c>
      <c r="G1268" s="33">
        <f t="shared" si="46"/>
        <v>0</v>
      </c>
      <c r="H1268" s="33">
        <f t="shared" si="46"/>
        <v>0</v>
      </c>
      <c r="I1268" s="40">
        <f t="shared" si="45"/>
        <v>1.3123359580052493E-3</v>
      </c>
      <c r="J1268" s="40">
        <f t="shared" si="45"/>
        <v>0</v>
      </c>
      <c r="K1268" s="40">
        <f t="shared" si="45"/>
        <v>0</v>
      </c>
      <c r="L1268" s="40">
        <f>1000*M1268/VLOOKUP(D1268,'Normalised Rates'!$A$7:$B$12,2,FALSE)</f>
        <v>1.3123359580052493E-3</v>
      </c>
      <c r="M1268" s="34">
        <v>3</v>
      </c>
    </row>
    <row r="1269" spans="1:13" ht="15" customHeight="1" x14ac:dyDescent="0.25">
      <c r="A1269" s="30" t="s">
        <v>146</v>
      </c>
      <c r="B1269" s="30" t="s">
        <v>94</v>
      </c>
      <c r="C1269" s="9" t="s">
        <v>64</v>
      </c>
      <c r="D1269" s="32">
        <v>2023</v>
      </c>
      <c r="E1269" s="35" t="s">
        <v>163</v>
      </c>
      <c r="F1269" s="33">
        <f t="shared" si="46"/>
        <v>1</v>
      </c>
      <c r="G1269" s="33">
        <f t="shared" si="46"/>
        <v>0</v>
      </c>
      <c r="H1269" s="33">
        <f t="shared" si="46"/>
        <v>0</v>
      </c>
      <c r="I1269" s="40">
        <f t="shared" si="45"/>
        <v>4.3744531933508313E-4</v>
      </c>
      <c r="J1269" s="40">
        <f t="shared" si="45"/>
        <v>0</v>
      </c>
      <c r="K1269" s="40">
        <f t="shared" si="45"/>
        <v>0</v>
      </c>
      <c r="L1269" s="40">
        <f>1000*M1269/VLOOKUP(D1269,'Normalised Rates'!$A$7:$B$12,2,FALSE)</f>
        <v>4.3744531933508313E-4</v>
      </c>
      <c r="M1269" s="34">
        <v>1</v>
      </c>
    </row>
    <row r="1270" spans="1:13" ht="15" customHeight="1" x14ac:dyDescent="0.25">
      <c r="A1270" s="30" t="s">
        <v>146</v>
      </c>
      <c r="B1270" s="30" t="s">
        <v>94</v>
      </c>
      <c r="C1270" s="9" t="s">
        <v>64</v>
      </c>
      <c r="D1270" s="32">
        <v>2026</v>
      </c>
      <c r="E1270" s="35" t="s">
        <v>163</v>
      </c>
      <c r="F1270" s="33">
        <f t="shared" si="46"/>
        <v>3</v>
      </c>
      <c r="G1270" s="33">
        <f t="shared" si="46"/>
        <v>0</v>
      </c>
      <c r="H1270" s="33">
        <f t="shared" si="46"/>
        <v>0</v>
      </c>
      <c r="I1270" s="40">
        <f t="shared" si="45"/>
        <v>2.2835394862036158E-3</v>
      </c>
      <c r="J1270" s="40">
        <f t="shared" si="45"/>
        <v>0</v>
      </c>
      <c r="K1270" s="40">
        <f t="shared" si="45"/>
        <v>0</v>
      </c>
      <c r="L1270" s="40">
        <f>1000*M1270/VLOOKUP(D1270,'Normalised Rates'!$A$7:$B$12,2,FALSE)</f>
        <v>2.2835394862036158E-3</v>
      </c>
      <c r="M1270" s="34">
        <v>3</v>
      </c>
    </row>
    <row r="1271" spans="1:13" ht="15" customHeight="1" x14ac:dyDescent="0.25">
      <c r="A1271" s="30" t="s">
        <v>146</v>
      </c>
      <c r="B1271" s="30" t="s">
        <v>104</v>
      </c>
      <c r="C1271" s="9" t="s">
        <v>105</v>
      </c>
      <c r="D1271" s="32">
        <v>2024</v>
      </c>
      <c r="E1271" s="35" t="s">
        <v>163</v>
      </c>
      <c r="F1271" s="33">
        <f t="shared" si="46"/>
        <v>1</v>
      </c>
      <c r="G1271" s="33">
        <f t="shared" si="46"/>
        <v>0</v>
      </c>
      <c r="H1271" s="33">
        <f t="shared" si="46"/>
        <v>0</v>
      </c>
      <c r="I1271" s="40">
        <f t="shared" si="45"/>
        <v>3.7271710771524412E-4</v>
      </c>
      <c r="J1271" s="40">
        <f t="shared" si="45"/>
        <v>0</v>
      </c>
      <c r="K1271" s="40">
        <f t="shared" si="45"/>
        <v>0</v>
      </c>
      <c r="L1271" s="40">
        <f>1000*M1271/VLOOKUP(D1271,'Normalised Rates'!$A$7:$B$12,2,FALSE)</f>
        <v>3.7271710771524412E-4</v>
      </c>
      <c r="M1271" s="34">
        <v>1</v>
      </c>
    </row>
    <row r="1272" spans="1:13" ht="15" customHeight="1" x14ac:dyDescent="0.25">
      <c r="A1272" s="30" t="s">
        <v>146</v>
      </c>
      <c r="B1272" s="30" t="s">
        <v>104</v>
      </c>
      <c r="C1272" s="9" t="s">
        <v>105</v>
      </c>
      <c r="D1272" s="32">
        <v>2025</v>
      </c>
      <c r="E1272" s="35" t="s">
        <v>163</v>
      </c>
      <c r="F1272" s="33">
        <f t="shared" si="46"/>
        <v>1</v>
      </c>
      <c r="G1272" s="33">
        <f t="shared" si="46"/>
        <v>0</v>
      </c>
      <c r="H1272" s="33">
        <f t="shared" si="46"/>
        <v>0</v>
      </c>
      <c r="I1272" s="40">
        <f t="shared" si="45"/>
        <v>3.1715826197272439E-4</v>
      </c>
      <c r="J1272" s="40">
        <f t="shared" si="45"/>
        <v>0</v>
      </c>
      <c r="K1272" s="40">
        <f t="shared" si="45"/>
        <v>0</v>
      </c>
      <c r="L1272" s="40">
        <f>1000*M1272/VLOOKUP(D1272,'Normalised Rates'!$A$7:$B$12,2,FALSE)</f>
        <v>3.1715826197272439E-4</v>
      </c>
      <c r="M1272" s="34">
        <v>1</v>
      </c>
    </row>
    <row r="1273" spans="1:13" ht="15" customHeight="1" x14ac:dyDescent="0.25">
      <c r="A1273" s="30" t="s">
        <v>146</v>
      </c>
      <c r="B1273" s="30" t="s">
        <v>104</v>
      </c>
      <c r="C1273" s="9" t="s">
        <v>105</v>
      </c>
      <c r="D1273" s="32">
        <v>2026</v>
      </c>
      <c r="E1273" s="35" t="s">
        <v>163</v>
      </c>
      <c r="F1273" s="33">
        <f t="shared" si="46"/>
        <v>1</v>
      </c>
      <c r="G1273" s="33">
        <f t="shared" si="46"/>
        <v>0</v>
      </c>
      <c r="H1273" s="33">
        <f t="shared" si="46"/>
        <v>0</v>
      </c>
      <c r="I1273" s="40">
        <f t="shared" si="45"/>
        <v>7.6117982873453852E-4</v>
      </c>
      <c r="J1273" s="40">
        <f t="shared" si="45"/>
        <v>0</v>
      </c>
      <c r="K1273" s="40">
        <f t="shared" si="45"/>
        <v>0</v>
      </c>
      <c r="L1273" s="40">
        <f>1000*M1273/VLOOKUP(D1273,'Normalised Rates'!$A$7:$B$12,2,FALSE)</f>
        <v>7.6117982873453852E-4</v>
      </c>
      <c r="M1273" s="34">
        <v>1</v>
      </c>
    </row>
  </sheetData>
  <autoFilter ref="A5:M1273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 &amp; Method</vt:lpstr>
      <vt:lpstr>Normalised Rates</vt:lpstr>
      <vt:lpstr>Instrument League Table</vt:lpstr>
      <vt:lpstr>Instrument x Year (harm)</vt:lpstr>
      <vt:lpstr>Failure x Instrument</vt:lpstr>
      <vt:lpstr>Failure Mode Deep Dive</vt:lpstr>
      <vt:lpstr>Failure Mode Deep Dive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Paul Roberts</cp:lastModifiedBy>
  <cp:revision>2</cp:revision>
  <dcterms:created xsi:type="dcterms:W3CDTF">2026-06-25T08:39:19Z</dcterms:created>
  <dcterms:modified xsi:type="dcterms:W3CDTF">2026-06-25T11:24:45Z</dcterms:modified>
  <dc:language>en-US</dc:language>
</cp:coreProperties>
</file>